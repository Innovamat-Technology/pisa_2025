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ecd.sharepoint.com/teams/2024-PZXM35/Shared Documents/PISA Files/PISA 2025/Technical Report/For Layout/4. Final/Excel Files/"/>
    </mc:Choice>
  </mc:AlternateContent>
  <xr:revisionPtr revIDLastSave="0" documentId="8_{CEAD4949-6BB4-48BA-9E74-103E3E70A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C" sheetId="1" r:id="rId1"/>
    <sheet name="T22.A.1" sheetId="2" r:id="rId2"/>
    <sheet name="T22.A.2" sheetId="3" r:id="rId3"/>
    <sheet name="T22.A.3" sheetId="4" r:id="rId4"/>
    <sheet name="T22.A.4" sheetId="5" r:id="rId5"/>
    <sheet name="T22.A.5" sheetId="6" r:id="rId6"/>
    <sheet name="T22.A.6" sheetId="7" r:id="rId7"/>
    <sheet name="T22.A.7" sheetId="8" r:id="rId8"/>
    <sheet name="T22.A.8" sheetId="9" r:id="rId9"/>
    <sheet name="T22.A.9" sheetId="10" r:id="rId10"/>
    <sheet name="T22.A.10" sheetId="11" r:id="rId11"/>
    <sheet name="T22.A.11" sheetId="12" r:id="rId12"/>
    <sheet name="T22.A.12" sheetId="13" r:id="rId13"/>
    <sheet name="T22.A.13" sheetId="14" r:id="rId14"/>
    <sheet name="T22.A.14" sheetId="15" r:id="rId15"/>
    <sheet name="T22.A.15" sheetId="16" r:id="rId16"/>
    <sheet name="T22.A.16" sheetId="17" r:id="rId17"/>
    <sheet name="T22.A.17" sheetId="18" r:id="rId18"/>
    <sheet name="T22.A.18" sheetId="19" r:id="rId19"/>
    <sheet name="T22.A.19" sheetId="20" r:id="rId20"/>
    <sheet name="T22.A.20" sheetId="21" r:id="rId21"/>
    <sheet name="T22.A.21" sheetId="22" r:id="rId22"/>
    <sheet name="T22.A.22" sheetId="23" r:id="rId23"/>
    <sheet name="T22.A.23" sheetId="24" r:id="rId24"/>
    <sheet name="T22.A.24" sheetId="25" r:id="rId25"/>
    <sheet name="T22.A.25" sheetId="26" r:id="rId26"/>
    <sheet name="T22.A.26" sheetId="27" r:id="rId27"/>
    <sheet name="T22.A.27" sheetId="28" r:id="rId28"/>
    <sheet name="T22.A.28" sheetId="29" r:id="rId29"/>
    <sheet name="T22.A.29" sheetId="30" r:id="rId30"/>
    <sheet name="T22.A.30" sheetId="31" r:id="rId31"/>
    <sheet name="T22.A.31" sheetId="32" r:id="rId32"/>
    <sheet name="T22.A.32" sheetId="33" r:id="rId33"/>
    <sheet name="T22.A.33" sheetId="34" r:id="rId34"/>
    <sheet name="T22.A.34" sheetId="35" r:id="rId35"/>
    <sheet name="T22.A.35" sheetId="36" r:id="rId36"/>
    <sheet name="T22.A.36" sheetId="37" r:id="rId37"/>
    <sheet name="T22.A.37" sheetId="38" r:id="rId38"/>
    <sheet name="T22.A.38" sheetId="39" r:id="rId39"/>
    <sheet name="T22.A.39" sheetId="40" r:id="rId40"/>
    <sheet name="T22.A.40" sheetId="41" r:id="rId41"/>
    <sheet name="T22.A.41" sheetId="42" r:id="rId42"/>
    <sheet name="T22.A.42" sheetId="43" r:id="rId43"/>
    <sheet name="T22.A.43" sheetId="44" r:id="rId44"/>
    <sheet name="T22.A.44" sheetId="45" r:id="rId45"/>
    <sheet name="T22.A.45" sheetId="46" r:id="rId46"/>
    <sheet name="T22.A.46" sheetId="47" r:id="rId47"/>
    <sheet name="T22.A.47" sheetId="48" r:id="rId48"/>
    <sheet name="T22.A.48" sheetId="49" r:id="rId49"/>
    <sheet name="T22.A.49" sheetId="50" r:id="rId50"/>
    <sheet name="T22.A.50" sheetId="51" r:id="rId51"/>
    <sheet name="T22.A.51" sheetId="52" r:id="rId52"/>
    <sheet name="T22.A.52" sheetId="53" r:id="rId53"/>
    <sheet name="T22.A.53" sheetId="54" r:id="rId54"/>
    <sheet name="T22.A.54" sheetId="55" r:id="rId55"/>
    <sheet name="T22.A.55" sheetId="56" r:id="rId56"/>
    <sheet name="T22.A.56" sheetId="57" r:id="rId57"/>
    <sheet name="T22.A.57" sheetId="58" r:id="rId58"/>
    <sheet name="T22.A.58" sheetId="59" r:id="rId59"/>
    <sheet name="T22.A.59" sheetId="60" r:id="rId60"/>
    <sheet name="T22.A.60" sheetId="61" r:id="rId61"/>
    <sheet name="T22.A.61" sheetId="62" r:id="rId62"/>
    <sheet name="T22.A.62" sheetId="63" r:id="rId63"/>
    <sheet name="T22.A.63" sheetId="64" r:id="rId64"/>
    <sheet name="T22.A.64" sheetId="65" r:id="rId65"/>
    <sheet name="T22.A.65" sheetId="66" r:id="rId66"/>
    <sheet name="T22.A.66" sheetId="67" r:id="rId67"/>
    <sheet name="T22.A.67" sheetId="68" r:id="rId68"/>
    <sheet name="T22.A.68" sheetId="69" r:id="rId69"/>
    <sheet name="T22.A.69" sheetId="70" r:id="rId70"/>
    <sheet name="T22.A.70" sheetId="71" r:id="rId71"/>
    <sheet name="T22.A.71" sheetId="72" r:id="rId72"/>
    <sheet name="T22.A.72" sheetId="73" r:id="rId73"/>
    <sheet name="T22.A.73" sheetId="74" r:id="rId74"/>
    <sheet name="T22.A.74" sheetId="75" r:id="rId75"/>
    <sheet name="T22.A.75" sheetId="76" r:id="rId76"/>
    <sheet name="T22.A.76" sheetId="77" r:id="rId77"/>
    <sheet name="T22.A.77" sheetId="78" r:id="rId78"/>
    <sheet name="T22.A.78" sheetId="79" r:id="rId79"/>
    <sheet name="T22.A.79" sheetId="80" r:id="rId80"/>
    <sheet name="T22.A.80" sheetId="81" r:id="rId81"/>
    <sheet name="T22.A.81" sheetId="82" r:id="rId82"/>
    <sheet name="T22.A.82" sheetId="83" r:id="rId83"/>
    <sheet name="T22.A.83" sheetId="84" r:id="rId84"/>
    <sheet name="T22.A.84" sheetId="85" r:id="rId85"/>
    <sheet name="T22.A.85" sheetId="86" r:id="rId86"/>
    <sheet name="T22.A.86" sheetId="87" r:id="rId87"/>
    <sheet name="T22.A.87" sheetId="88" r:id="rId88"/>
    <sheet name="T22.A.88" sheetId="89" r:id="rId89"/>
    <sheet name="T22.A.89" sheetId="90" r:id="rId90"/>
    <sheet name="T22.A.90" sheetId="91" r:id="rId91"/>
    <sheet name="T22.A.91" sheetId="92" r:id="rId92"/>
    <sheet name="T22.A.92" sheetId="93" r:id="rId93"/>
    <sheet name="T22.A.93" sheetId="94" r:id="rId94"/>
    <sheet name="T22.A.94" sheetId="95" r:id="rId95"/>
    <sheet name="T22.A.95" sheetId="96" r:id="rId96"/>
    <sheet name="T22.A.96" sheetId="97" r:id="rId97"/>
    <sheet name="T22.A.97" sheetId="98" r:id="rId98"/>
    <sheet name="T22.A.98" sheetId="99" r:id="rId99"/>
    <sheet name="T22.A.99" sheetId="100" r:id="rId100"/>
    <sheet name="T22.A.100" sheetId="101" r:id="rId101"/>
    <sheet name="T22.A.101" sheetId="102" r:id="rId102"/>
    <sheet name="T22.A.102" sheetId="103" r:id="rId103"/>
    <sheet name="T22.A.103" sheetId="104" r:id="rId104"/>
    <sheet name="T22.A.104" sheetId="105" r:id="rId105"/>
    <sheet name="T22.A.105" sheetId="106" r:id="rId106"/>
    <sheet name="T22.A.106" sheetId="107" r:id="rId107"/>
    <sheet name="T22.A.107" sheetId="108" r:id="rId108"/>
    <sheet name="T22.A.108" sheetId="109" r:id="rId109"/>
    <sheet name="T22.A.109" sheetId="110" r:id="rId110"/>
    <sheet name="T22.A.110" sheetId="111" r:id="rId111"/>
    <sheet name="T22.A.111" sheetId="112" r:id="rId112"/>
    <sheet name="T22.A.112" sheetId="113" r:id="rId113"/>
    <sheet name="T22.A.113" sheetId="114" r:id="rId114"/>
    <sheet name="T22.A.114" sheetId="115" r:id="rId115"/>
    <sheet name="T22.A.115" sheetId="116" r:id="rId116"/>
    <sheet name="T22.A.116" sheetId="117" r:id="rId117"/>
    <sheet name="T22.A.117" sheetId="118" r:id="rId118"/>
    <sheet name="T22.A.118" sheetId="119" r:id="rId119"/>
    <sheet name="T22.A.119" sheetId="120" r:id="rId120"/>
    <sheet name="T22.A.120" sheetId="121" r:id="rId121"/>
    <sheet name="T22.A.121" sheetId="122" r:id="rId122"/>
    <sheet name="T22.A.122" sheetId="123" r:id="rId123"/>
    <sheet name="T22.A.123" sheetId="124" r:id="rId124"/>
    <sheet name="T22.A.124" sheetId="125" r:id="rId125"/>
    <sheet name="T22.A.125" sheetId="126" r:id="rId126"/>
    <sheet name="T22.A.126" sheetId="127" r:id="rId127"/>
    <sheet name="T22.A.127" sheetId="128" r:id="rId128"/>
    <sheet name="T22.A.128" sheetId="129" r:id="rId129"/>
    <sheet name="T22.A.129" sheetId="130" r:id="rId130"/>
    <sheet name="T22.A.130" sheetId="131" r:id="rId131"/>
    <sheet name="T22.A.131" sheetId="132" r:id="rId132"/>
    <sheet name="T22.A.132" sheetId="133" r:id="rId133"/>
    <sheet name="T22.A.133" sheetId="134" r:id="rId134"/>
    <sheet name="T22.A.134" sheetId="135" r:id="rId135"/>
    <sheet name="T22.A.135" sheetId="136" r:id="rId136"/>
    <sheet name="T22.A.136" sheetId="137" r:id="rId137"/>
    <sheet name="T22.A.137" sheetId="138" r:id="rId138"/>
    <sheet name="T22.A.138" sheetId="139" r:id="rId139"/>
    <sheet name="T22.A.139" sheetId="140" r:id="rId140"/>
    <sheet name="T22.A.140" sheetId="141" r:id="rId141"/>
    <sheet name="T22.A.141" sheetId="142" r:id="rId142"/>
    <sheet name="T22.A.142" sheetId="143" r:id="rId143"/>
    <sheet name="T22.A.143" sheetId="144" r:id="rId144"/>
    <sheet name="T22.A.144" sheetId="145" r:id="rId145"/>
    <sheet name="T22.A.145" sheetId="146" r:id="rId146"/>
    <sheet name="T22.A.146" sheetId="147" r:id="rId147"/>
    <sheet name="T22.A.147" sheetId="148" r:id="rId148"/>
    <sheet name="T22.A.148" sheetId="149" r:id="rId149"/>
    <sheet name="T22.A.149" sheetId="150" r:id="rId150"/>
    <sheet name="T22.A.150" sheetId="151" r:id="rId151"/>
    <sheet name="T22.A.151" sheetId="152" r:id="rId152"/>
    <sheet name="T22.A.152" sheetId="153" r:id="rId153"/>
    <sheet name="T22.A.153" sheetId="154" r:id="rId154"/>
    <sheet name="T22.A.154" sheetId="155" r:id="rId155"/>
    <sheet name="T22.A.155" sheetId="156" r:id="rId156"/>
    <sheet name="T22.A.156" sheetId="157" r:id="rId157"/>
    <sheet name="T22.A.157" sheetId="158" r:id="rId158"/>
    <sheet name="T22.A.158" sheetId="170" r:id="rId159"/>
    <sheet name="STQ" sheetId="159" state="hidden" r:id="rId160"/>
    <sheet name="ICQ" sheetId="160" state="hidden" r:id="rId161"/>
    <sheet name="PAQ" sheetId="161" state="hidden" r:id="rId162"/>
    <sheet name="SCQ" sheetId="162" state="hidden" r:id="rId163"/>
    <sheet name="TCQ" sheetId="163" state="hidden" r:id="rId164"/>
    <sheet name="FLASTQ" sheetId="164" state="hidden" r:id="rId165"/>
    <sheet name="FLAPAQ" sheetId="165" state="hidden" r:id="rId166"/>
    <sheet name="FLATCQ" sheetId="166" state="hidden" r:id="rId167"/>
    <sheet name="GroupLabels" sheetId="167" state="hidden" r:id="rId168"/>
    <sheet name="CNTlabel" sheetId="168" state="hidden" r:id="rId169"/>
    <sheet name="FakeCodeKey" sheetId="169" state="hidden" r:id="rId170"/>
  </sheets>
  <definedNames>
    <definedName name="_xlnm._FilterDatabase" localSheetId="169" hidden="1">FakeCodeKey!$A$1:$C$144</definedName>
    <definedName name="_xlnm._FilterDatabase" localSheetId="167" hidden="1">GroupLabels!$A$1:$K$145</definedName>
    <definedName name="_xlnm._FilterDatabase" localSheetId="161" hidden="1">PAQ!$B$1:$K$102</definedName>
    <definedName name="_xlnm._FilterDatabase" localSheetId="162" hidden="1">SCQ!$B$1:$I$135</definedName>
    <definedName name="_xlnm._FilterDatabase" localSheetId="159" hidden="1">STQ!$A$1:$AB$329</definedName>
    <definedName name="_xlnm._FilterDatabase" localSheetId="11" hidden="1">'T22.A.11'!$A$6:$AA$147</definedName>
    <definedName name="_xlnm._FilterDatabase" localSheetId="12" hidden="1">'T22.A.12'!$A$6:$AA$147</definedName>
    <definedName name="_xlnm._FilterDatabase" localSheetId="13" hidden="1">'T22.A.13'!$B$6:$J$147</definedName>
    <definedName name="_xlnm._FilterDatabase" localSheetId="14" hidden="1">'T22.A.14'!$A$6:$B$55</definedName>
    <definedName name="_xlnm._FilterDatabase" localSheetId="45" hidden="1">'T22.A.45'!$B$6:$M$6</definedName>
    <definedName name="_xlnm._FilterDatabase" localSheetId="78" hidden="1">'T22.A.78'!$B$6:$R$118</definedName>
    <definedName name="_xlnm._FilterDatabase" localSheetId="163" hidden="1">TCQ!$B$1:$J$160</definedName>
    <definedName name="_xlnm._FilterDatabase" localSheetId="0" hidden="1">TOC!$A$1:$B$158</definedName>
    <definedName name="FLAPAQ">FLAPAQ!$B$1:$I$28</definedName>
    <definedName name="FLATCQ">FLATCQ!$B$1:$I$30</definedName>
    <definedName name="ICQ">ICQ!$B$1:$J$82</definedName>
    <definedName name="PAQ">PAQ!$B$1:$I$102</definedName>
    <definedName name="SCQ">SCQ!$B$1:$I$135</definedName>
    <definedName name="STQ" localSheetId="159">STQ!$B$1:$H$13</definedName>
    <definedName name="STQ">#REF!</definedName>
    <definedName name="TCQ">TCQ!$B$1:$J$160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67" l="1"/>
  <c r="Q36" i="64"/>
  <c r="C96" i="168"/>
  <c r="Q36" i="131"/>
  <c r="U7" i="79"/>
  <c r="U111" i="79"/>
  <c r="U112" i="79"/>
  <c r="U8" i="79"/>
  <c r="U9" i="79"/>
  <c r="U10" i="79"/>
  <c r="U11" i="79"/>
  <c r="U17" i="79"/>
  <c r="U14" i="79"/>
  <c r="U15" i="79"/>
  <c r="U18" i="79"/>
  <c r="U19" i="79"/>
  <c r="U105" i="79"/>
  <c r="U104" i="79"/>
  <c r="U106" i="79"/>
  <c r="U16" i="79"/>
  <c r="U20" i="79"/>
  <c r="U21" i="79"/>
  <c r="U25" i="79"/>
  <c r="U37" i="79"/>
  <c r="U26" i="79"/>
  <c r="U27" i="79"/>
  <c r="U28" i="79"/>
  <c r="U29" i="79"/>
  <c r="U99" i="79"/>
  <c r="U102" i="79"/>
  <c r="U101" i="79"/>
  <c r="U98" i="79"/>
  <c r="U100" i="79"/>
  <c r="U31" i="79"/>
  <c r="U32" i="79"/>
  <c r="U33" i="79"/>
  <c r="U34" i="79"/>
  <c r="U35" i="79"/>
  <c r="U36" i="79"/>
  <c r="U38" i="79"/>
  <c r="U39" i="79"/>
  <c r="U41" i="79"/>
  <c r="U40" i="79"/>
  <c r="U22" i="79"/>
  <c r="U42" i="79"/>
  <c r="U44" i="79"/>
  <c r="U45" i="79"/>
  <c r="U43" i="79"/>
  <c r="U47" i="79"/>
  <c r="U48" i="79"/>
  <c r="U49" i="79"/>
  <c r="U51" i="79"/>
  <c r="U50" i="79"/>
  <c r="U52" i="79"/>
  <c r="U53" i="79"/>
  <c r="U54" i="79"/>
  <c r="U55" i="79"/>
  <c r="U56" i="79"/>
  <c r="U61" i="79"/>
  <c r="U62" i="79"/>
  <c r="U63" i="79"/>
  <c r="U64" i="79"/>
  <c r="U65" i="79"/>
  <c r="U60" i="79"/>
  <c r="U66" i="79"/>
  <c r="U67" i="79"/>
  <c r="U78" i="79"/>
  <c r="U74" i="79"/>
  <c r="U75" i="79"/>
  <c r="U73" i="79"/>
  <c r="U69" i="79"/>
  <c r="U68" i="79"/>
  <c r="U72" i="79"/>
  <c r="U77" i="79"/>
  <c r="U76" i="79"/>
  <c r="U70" i="79"/>
  <c r="U71" i="79"/>
  <c r="U79" i="79"/>
  <c r="U80" i="79"/>
  <c r="U85" i="79"/>
  <c r="U86" i="79"/>
  <c r="U87" i="79"/>
  <c r="U88" i="79"/>
  <c r="U84" i="79"/>
  <c r="U82" i="79"/>
  <c r="U83" i="79"/>
  <c r="U89" i="79"/>
  <c r="U90" i="79"/>
  <c r="U12" i="79"/>
  <c r="U13" i="79"/>
  <c r="U24" i="79"/>
  <c r="U23" i="79"/>
  <c r="U113" i="79"/>
  <c r="U114" i="79"/>
  <c r="U91" i="79"/>
  <c r="U92" i="79"/>
  <c r="U93" i="79"/>
  <c r="U95" i="79"/>
  <c r="U30" i="79"/>
  <c r="U94" i="79"/>
  <c r="U96" i="79"/>
  <c r="U97" i="79"/>
  <c r="U103" i="79"/>
  <c r="U107" i="79"/>
  <c r="U108" i="79"/>
  <c r="U109" i="79"/>
  <c r="U110" i="79"/>
  <c r="U115" i="79"/>
  <c r="U116" i="79"/>
  <c r="U117" i="79"/>
  <c r="U118" i="79"/>
  <c r="U57" i="79"/>
  <c r="U58" i="79"/>
  <c r="U59" i="79"/>
  <c r="U81" i="79"/>
  <c r="U46" i="79"/>
  <c r="AB25" i="103"/>
  <c r="AB14" i="103"/>
  <c r="AB15" i="103"/>
  <c r="AB22" i="103"/>
  <c r="AB21" i="103"/>
  <c r="AB23" i="103"/>
  <c r="AB10" i="103"/>
  <c r="AB11" i="103"/>
  <c r="AB12" i="103"/>
  <c r="AB24" i="103"/>
  <c r="AB30" i="103"/>
  <c r="AB20" i="103"/>
  <c r="AB18" i="103"/>
  <c r="AB19" i="103"/>
  <c r="AB9" i="103"/>
  <c r="AB7" i="103"/>
  <c r="AB13" i="103"/>
  <c r="AB26" i="103"/>
  <c r="AB29" i="103"/>
  <c r="AB17" i="103"/>
  <c r="AB8" i="103"/>
  <c r="AB28" i="103"/>
  <c r="AB27" i="103"/>
  <c r="AB16" i="103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251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AE7" i="13"/>
  <c r="J3" i="167"/>
  <c r="J7" i="167"/>
  <c r="J15" i="167"/>
  <c r="J17" i="167"/>
  <c r="J30" i="167"/>
  <c r="J35" i="167"/>
  <c r="J37" i="167"/>
  <c r="J38" i="167"/>
  <c r="J42" i="167"/>
  <c r="J48" i="167"/>
  <c r="J97" i="167"/>
  <c r="J102" i="167"/>
  <c r="J104" i="167"/>
  <c r="J113" i="167"/>
  <c r="J124" i="167"/>
  <c r="J130" i="167"/>
  <c r="J135" i="167"/>
  <c r="J137" i="167"/>
  <c r="J143" i="167"/>
  <c r="J144" i="167"/>
  <c r="K3" i="167"/>
  <c r="K4" i="167"/>
  <c r="K5" i="167"/>
  <c r="K6" i="167"/>
  <c r="K7" i="167"/>
  <c r="K8" i="167"/>
  <c r="K9" i="167"/>
  <c r="K10" i="167"/>
  <c r="K11" i="167"/>
  <c r="K12" i="167"/>
  <c r="K13" i="167"/>
  <c r="K14" i="167"/>
  <c r="K15" i="167"/>
  <c r="K16" i="167"/>
  <c r="K17" i="167"/>
  <c r="K18" i="167"/>
  <c r="K19" i="167"/>
  <c r="K20" i="167"/>
  <c r="K21" i="167"/>
  <c r="K22" i="167"/>
  <c r="K23" i="167"/>
  <c r="K24" i="167"/>
  <c r="K25" i="167"/>
  <c r="K26" i="167"/>
  <c r="K27" i="167"/>
  <c r="K28" i="167"/>
  <c r="K29" i="167"/>
  <c r="K30" i="167"/>
  <c r="K31" i="167"/>
  <c r="K32" i="167"/>
  <c r="K33" i="167"/>
  <c r="K34" i="167"/>
  <c r="K35" i="167"/>
  <c r="K36" i="167"/>
  <c r="K37" i="167"/>
  <c r="K38" i="167"/>
  <c r="K39" i="167"/>
  <c r="K40" i="167"/>
  <c r="K41" i="167"/>
  <c r="K42" i="167"/>
  <c r="K43" i="167"/>
  <c r="K44" i="167"/>
  <c r="K45" i="167"/>
  <c r="K46" i="167"/>
  <c r="K47" i="167"/>
  <c r="K48" i="167"/>
  <c r="K49" i="167"/>
  <c r="K50" i="167"/>
  <c r="K51" i="167"/>
  <c r="K52" i="167"/>
  <c r="K53" i="167"/>
  <c r="K54" i="167"/>
  <c r="K55" i="167"/>
  <c r="K56" i="167"/>
  <c r="K57" i="167"/>
  <c r="K58" i="167"/>
  <c r="K59" i="167"/>
  <c r="K60" i="167"/>
  <c r="K61" i="167"/>
  <c r="K62" i="167"/>
  <c r="K63" i="167"/>
  <c r="K64" i="167"/>
  <c r="K65" i="167"/>
  <c r="K66" i="167"/>
  <c r="K67" i="167"/>
  <c r="K68" i="167"/>
  <c r="K69" i="167"/>
  <c r="K70" i="167"/>
  <c r="K71" i="167"/>
  <c r="K72" i="167"/>
  <c r="K73" i="167"/>
  <c r="K74" i="167"/>
  <c r="K75" i="167"/>
  <c r="K76" i="167"/>
  <c r="K77" i="167"/>
  <c r="K78" i="167"/>
  <c r="K79" i="167"/>
  <c r="K80" i="167"/>
  <c r="K81" i="167"/>
  <c r="K82" i="167"/>
  <c r="K83" i="167"/>
  <c r="K84" i="167"/>
  <c r="K85" i="167"/>
  <c r="K86" i="167"/>
  <c r="K87" i="167"/>
  <c r="K88" i="167"/>
  <c r="K89" i="167"/>
  <c r="K90" i="167"/>
  <c r="K91" i="167"/>
  <c r="K92" i="167"/>
  <c r="K93" i="167"/>
  <c r="K94" i="167"/>
  <c r="K95" i="167"/>
  <c r="K96" i="167"/>
  <c r="K97" i="167"/>
  <c r="K98" i="167"/>
  <c r="K99" i="167"/>
  <c r="K100" i="167"/>
  <c r="K101" i="167"/>
  <c r="K102" i="167"/>
  <c r="K103" i="167"/>
  <c r="K104" i="167"/>
  <c r="K105" i="167"/>
  <c r="K106" i="167"/>
  <c r="K107" i="167"/>
  <c r="K108" i="167"/>
  <c r="K109" i="167"/>
  <c r="K110" i="167"/>
  <c r="K111" i="167"/>
  <c r="K112" i="167"/>
  <c r="K113" i="167"/>
  <c r="K114" i="167"/>
  <c r="K115" i="167"/>
  <c r="K116" i="167"/>
  <c r="K117" i="167"/>
  <c r="K118" i="167"/>
  <c r="K119" i="167"/>
  <c r="K120" i="167"/>
  <c r="K121" i="167"/>
  <c r="K122" i="167"/>
  <c r="K123" i="167"/>
  <c r="K124" i="167"/>
  <c r="K125" i="167"/>
  <c r="K126" i="167"/>
  <c r="K127" i="167"/>
  <c r="K128" i="167"/>
  <c r="K129" i="167"/>
  <c r="K130" i="167"/>
  <c r="K131" i="167"/>
  <c r="K132" i="167"/>
  <c r="K133" i="167"/>
  <c r="K134" i="167"/>
  <c r="K135" i="167"/>
  <c r="K136" i="167"/>
  <c r="K137" i="167"/>
  <c r="K138" i="167"/>
  <c r="K139" i="167"/>
  <c r="K140" i="167"/>
  <c r="K141" i="167"/>
  <c r="K142" i="167"/>
  <c r="K143" i="167"/>
  <c r="K144" i="167"/>
  <c r="K145" i="167"/>
  <c r="K2" i="167"/>
  <c r="C2" i="168"/>
  <c r="C3" i="168"/>
  <c r="I55" i="167" s="1"/>
  <c r="J55" i="167" s="1"/>
  <c r="C4" i="168"/>
  <c r="I86" i="167" s="1"/>
  <c r="J86" i="167" s="1"/>
  <c r="C5" i="168"/>
  <c r="I29" i="167" s="1"/>
  <c r="J29" i="167" s="1"/>
  <c r="C6" i="168"/>
  <c r="I20" i="167" s="1"/>
  <c r="J20" i="167" s="1"/>
  <c r="C7" i="168"/>
  <c r="C8" i="168"/>
  <c r="C9" i="168"/>
  <c r="I12" i="167" s="1"/>
  <c r="J12" i="167" s="1"/>
  <c r="C10" i="168"/>
  <c r="I112" i="167" s="1"/>
  <c r="J112" i="167" s="1"/>
  <c r="C11" i="168"/>
  <c r="C12" i="168"/>
  <c r="C13" i="168"/>
  <c r="C14" i="168"/>
  <c r="I56" i="167" s="1"/>
  <c r="J56" i="167" s="1"/>
  <c r="C15" i="168"/>
  <c r="I57" i="167" s="1"/>
  <c r="J57" i="167" s="1"/>
  <c r="C16" i="168"/>
  <c r="I58" i="167" s="1"/>
  <c r="J58" i="167" s="1"/>
  <c r="C17" i="168"/>
  <c r="C18" i="168"/>
  <c r="I23" i="167" s="1"/>
  <c r="J23" i="167" s="1"/>
  <c r="C19" i="168"/>
  <c r="C20" i="168"/>
  <c r="I59" i="167" s="1"/>
  <c r="J59" i="167" s="1"/>
  <c r="C21" i="168"/>
  <c r="I60" i="167" s="1"/>
  <c r="J60" i="167" s="1"/>
  <c r="C22" i="168"/>
  <c r="C23" i="168"/>
  <c r="C24" i="168"/>
  <c r="C25" i="168"/>
  <c r="I75" i="167" s="1"/>
  <c r="J75" i="167" s="1"/>
  <c r="C26" i="168"/>
  <c r="C27" i="168"/>
  <c r="I10" i="167" s="1"/>
  <c r="J10" i="167" s="1"/>
  <c r="C28" i="168"/>
  <c r="I27" i="167" s="1"/>
  <c r="J27" i="167" s="1"/>
  <c r="C29" i="168"/>
  <c r="I62" i="167" s="1"/>
  <c r="J62" i="167" s="1"/>
  <c r="C30" i="168"/>
  <c r="C31" i="168"/>
  <c r="I82" i="167" s="1"/>
  <c r="J82" i="167" s="1"/>
  <c r="C32" i="168"/>
  <c r="I83" i="167" s="1"/>
  <c r="J83" i="167" s="1"/>
  <c r="C33" i="168"/>
  <c r="I87" i="167" s="1"/>
  <c r="J87" i="167" s="1"/>
  <c r="C34" i="168"/>
  <c r="C35" i="168"/>
  <c r="I88" i="167" s="1"/>
  <c r="J88" i="167" s="1"/>
  <c r="C36" i="168"/>
  <c r="C37" i="168"/>
  <c r="C38" i="168"/>
  <c r="I5" i="167" s="1"/>
  <c r="J5" i="167" s="1"/>
  <c r="C39" i="168"/>
  <c r="I91" i="167" s="1"/>
  <c r="J91" i="167" s="1"/>
  <c r="C40" i="168"/>
  <c r="C41" i="168"/>
  <c r="I39" i="167" s="1"/>
  <c r="J39" i="167" s="1"/>
  <c r="C42" i="168"/>
  <c r="C43" i="168"/>
  <c r="I96" i="167" s="1"/>
  <c r="J96" i="167" s="1"/>
  <c r="C44" i="168"/>
  <c r="I98" i="167" s="1"/>
  <c r="J98" i="167" s="1"/>
  <c r="C45" i="168"/>
  <c r="I131" i="167" s="1"/>
  <c r="J131" i="167" s="1"/>
  <c r="C46" i="168"/>
  <c r="C47" i="168"/>
  <c r="C48" i="168"/>
  <c r="C49" i="168"/>
  <c r="I101" i="167" s="1"/>
  <c r="J101" i="167" s="1"/>
  <c r="C50" i="168"/>
  <c r="C51" i="168"/>
  <c r="I6" i="167" s="1"/>
  <c r="J6" i="167" s="1"/>
  <c r="C52" i="168"/>
  <c r="C53" i="168"/>
  <c r="I63" i="167" s="1"/>
  <c r="J63" i="167" s="1"/>
  <c r="C54" i="168"/>
  <c r="C55" i="168"/>
  <c r="I43" i="167" s="1"/>
  <c r="J43" i="167" s="1"/>
  <c r="C56" i="168"/>
  <c r="C57" i="168"/>
  <c r="C58" i="168"/>
  <c r="I44" i="167" s="1"/>
  <c r="J44" i="167" s="1"/>
  <c r="C59" i="168"/>
  <c r="C60" i="168"/>
  <c r="I108" i="167" s="1"/>
  <c r="J108" i="167" s="1"/>
  <c r="C61" i="168"/>
  <c r="C62" i="168"/>
  <c r="I46" i="167" s="1"/>
  <c r="J46" i="167" s="1"/>
  <c r="C63" i="168"/>
  <c r="I64" i="167" s="1"/>
  <c r="J64" i="167" s="1"/>
  <c r="C64" i="168"/>
  <c r="I47" i="167" s="1"/>
  <c r="J47" i="167" s="1"/>
  <c r="C65" i="168"/>
  <c r="I111" i="167" s="1"/>
  <c r="J111" i="167" s="1"/>
  <c r="C66" i="168"/>
  <c r="I114" i="167" s="1"/>
  <c r="J114" i="167" s="1"/>
  <c r="C67" i="168"/>
  <c r="I65" i="167" s="1"/>
  <c r="J65" i="167" s="1"/>
  <c r="C68" i="168"/>
  <c r="C69" i="168"/>
  <c r="C70" i="168"/>
  <c r="C71" i="168"/>
  <c r="C72" i="168"/>
  <c r="C73" i="168"/>
  <c r="C74" i="168"/>
  <c r="C75" i="168"/>
  <c r="C76" i="168"/>
  <c r="C77" i="168"/>
  <c r="C78" i="168"/>
  <c r="C79" i="168"/>
  <c r="C80" i="168"/>
  <c r="I50" i="167" s="1"/>
  <c r="J50" i="167" s="1"/>
  <c r="C81" i="168"/>
  <c r="C82" i="168"/>
  <c r="I52" i="167" s="1"/>
  <c r="J52" i="167" s="1"/>
  <c r="C83" i="168"/>
  <c r="I66" i="167" s="1"/>
  <c r="J66" i="167" s="1"/>
  <c r="C84" i="168"/>
  <c r="I132" i="167" s="1"/>
  <c r="J132" i="167" s="1"/>
  <c r="C85" i="168"/>
  <c r="C86" i="168"/>
  <c r="I127" i="167" s="1"/>
  <c r="J127" i="167" s="1"/>
  <c r="C87" i="168"/>
  <c r="I134" i="167" s="1"/>
  <c r="J134" i="167" s="1"/>
  <c r="C88" i="168"/>
  <c r="I145" i="167" s="1"/>
  <c r="J145" i="167" s="1"/>
  <c r="C89" i="168"/>
  <c r="I136" i="167" s="1"/>
  <c r="J136" i="167" s="1"/>
  <c r="C90" i="168"/>
  <c r="C91" i="168"/>
  <c r="I67" i="167" s="1"/>
  <c r="J67" i="167" s="1"/>
  <c r="C92" i="168"/>
  <c r="I53" i="167" s="1"/>
  <c r="J53" i="167" s="1"/>
  <c r="C93" i="168"/>
  <c r="I92" i="167" s="1"/>
  <c r="J92" i="167" s="1"/>
  <c r="C94" i="168"/>
  <c r="I141" i="167" s="1"/>
  <c r="J141" i="167" s="1"/>
  <c r="C95" i="168"/>
  <c r="I54" i="167" s="1"/>
  <c r="J54" i="167" s="1"/>
  <c r="C1" i="168"/>
  <c r="I128" i="167" s="1"/>
  <c r="J128" i="167" s="1"/>
  <c r="F3" i="167"/>
  <c r="F4" i="167"/>
  <c r="F5" i="167"/>
  <c r="F6" i="167"/>
  <c r="F7" i="167"/>
  <c r="F8" i="167"/>
  <c r="F9" i="167"/>
  <c r="F10" i="167"/>
  <c r="F11" i="167"/>
  <c r="F12" i="167"/>
  <c r="F13" i="167"/>
  <c r="F14" i="167"/>
  <c r="F15" i="167"/>
  <c r="F16" i="167"/>
  <c r="F17" i="167"/>
  <c r="F18" i="167"/>
  <c r="F19" i="167"/>
  <c r="F20" i="167"/>
  <c r="F21" i="167"/>
  <c r="F22" i="167"/>
  <c r="F23" i="167"/>
  <c r="F24" i="167"/>
  <c r="F25" i="167"/>
  <c r="F26" i="167"/>
  <c r="F27" i="167"/>
  <c r="F28" i="167"/>
  <c r="F29" i="167"/>
  <c r="F30" i="167"/>
  <c r="F31" i="167"/>
  <c r="F32" i="167"/>
  <c r="F33" i="167"/>
  <c r="F34" i="167"/>
  <c r="F35" i="167"/>
  <c r="F36" i="167"/>
  <c r="F37" i="167"/>
  <c r="F38" i="167"/>
  <c r="F39" i="167"/>
  <c r="F40" i="167"/>
  <c r="F41" i="167"/>
  <c r="F42" i="167"/>
  <c r="F43" i="167"/>
  <c r="F44" i="167"/>
  <c r="F45" i="167"/>
  <c r="F46" i="167"/>
  <c r="F47" i="167"/>
  <c r="F48" i="167"/>
  <c r="F49" i="167"/>
  <c r="F50" i="167"/>
  <c r="F51" i="167"/>
  <c r="F52" i="167"/>
  <c r="F53" i="167"/>
  <c r="F54" i="167"/>
  <c r="F55" i="167"/>
  <c r="F56" i="167"/>
  <c r="F57" i="167"/>
  <c r="F58" i="167"/>
  <c r="F59" i="167"/>
  <c r="F60" i="167"/>
  <c r="F61" i="167"/>
  <c r="F62" i="167"/>
  <c r="F63" i="167"/>
  <c r="F64" i="167"/>
  <c r="F65" i="167"/>
  <c r="F66" i="167"/>
  <c r="F67" i="167"/>
  <c r="F68" i="167"/>
  <c r="F69" i="167"/>
  <c r="F70" i="167"/>
  <c r="F71" i="167"/>
  <c r="F72" i="167"/>
  <c r="F73" i="167"/>
  <c r="F74" i="167"/>
  <c r="F75" i="167"/>
  <c r="F76" i="167"/>
  <c r="F77" i="167"/>
  <c r="F78" i="167"/>
  <c r="F79" i="167"/>
  <c r="F80" i="167"/>
  <c r="F81" i="167"/>
  <c r="F82" i="167"/>
  <c r="F83" i="167"/>
  <c r="F84" i="167"/>
  <c r="F85" i="167"/>
  <c r="F86" i="167"/>
  <c r="F87" i="167"/>
  <c r="F88" i="167"/>
  <c r="F89" i="167"/>
  <c r="F90" i="167"/>
  <c r="F91" i="167"/>
  <c r="F92" i="167"/>
  <c r="F93" i="167"/>
  <c r="F94" i="167"/>
  <c r="F95" i="167"/>
  <c r="F96" i="167"/>
  <c r="F97" i="167"/>
  <c r="F98" i="167"/>
  <c r="F99" i="167"/>
  <c r="F100" i="167"/>
  <c r="F101" i="167"/>
  <c r="F102" i="167"/>
  <c r="F103" i="167"/>
  <c r="F104" i="167"/>
  <c r="F105" i="167"/>
  <c r="F106" i="167"/>
  <c r="F107" i="167"/>
  <c r="F108" i="167"/>
  <c r="F109" i="167"/>
  <c r="F110" i="167"/>
  <c r="F111" i="167"/>
  <c r="F112" i="167"/>
  <c r="F113" i="167"/>
  <c r="F114" i="167"/>
  <c r="F115" i="167"/>
  <c r="F116" i="167"/>
  <c r="F117" i="167"/>
  <c r="F118" i="167"/>
  <c r="F119" i="167"/>
  <c r="F120" i="167"/>
  <c r="F121" i="167"/>
  <c r="F122" i="167"/>
  <c r="F123" i="167"/>
  <c r="F124" i="167"/>
  <c r="F125" i="167"/>
  <c r="F126" i="167"/>
  <c r="F127" i="167"/>
  <c r="F128" i="167"/>
  <c r="F129" i="167"/>
  <c r="F130" i="167"/>
  <c r="F131" i="167"/>
  <c r="F132" i="167"/>
  <c r="F133" i="167"/>
  <c r="F134" i="167"/>
  <c r="F135" i="167"/>
  <c r="F136" i="167"/>
  <c r="F137" i="167"/>
  <c r="F138" i="167"/>
  <c r="F139" i="167"/>
  <c r="F140" i="167"/>
  <c r="F141" i="167"/>
  <c r="F142" i="167"/>
  <c r="F143" i="167"/>
  <c r="F144" i="167"/>
  <c r="F145" i="167"/>
  <c r="F2" i="167"/>
  <c r="I11" i="167" l="1"/>
  <c r="J11" i="167" s="1"/>
  <c r="I123" i="167"/>
  <c r="J123" i="167" s="1"/>
  <c r="I16" i="167"/>
  <c r="J16" i="167" s="1"/>
  <c r="I129" i="167"/>
  <c r="J129" i="167" s="1"/>
  <c r="I103" i="167"/>
  <c r="J103" i="167" s="1"/>
  <c r="I95" i="167"/>
  <c r="J95" i="167" s="1"/>
  <c r="I32" i="167"/>
  <c r="J32" i="167" s="1"/>
  <c r="J26" i="167"/>
  <c r="I116" i="167"/>
  <c r="J116" i="167" s="1"/>
  <c r="I84" i="167"/>
  <c r="J84" i="167" s="1"/>
  <c r="I126" i="167"/>
  <c r="J126" i="167" s="1"/>
  <c r="I85" i="167"/>
  <c r="J85" i="167" s="1"/>
  <c r="I115" i="167"/>
  <c r="J115" i="167" s="1"/>
  <c r="I122" i="167"/>
  <c r="J122" i="167" s="1"/>
  <c r="I105" i="167"/>
  <c r="J105" i="167" s="1"/>
  <c r="I45" i="167"/>
  <c r="J45" i="167" s="1"/>
  <c r="I109" i="167"/>
  <c r="J109" i="167" s="1"/>
  <c r="I106" i="167"/>
  <c r="J106" i="167" s="1"/>
  <c r="I49" i="167"/>
  <c r="J49" i="167" s="1"/>
  <c r="I8" i="167"/>
  <c r="J8" i="167" s="1"/>
  <c r="I9" i="167"/>
  <c r="J9" i="167" s="1"/>
  <c r="I51" i="167"/>
  <c r="J51" i="167" s="1"/>
  <c r="I125" i="167"/>
  <c r="J125" i="167" s="1"/>
  <c r="I140" i="167"/>
  <c r="J140" i="167" s="1"/>
  <c r="I2" i="167"/>
  <c r="J2" i="167" s="1"/>
  <c r="I28" i="167"/>
  <c r="J28" i="167" s="1"/>
  <c r="I21" i="167"/>
  <c r="I72" i="167"/>
  <c r="J72" i="167" s="1"/>
  <c r="I107" i="167"/>
  <c r="I73" i="167"/>
  <c r="J73" i="167" s="1"/>
  <c r="I31" i="167"/>
  <c r="J31" i="167" s="1"/>
  <c r="I89" i="167"/>
  <c r="J89" i="167" s="1"/>
  <c r="I22" i="167"/>
  <c r="J22" i="167" s="1"/>
  <c r="I74" i="167"/>
  <c r="J74" i="167" s="1"/>
  <c r="I19" i="167"/>
  <c r="J19" i="167" s="1"/>
  <c r="I71" i="167"/>
  <c r="J71" i="167" s="1"/>
  <c r="I69" i="167"/>
  <c r="J69" i="167" s="1"/>
  <c r="I13" i="167"/>
  <c r="J13" i="167" s="1"/>
  <c r="I14" i="167"/>
  <c r="J14" i="167" s="1"/>
  <c r="I61" i="167"/>
  <c r="J61" i="167" s="1"/>
  <c r="I79" i="167"/>
  <c r="J79" i="167" s="1"/>
  <c r="I68" i="167"/>
  <c r="J68" i="167" s="1"/>
  <c r="I117" i="167"/>
  <c r="J117" i="167" s="1"/>
  <c r="I133" i="167"/>
  <c r="J133" i="167" s="1"/>
  <c r="I70" i="167"/>
  <c r="J70" i="167" s="1"/>
  <c r="I33" i="167"/>
  <c r="I18" i="167"/>
  <c r="I34" i="167"/>
  <c r="I93" i="167"/>
  <c r="J93" i="167" s="1"/>
  <c r="I118" i="167"/>
  <c r="J118" i="167" s="1"/>
  <c r="I36" i="167"/>
  <c r="J36" i="167" s="1"/>
  <c r="I78" i="167"/>
  <c r="J78" i="167" s="1"/>
  <c r="I80" i="167"/>
  <c r="J80" i="167" s="1"/>
  <c r="I81" i="167"/>
  <c r="J81" i="167" s="1"/>
  <c r="I4" i="167"/>
  <c r="J4" i="167" s="1"/>
  <c r="I90" i="167"/>
  <c r="J90" i="167" s="1"/>
  <c r="I24" i="167"/>
  <c r="J24" i="167" s="1"/>
  <c r="I94" i="167"/>
  <c r="J94" i="167" s="1"/>
  <c r="I120" i="167"/>
  <c r="J120" i="167" s="1"/>
  <c r="I119" i="167"/>
  <c r="J119" i="167" s="1"/>
  <c r="I139" i="167"/>
  <c r="J139" i="167" s="1"/>
  <c r="I99" i="167"/>
  <c r="J99" i="167" s="1"/>
  <c r="I40" i="167"/>
  <c r="J40" i="167" s="1"/>
  <c r="I76" i="167"/>
  <c r="J76" i="167" s="1"/>
  <c r="I100" i="167"/>
  <c r="J100" i="167" s="1"/>
  <c r="I110" i="167"/>
  <c r="J110" i="167" s="1"/>
  <c r="I121" i="167"/>
  <c r="J121" i="167" s="1"/>
  <c r="I41" i="167"/>
  <c r="J41" i="167" s="1"/>
  <c r="I25" i="167"/>
  <c r="J25" i="167" s="1"/>
  <c r="I77" i="167"/>
  <c r="J77" i="167" s="1"/>
  <c r="AE75" i="47"/>
  <c r="A253" i="166"/>
  <c r="A252" i="166"/>
  <c r="A251" i="166"/>
  <c r="A250" i="166"/>
  <c r="A249" i="166"/>
  <c r="A248" i="166"/>
  <c r="A247" i="166"/>
  <c r="A246" i="166"/>
  <c r="A245" i="166"/>
  <c r="A244" i="166"/>
  <c r="A243" i="166"/>
  <c r="A242" i="166"/>
  <c r="A241" i="166"/>
  <c r="A240" i="166"/>
  <c r="A239" i="166"/>
  <c r="A238" i="166"/>
  <c r="A237" i="166"/>
  <c r="A236" i="166"/>
  <c r="A235" i="166"/>
  <c r="A234" i="166"/>
  <c r="A233" i="166"/>
  <c r="A232" i="166"/>
  <c r="A231" i="166"/>
  <c r="A230" i="166"/>
  <c r="A229" i="166"/>
  <c r="A228" i="166"/>
  <c r="A227" i="166"/>
  <c r="A226" i="166"/>
  <c r="A225" i="166"/>
  <c r="A224" i="166"/>
  <c r="A223" i="166"/>
  <c r="A222" i="166"/>
  <c r="A221" i="166"/>
  <c r="A220" i="166"/>
  <c r="A219" i="166"/>
  <c r="A218" i="166"/>
  <c r="A217" i="166"/>
  <c r="A216" i="166"/>
  <c r="A215" i="166"/>
  <c r="A214" i="166"/>
  <c r="A213" i="166"/>
  <c r="A212" i="166"/>
  <c r="A211" i="166"/>
  <c r="A210" i="166"/>
  <c r="A209" i="166"/>
  <c r="A208" i="166"/>
  <c r="A207" i="166"/>
  <c r="A206" i="166"/>
  <c r="A205" i="166"/>
  <c r="A204" i="166"/>
  <c r="A203" i="166"/>
  <c r="A202" i="166"/>
  <c r="A201" i="166"/>
  <c r="A200" i="166"/>
  <c r="A199" i="166"/>
  <c r="A198" i="166"/>
  <c r="A197" i="166"/>
  <c r="A196" i="166"/>
  <c r="A195" i="166"/>
  <c r="A194" i="166"/>
  <c r="A193" i="166"/>
  <c r="A192" i="166"/>
  <c r="A191" i="166"/>
  <c r="A190" i="166"/>
  <c r="A189" i="166"/>
  <c r="A188" i="166"/>
  <c r="A187" i="166"/>
  <c r="A186" i="166"/>
  <c r="A185" i="166"/>
  <c r="A184" i="166"/>
  <c r="A183" i="166"/>
  <c r="A182" i="166"/>
  <c r="A181" i="166"/>
  <c r="A180" i="166"/>
  <c r="A179" i="166"/>
  <c r="A178" i="166"/>
  <c r="A177" i="166"/>
  <c r="A176" i="166"/>
  <c r="A175" i="166"/>
  <c r="A174" i="166"/>
  <c r="A173" i="166"/>
  <c r="A172" i="166"/>
  <c r="A171" i="166"/>
  <c r="A170" i="166"/>
  <c r="A169" i="166"/>
  <c r="A168" i="166"/>
  <c r="A167" i="166"/>
  <c r="A166" i="166"/>
  <c r="A165" i="166"/>
  <c r="A164" i="166"/>
  <c r="A163" i="166"/>
  <c r="A162" i="166"/>
  <c r="A161" i="166"/>
  <c r="A160" i="166"/>
  <c r="A159" i="166"/>
  <c r="A158" i="166"/>
  <c r="A157" i="166"/>
  <c r="A156" i="166"/>
  <c r="A155" i="166"/>
  <c r="A154" i="166"/>
  <c r="A153" i="166"/>
  <c r="A152" i="166"/>
  <c r="A151" i="166"/>
  <c r="A150" i="166"/>
  <c r="A149" i="166"/>
  <c r="A148" i="166"/>
  <c r="A147" i="166"/>
  <c r="A146" i="166"/>
  <c r="A145" i="166"/>
  <c r="A144" i="166"/>
  <c r="A143" i="166"/>
  <c r="A142" i="166"/>
  <c r="A141" i="166"/>
  <c r="A140" i="166"/>
  <c r="A139" i="166"/>
  <c r="A138" i="166"/>
  <c r="A137" i="166"/>
  <c r="A136" i="166"/>
  <c r="A135" i="166"/>
  <c r="A134" i="166"/>
  <c r="A133" i="166"/>
  <c r="A132" i="166"/>
  <c r="A131" i="166"/>
  <c r="A130" i="166"/>
  <c r="A129" i="166"/>
  <c r="A128" i="166"/>
  <c r="A127" i="166"/>
  <c r="A126" i="166"/>
  <c r="A125" i="166"/>
  <c r="A124" i="166"/>
  <c r="A123" i="166"/>
  <c r="A122" i="166"/>
  <c r="A121" i="166"/>
  <c r="A120" i="166"/>
  <c r="A119" i="166"/>
  <c r="A118" i="166"/>
  <c r="A117" i="166"/>
  <c r="A116" i="166"/>
  <c r="A115" i="166"/>
  <c r="A114" i="166"/>
  <c r="A113" i="166"/>
  <c r="A112" i="166"/>
  <c r="A111" i="166"/>
  <c r="A110" i="166"/>
  <c r="A109" i="166"/>
  <c r="A108" i="166"/>
  <c r="A107" i="166"/>
  <c r="A106" i="166"/>
  <c r="A105" i="166"/>
  <c r="A104" i="166"/>
  <c r="A103" i="166"/>
  <c r="A102" i="166"/>
  <c r="A101" i="166"/>
  <c r="A100" i="166"/>
  <c r="A99" i="166"/>
  <c r="A98" i="166"/>
  <c r="A97" i="166"/>
  <c r="A96" i="166"/>
  <c r="A95" i="166"/>
  <c r="A94" i="166"/>
  <c r="A93" i="166"/>
  <c r="A92" i="166"/>
  <c r="A91" i="166"/>
  <c r="A90" i="166"/>
  <c r="A89" i="166"/>
  <c r="A88" i="166"/>
  <c r="A87" i="166"/>
  <c r="A86" i="166"/>
  <c r="A85" i="166"/>
  <c r="A84" i="166"/>
  <c r="A83" i="166"/>
  <c r="A82" i="166"/>
  <c r="A81" i="166"/>
  <c r="A80" i="166"/>
  <c r="A79" i="166"/>
  <c r="A78" i="166"/>
  <c r="A77" i="166"/>
  <c r="A76" i="166"/>
  <c r="A75" i="166"/>
  <c r="A74" i="166"/>
  <c r="A73" i="166"/>
  <c r="A72" i="166"/>
  <c r="A71" i="166"/>
  <c r="A70" i="166"/>
  <c r="A69" i="166"/>
  <c r="A68" i="166"/>
  <c r="A67" i="166"/>
  <c r="A66" i="166"/>
  <c r="A65" i="166"/>
  <c r="A64" i="166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A2" i="166"/>
  <c r="A253" i="165"/>
  <c r="A252" i="165"/>
  <c r="A251" i="165"/>
  <c r="A250" i="165"/>
  <c r="A249" i="165"/>
  <c r="A248" i="165"/>
  <c r="A247" i="165"/>
  <c r="A246" i="165"/>
  <c r="A245" i="165"/>
  <c r="A244" i="165"/>
  <c r="A243" i="165"/>
  <c r="A242" i="165"/>
  <c r="A241" i="165"/>
  <c r="A240" i="165"/>
  <c r="A239" i="165"/>
  <c r="A238" i="165"/>
  <c r="A237" i="165"/>
  <c r="A236" i="165"/>
  <c r="A235" i="165"/>
  <c r="A234" i="165"/>
  <c r="A233" i="165"/>
  <c r="A232" i="165"/>
  <c r="A231" i="165"/>
  <c r="A230" i="165"/>
  <c r="A229" i="165"/>
  <c r="A228" i="165"/>
  <c r="A227" i="165"/>
  <c r="A226" i="165"/>
  <c r="A225" i="165"/>
  <c r="A224" i="165"/>
  <c r="A223" i="165"/>
  <c r="A222" i="165"/>
  <c r="A221" i="165"/>
  <c r="A220" i="165"/>
  <c r="A219" i="165"/>
  <c r="A218" i="165"/>
  <c r="A217" i="165"/>
  <c r="A216" i="165"/>
  <c r="A215" i="165"/>
  <c r="A214" i="165"/>
  <c r="A213" i="165"/>
  <c r="A212" i="165"/>
  <c r="A211" i="165"/>
  <c r="A210" i="165"/>
  <c r="A209" i="165"/>
  <c r="A208" i="165"/>
  <c r="A207" i="165"/>
  <c r="A206" i="165"/>
  <c r="A205" i="165"/>
  <c r="A204" i="165"/>
  <c r="A203" i="165"/>
  <c r="A202" i="165"/>
  <c r="A201" i="165"/>
  <c r="A200" i="165"/>
  <c r="A199" i="165"/>
  <c r="A198" i="165"/>
  <c r="A197" i="165"/>
  <c r="A196" i="165"/>
  <c r="A195" i="165"/>
  <c r="A194" i="165"/>
  <c r="A193" i="165"/>
  <c r="A192" i="165"/>
  <c r="A191" i="165"/>
  <c r="A190" i="165"/>
  <c r="A189" i="165"/>
  <c r="A188" i="165"/>
  <c r="A187" i="165"/>
  <c r="A186" i="165"/>
  <c r="A185" i="165"/>
  <c r="A184" i="165"/>
  <c r="A183" i="165"/>
  <c r="A182" i="165"/>
  <c r="A181" i="165"/>
  <c r="A180" i="165"/>
  <c r="A179" i="165"/>
  <c r="A178" i="165"/>
  <c r="A177" i="165"/>
  <c r="A176" i="165"/>
  <c r="A175" i="165"/>
  <c r="A174" i="165"/>
  <c r="A173" i="165"/>
  <c r="A172" i="165"/>
  <c r="A171" i="165"/>
  <c r="A170" i="165"/>
  <c r="A169" i="165"/>
  <c r="A168" i="165"/>
  <c r="A167" i="165"/>
  <c r="A166" i="165"/>
  <c r="A165" i="165"/>
  <c r="A164" i="165"/>
  <c r="A163" i="165"/>
  <c r="A162" i="165"/>
  <c r="A161" i="165"/>
  <c r="A160" i="165"/>
  <c r="A159" i="165"/>
  <c r="A158" i="165"/>
  <c r="A157" i="165"/>
  <c r="A156" i="165"/>
  <c r="A155" i="165"/>
  <c r="A154" i="165"/>
  <c r="A153" i="165"/>
  <c r="A152" i="165"/>
  <c r="A151" i="165"/>
  <c r="A150" i="165"/>
  <c r="A149" i="165"/>
  <c r="A148" i="165"/>
  <c r="A147" i="165"/>
  <c r="A146" i="165"/>
  <c r="A145" i="165"/>
  <c r="A144" i="165"/>
  <c r="A143" i="165"/>
  <c r="A142" i="165"/>
  <c r="A141" i="165"/>
  <c r="A140" i="165"/>
  <c r="A139" i="165"/>
  <c r="A138" i="165"/>
  <c r="A137" i="165"/>
  <c r="A136" i="165"/>
  <c r="A135" i="165"/>
  <c r="A134" i="165"/>
  <c r="A133" i="165"/>
  <c r="A132" i="165"/>
  <c r="A131" i="165"/>
  <c r="A130" i="165"/>
  <c r="A129" i="165"/>
  <c r="A128" i="165"/>
  <c r="A127" i="165"/>
  <c r="A126" i="165"/>
  <c r="A125" i="165"/>
  <c r="A124" i="165"/>
  <c r="A123" i="165"/>
  <c r="A122" i="165"/>
  <c r="A121" i="165"/>
  <c r="A120" i="165"/>
  <c r="A119" i="165"/>
  <c r="A118" i="165"/>
  <c r="A117" i="165"/>
  <c r="A116" i="165"/>
  <c r="A115" i="165"/>
  <c r="A114" i="165"/>
  <c r="A113" i="165"/>
  <c r="A112" i="165"/>
  <c r="A111" i="165"/>
  <c r="A110" i="165"/>
  <c r="A109" i="165"/>
  <c r="A108" i="165"/>
  <c r="A107" i="165"/>
  <c r="A106" i="165"/>
  <c r="A105" i="165"/>
  <c r="A104" i="165"/>
  <c r="A103" i="165"/>
  <c r="A102" i="165"/>
  <c r="A101" i="165"/>
  <c r="A100" i="165"/>
  <c r="A99" i="165"/>
  <c r="A98" i="165"/>
  <c r="A97" i="165"/>
  <c r="A96" i="165"/>
  <c r="A95" i="165"/>
  <c r="A94" i="165"/>
  <c r="A93" i="165"/>
  <c r="A92" i="165"/>
  <c r="A91" i="165"/>
  <c r="A90" i="165"/>
  <c r="A89" i="165"/>
  <c r="A88" i="165"/>
  <c r="A87" i="165"/>
  <c r="A86" i="165"/>
  <c r="A85" i="165"/>
  <c r="A84" i="165"/>
  <c r="A83" i="165"/>
  <c r="A82" i="165"/>
  <c r="A81" i="165"/>
  <c r="A80" i="165"/>
  <c r="A79" i="165"/>
  <c r="A78" i="165"/>
  <c r="A77" i="165"/>
  <c r="A76" i="165"/>
  <c r="A75" i="165"/>
  <c r="A74" i="165"/>
  <c r="A73" i="165"/>
  <c r="A72" i="165"/>
  <c r="A71" i="165"/>
  <c r="A70" i="165"/>
  <c r="A69" i="165"/>
  <c r="A68" i="165"/>
  <c r="A67" i="165"/>
  <c r="A66" i="165"/>
  <c r="A65" i="165"/>
  <c r="A64" i="165"/>
  <c r="A63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A4" i="165"/>
  <c r="A3" i="165"/>
  <c r="A2" i="165"/>
  <c r="A253" i="164"/>
  <c r="A252" i="164"/>
  <c r="A251" i="164"/>
  <c r="A250" i="164"/>
  <c r="A249" i="164"/>
  <c r="A248" i="164"/>
  <c r="A247" i="164"/>
  <c r="A246" i="164"/>
  <c r="A245" i="164"/>
  <c r="A244" i="164"/>
  <c r="A243" i="164"/>
  <c r="A242" i="164"/>
  <c r="A241" i="164"/>
  <c r="A240" i="164"/>
  <c r="A239" i="164"/>
  <c r="A238" i="164"/>
  <c r="A237" i="164"/>
  <c r="A236" i="164"/>
  <c r="A235" i="164"/>
  <c r="A234" i="164"/>
  <c r="A233" i="164"/>
  <c r="A232" i="164"/>
  <c r="A231" i="164"/>
  <c r="A230" i="164"/>
  <c r="A229" i="164"/>
  <c r="A228" i="164"/>
  <c r="A227" i="164"/>
  <c r="A226" i="164"/>
  <c r="A225" i="164"/>
  <c r="A224" i="164"/>
  <c r="A223" i="164"/>
  <c r="A222" i="164"/>
  <c r="A221" i="164"/>
  <c r="A220" i="164"/>
  <c r="A219" i="164"/>
  <c r="A218" i="164"/>
  <c r="A217" i="164"/>
  <c r="A216" i="164"/>
  <c r="A215" i="164"/>
  <c r="A214" i="164"/>
  <c r="A213" i="164"/>
  <c r="A212" i="164"/>
  <c r="A211" i="164"/>
  <c r="A210" i="164"/>
  <c r="A209" i="164"/>
  <c r="A208" i="164"/>
  <c r="A207" i="164"/>
  <c r="A206" i="164"/>
  <c r="A205" i="164"/>
  <c r="A204" i="164"/>
  <c r="A203" i="164"/>
  <c r="A202" i="164"/>
  <c r="A201" i="164"/>
  <c r="A200" i="164"/>
  <c r="A199" i="164"/>
  <c r="A198" i="164"/>
  <c r="A197" i="164"/>
  <c r="A196" i="164"/>
  <c r="A195" i="164"/>
  <c r="A194" i="164"/>
  <c r="A193" i="164"/>
  <c r="A192" i="164"/>
  <c r="A191" i="164"/>
  <c r="A190" i="164"/>
  <c r="A189" i="164"/>
  <c r="A188" i="164"/>
  <c r="A187" i="164"/>
  <c r="A186" i="164"/>
  <c r="A185" i="164"/>
  <c r="A184" i="164"/>
  <c r="A183" i="164"/>
  <c r="A182" i="164"/>
  <c r="A181" i="164"/>
  <c r="A180" i="164"/>
  <c r="A179" i="164"/>
  <c r="A178" i="164"/>
  <c r="A177" i="164"/>
  <c r="A176" i="164"/>
  <c r="A175" i="164"/>
  <c r="A174" i="164"/>
  <c r="A173" i="164"/>
  <c r="A172" i="164"/>
  <c r="A171" i="164"/>
  <c r="A170" i="164"/>
  <c r="A169" i="164"/>
  <c r="A168" i="164"/>
  <c r="A167" i="164"/>
  <c r="A166" i="164"/>
  <c r="A165" i="164"/>
  <c r="A164" i="164"/>
  <c r="A163" i="164"/>
  <c r="A162" i="164"/>
  <c r="A161" i="164"/>
  <c r="A160" i="164"/>
  <c r="A159" i="164"/>
  <c r="A158" i="164"/>
  <c r="A157" i="164"/>
  <c r="A156" i="164"/>
  <c r="A155" i="164"/>
  <c r="A154" i="164"/>
  <c r="A153" i="164"/>
  <c r="A152" i="164"/>
  <c r="A151" i="164"/>
  <c r="A150" i="164"/>
  <c r="A149" i="164"/>
  <c r="A148" i="164"/>
  <c r="A147" i="164"/>
  <c r="A146" i="164"/>
  <c r="A145" i="164"/>
  <c r="A144" i="164"/>
  <c r="A143" i="164"/>
  <c r="A142" i="164"/>
  <c r="A141" i="164"/>
  <c r="A140" i="164"/>
  <c r="A139" i="164"/>
  <c r="A138" i="164"/>
  <c r="A137" i="164"/>
  <c r="A136" i="164"/>
  <c r="A135" i="164"/>
  <c r="A134" i="164"/>
  <c r="A133" i="164"/>
  <c r="A132" i="164"/>
  <c r="A131" i="164"/>
  <c r="A130" i="164"/>
  <c r="A129" i="164"/>
  <c r="A128" i="164"/>
  <c r="A127" i="164"/>
  <c r="A126" i="164"/>
  <c r="A125" i="164"/>
  <c r="A124" i="164"/>
  <c r="A123" i="164"/>
  <c r="A122" i="164"/>
  <c r="A121" i="164"/>
  <c r="A120" i="164"/>
  <c r="A119" i="164"/>
  <c r="A118" i="164"/>
  <c r="A117" i="164"/>
  <c r="A116" i="164"/>
  <c r="A115" i="164"/>
  <c r="A114" i="164"/>
  <c r="A113" i="164"/>
  <c r="A112" i="164"/>
  <c r="A111" i="164"/>
  <c r="A110" i="164"/>
  <c r="A109" i="164"/>
  <c r="A108" i="164"/>
  <c r="A107" i="164"/>
  <c r="A106" i="164"/>
  <c r="A105" i="164"/>
  <c r="A104" i="164"/>
  <c r="A103" i="164"/>
  <c r="A102" i="164"/>
  <c r="A101" i="164"/>
  <c r="A100" i="164"/>
  <c r="A99" i="164"/>
  <c r="A98" i="164"/>
  <c r="A97" i="164"/>
  <c r="A96" i="164"/>
  <c r="A95" i="164"/>
  <c r="A94" i="164"/>
  <c r="A93" i="164"/>
  <c r="A92" i="164"/>
  <c r="A91" i="164"/>
  <c r="A90" i="164"/>
  <c r="A89" i="164"/>
  <c r="A88" i="164"/>
  <c r="A87" i="164"/>
  <c r="A86" i="164"/>
  <c r="A85" i="164"/>
  <c r="A84" i="164"/>
  <c r="A83" i="164"/>
  <c r="A82" i="164"/>
  <c r="A81" i="164"/>
  <c r="A80" i="164"/>
  <c r="A79" i="164"/>
  <c r="A78" i="164"/>
  <c r="A77" i="164"/>
  <c r="A76" i="164"/>
  <c r="A75" i="164"/>
  <c r="A74" i="164"/>
  <c r="A73" i="164"/>
  <c r="A72" i="164"/>
  <c r="A71" i="164"/>
  <c r="A70" i="164"/>
  <c r="A69" i="164"/>
  <c r="A68" i="164"/>
  <c r="A67" i="164"/>
  <c r="A66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A5" i="164"/>
  <c r="A4" i="164"/>
  <c r="A3" i="164"/>
  <c r="A2" i="164"/>
  <c r="A253" i="163"/>
  <c r="A252" i="163"/>
  <c r="A251" i="163"/>
  <c r="A250" i="163"/>
  <c r="A249" i="163"/>
  <c r="A248" i="163"/>
  <c r="A247" i="163"/>
  <c r="A246" i="163"/>
  <c r="A245" i="163"/>
  <c r="A244" i="163"/>
  <c r="A243" i="163"/>
  <c r="A242" i="163"/>
  <c r="A241" i="163"/>
  <c r="A240" i="163"/>
  <c r="A239" i="163"/>
  <c r="A238" i="163"/>
  <c r="A237" i="163"/>
  <c r="A236" i="163"/>
  <c r="A235" i="163"/>
  <c r="A234" i="163"/>
  <c r="A233" i="163"/>
  <c r="A232" i="163"/>
  <c r="A231" i="163"/>
  <c r="A230" i="163"/>
  <c r="A229" i="163"/>
  <c r="A228" i="163"/>
  <c r="A227" i="163"/>
  <c r="A226" i="163"/>
  <c r="A225" i="163"/>
  <c r="A224" i="163"/>
  <c r="A223" i="163"/>
  <c r="A222" i="163"/>
  <c r="A221" i="163"/>
  <c r="A220" i="163"/>
  <c r="A219" i="163"/>
  <c r="A218" i="163"/>
  <c r="A217" i="163"/>
  <c r="A216" i="163"/>
  <c r="A215" i="163"/>
  <c r="A214" i="163"/>
  <c r="A213" i="163"/>
  <c r="A212" i="163"/>
  <c r="A211" i="163"/>
  <c r="A210" i="163"/>
  <c r="A209" i="163"/>
  <c r="A208" i="163"/>
  <c r="A207" i="163"/>
  <c r="A206" i="163"/>
  <c r="A205" i="163"/>
  <c r="A204" i="163"/>
  <c r="A203" i="163"/>
  <c r="A202" i="163"/>
  <c r="A201" i="163"/>
  <c r="A200" i="163"/>
  <c r="A199" i="163"/>
  <c r="A198" i="163"/>
  <c r="A197" i="163"/>
  <c r="A196" i="163"/>
  <c r="A195" i="163"/>
  <c r="A194" i="163"/>
  <c r="A193" i="163"/>
  <c r="A192" i="163"/>
  <c r="A191" i="163"/>
  <c r="A190" i="163"/>
  <c r="A189" i="163"/>
  <c r="A188" i="163"/>
  <c r="A187" i="163"/>
  <c r="A186" i="163"/>
  <c r="A185" i="163"/>
  <c r="A184" i="163"/>
  <c r="A183" i="163"/>
  <c r="A182" i="163"/>
  <c r="A181" i="163"/>
  <c r="A180" i="163"/>
  <c r="A179" i="163"/>
  <c r="A178" i="163"/>
  <c r="A177" i="163"/>
  <c r="A176" i="163"/>
  <c r="A175" i="163"/>
  <c r="A174" i="163"/>
  <c r="A173" i="163"/>
  <c r="A172" i="163"/>
  <c r="A171" i="163"/>
  <c r="A170" i="163"/>
  <c r="A169" i="163"/>
  <c r="A168" i="163"/>
  <c r="A167" i="163"/>
  <c r="A166" i="163"/>
  <c r="A165" i="163"/>
  <c r="A164" i="163"/>
  <c r="A163" i="163"/>
  <c r="A162" i="163"/>
  <c r="A161" i="163"/>
  <c r="A160" i="163"/>
  <c r="A159" i="163"/>
  <c r="A158" i="163"/>
  <c r="A157" i="163"/>
  <c r="A156" i="163"/>
  <c r="A155" i="163"/>
  <c r="A154" i="163"/>
  <c r="A153" i="163"/>
  <c r="A152" i="163"/>
  <c r="A151" i="163"/>
  <c r="A150" i="163"/>
  <c r="A149" i="163"/>
  <c r="A148" i="163"/>
  <c r="A147" i="163"/>
  <c r="A146" i="163"/>
  <c r="A145" i="163"/>
  <c r="A144" i="163"/>
  <c r="A143" i="163"/>
  <c r="A142" i="163"/>
  <c r="A141" i="163"/>
  <c r="A140" i="163"/>
  <c r="A139" i="163"/>
  <c r="A138" i="163"/>
  <c r="A137" i="163"/>
  <c r="A136" i="163"/>
  <c r="A135" i="163"/>
  <c r="A134" i="163"/>
  <c r="A133" i="163"/>
  <c r="A132" i="163"/>
  <c r="A131" i="163"/>
  <c r="A130" i="163"/>
  <c r="A129" i="163"/>
  <c r="A128" i="163"/>
  <c r="A127" i="163"/>
  <c r="A126" i="163"/>
  <c r="A125" i="163"/>
  <c r="A124" i="163"/>
  <c r="A123" i="163"/>
  <c r="A122" i="163"/>
  <c r="A121" i="163"/>
  <c r="A120" i="163"/>
  <c r="A119" i="163"/>
  <c r="A118" i="163"/>
  <c r="A117" i="163"/>
  <c r="A116" i="163"/>
  <c r="A115" i="163"/>
  <c r="A114" i="163"/>
  <c r="A113" i="163"/>
  <c r="A112" i="163"/>
  <c r="A111" i="163"/>
  <c r="A110" i="163"/>
  <c r="A109" i="163"/>
  <c r="A108" i="163"/>
  <c r="A107" i="163"/>
  <c r="A106" i="163"/>
  <c r="A105" i="163"/>
  <c r="A104" i="163"/>
  <c r="A103" i="163"/>
  <c r="A102" i="163"/>
  <c r="A101" i="163"/>
  <c r="A100" i="163"/>
  <c r="A99" i="163"/>
  <c r="A98" i="163"/>
  <c r="A97" i="163"/>
  <c r="A96" i="163"/>
  <c r="A95" i="163"/>
  <c r="A94" i="163"/>
  <c r="A93" i="163"/>
  <c r="A92" i="163"/>
  <c r="A91" i="163"/>
  <c r="A90" i="163"/>
  <c r="A89" i="163"/>
  <c r="A88" i="163"/>
  <c r="A87" i="163"/>
  <c r="A86" i="163"/>
  <c r="A85" i="163"/>
  <c r="A84" i="163"/>
  <c r="A83" i="163"/>
  <c r="A82" i="163"/>
  <c r="A81" i="163"/>
  <c r="A80" i="163"/>
  <c r="A79" i="163"/>
  <c r="A78" i="163"/>
  <c r="A77" i="163"/>
  <c r="A76" i="163"/>
  <c r="A75" i="163"/>
  <c r="A74" i="163"/>
  <c r="A73" i="163"/>
  <c r="A72" i="163"/>
  <c r="A71" i="163"/>
  <c r="A70" i="163"/>
  <c r="A69" i="163"/>
  <c r="A68" i="163"/>
  <c r="A67" i="163"/>
  <c r="A66" i="163"/>
  <c r="A65" i="163"/>
  <c r="A64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A2" i="163"/>
  <c r="A253" i="162"/>
  <c r="A252" i="162"/>
  <c r="A251" i="162"/>
  <c r="A250" i="162"/>
  <c r="A249" i="162"/>
  <c r="A248" i="162"/>
  <c r="A247" i="162"/>
  <c r="A246" i="162"/>
  <c r="A245" i="162"/>
  <c r="A244" i="162"/>
  <c r="A243" i="162"/>
  <c r="A242" i="162"/>
  <c r="A241" i="162"/>
  <c r="A240" i="162"/>
  <c r="A239" i="162"/>
  <c r="A238" i="162"/>
  <c r="A237" i="162"/>
  <c r="A236" i="162"/>
  <c r="A235" i="162"/>
  <c r="A234" i="162"/>
  <c r="A233" i="162"/>
  <c r="A232" i="162"/>
  <c r="A231" i="162"/>
  <c r="A230" i="162"/>
  <c r="A229" i="162"/>
  <c r="A228" i="162"/>
  <c r="A227" i="162"/>
  <c r="A226" i="162"/>
  <c r="A225" i="162"/>
  <c r="A224" i="162"/>
  <c r="A223" i="162"/>
  <c r="A222" i="162"/>
  <c r="A221" i="162"/>
  <c r="A220" i="162"/>
  <c r="A219" i="162"/>
  <c r="A218" i="162"/>
  <c r="A217" i="162"/>
  <c r="A216" i="162"/>
  <c r="A215" i="162"/>
  <c r="A214" i="162"/>
  <c r="A213" i="162"/>
  <c r="A212" i="162"/>
  <c r="A211" i="162"/>
  <c r="A210" i="162"/>
  <c r="A209" i="162"/>
  <c r="A208" i="162"/>
  <c r="A207" i="162"/>
  <c r="A206" i="162"/>
  <c r="A205" i="162"/>
  <c r="A204" i="162"/>
  <c r="A203" i="162"/>
  <c r="A202" i="162"/>
  <c r="A201" i="162"/>
  <c r="A200" i="162"/>
  <c r="A199" i="162"/>
  <c r="A198" i="162"/>
  <c r="A197" i="162"/>
  <c r="A196" i="162"/>
  <c r="A195" i="162"/>
  <c r="A194" i="162"/>
  <c r="A193" i="162"/>
  <c r="A192" i="162"/>
  <c r="A191" i="162"/>
  <c r="A190" i="162"/>
  <c r="A189" i="162"/>
  <c r="A188" i="162"/>
  <c r="A187" i="162"/>
  <c r="A186" i="162"/>
  <c r="A185" i="162"/>
  <c r="A184" i="162"/>
  <c r="A183" i="162"/>
  <c r="A182" i="162"/>
  <c r="A181" i="162"/>
  <c r="A180" i="162"/>
  <c r="A179" i="162"/>
  <c r="A178" i="162"/>
  <c r="A177" i="162"/>
  <c r="A176" i="162"/>
  <c r="A175" i="162"/>
  <c r="A174" i="162"/>
  <c r="A173" i="162"/>
  <c r="A172" i="162"/>
  <c r="A171" i="162"/>
  <c r="A170" i="162"/>
  <c r="A169" i="162"/>
  <c r="A168" i="162"/>
  <c r="A167" i="162"/>
  <c r="A166" i="162"/>
  <c r="A165" i="162"/>
  <c r="A164" i="162"/>
  <c r="A163" i="162"/>
  <c r="A162" i="162"/>
  <c r="A161" i="162"/>
  <c r="A160" i="162"/>
  <c r="A159" i="162"/>
  <c r="A158" i="162"/>
  <c r="A157" i="162"/>
  <c r="A156" i="162"/>
  <c r="A155" i="162"/>
  <c r="A154" i="162"/>
  <c r="A153" i="162"/>
  <c r="A152" i="162"/>
  <c r="A151" i="162"/>
  <c r="A150" i="162"/>
  <c r="A149" i="162"/>
  <c r="A148" i="162"/>
  <c r="A147" i="162"/>
  <c r="A146" i="162"/>
  <c r="A145" i="162"/>
  <c r="A144" i="162"/>
  <c r="A143" i="162"/>
  <c r="A142" i="162"/>
  <c r="A141" i="162"/>
  <c r="A140" i="162"/>
  <c r="A139" i="162"/>
  <c r="A138" i="162"/>
  <c r="A137" i="162"/>
  <c r="A136" i="162"/>
  <c r="A135" i="162"/>
  <c r="A134" i="162"/>
  <c r="A133" i="162"/>
  <c r="A132" i="162"/>
  <c r="A131" i="162"/>
  <c r="A130" i="162"/>
  <c r="A129" i="162"/>
  <c r="A128" i="162"/>
  <c r="A127" i="162"/>
  <c r="A126" i="162"/>
  <c r="A125" i="162"/>
  <c r="A124" i="162"/>
  <c r="A123" i="162"/>
  <c r="A122" i="162"/>
  <c r="A121" i="162"/>
  <c r="A120" i="162"/>
  <c r="A119" i="162"/>
  <c r="A118" i="162"/>
  <c r="A117" i="162"/>
  <c r="A116" i="162"/>
  <c r="A115" i="162"/>
  <c r="A114" i="162"/>
  <c r="A113" i="162"/>
  <c r="A112" i="162"/>
  <c r="A111" i="162"/>
  <c r="A110" i="162"/>
  <c r="A109" i="162"/>
  <c r="A108" i="162"/>
  <c r="A107" i="162"/>
  <c r="A106" i="162"/>
  <c r="A105" i="162"/>
  <c r="A104" i="162"/>
  <c r="A103" i="162"/>
  <c r="A102" i="162"/>
  <c r="A101" i="162"/>
  <c r="A100" i="162"/>
  <c r="A99" i="162"/>
  <c r="A98" i="162"/>
  <c r="A97" i="162"/>
  <c r="A96" i="162"/>
  <c r="A95" i="162"/>
  <c r="A94" i="162"/>
  <c r="A93" i="162"/>
  <c r="A92" i="162"/>
  <c r="A91" i="162"/>
  <c r="A90" i="162"/>
  <c r="A89" i="162"/>
  <c r="A88" i="162"/>
  <c r="A87" i="162"/>
  <c r="A86" i="162"/>
  <c r="A85" i="162"/>
  <c r="A84" i="162"/>
  <c r="A83" i="162"/>
  <c r="A82" i="162"/>
  <c r="A81" i="162"/>
  <c r="A80" i="162"/>
  <c r="A79" i="162"/>
  <c r="A78" i="162"/>
  <c r="A77" i="162"/>
  <c r="A76" i="162"/>
  <c r="A75" i="162"/>
  <c r="A74" i="162"/>
  <c r="A73" i="162"/>
  <c r="A72" i="162"/>
  <c r="A71" i="162"/>
  <c r="A70" i="162"/>
  <c r="A69" i="162"/>
  <c r="A68" i="162"/>
  <c r="A67" i="162"/>
  <c r="A66" i="162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A3" i="162"/>
  <c r="A2" i="162"/>
  <c r="A129" i="161"/>
  <c r="A128" i="161"/>
  <c r="A127" i="161"/>
  <c r="A126" i="161"/>
  <c r="A125" i="161"/>
  <c r="A124" i="161"/>
  <c r="A123" i="161"/>
  <c r="A122" i="161"/>
  <c r="A121" i="161"/>
  <c r="A120" i="161"/>
  <c r="A119" i="161"/>
  <c r="A118" i="161"/>
  <c r="A117" i="161"/>
  <c r="A116" i="161"/>
  <c r="A115" i="161"/>
  <c r="A114" i="161"/>
  <c r="A113" i="161"/>
  <c r="A112" i="161"/>
  <c r="A111" i="161"/>
  <c r="A110" i="161"/>
  <c r="A109" i="161"/>
  <c r="A108" i="161"/>
  <c r="A107" i="161"/>
  <c r="A106" i="161"/>
  <c r="A105" i="161"/>
  <c r="A104" i="161"/>
  <c r="A103" i="161"/>
  <c r="A102" i="161"/>
  <c r="A101" i="161"/>
  <c r="A100" i="161"/>
  <c r="A99" i="161"/>
  <c r="A98" i="161"/>
  <c r="A97" i="161"/>
  <c r="A96" i="161"/>
  <c r="A95" i="161"/>
  <c r="A94" i="161"/>
  <c r="A93" i="161"/>
  <c r="A92" i="161"/>
  <c r="A91" i="161"/>
  <c r="A90" i="161"/>
  <c r="A89" i="161"/>
  <c r="A88" i="161"/>
  <c r="A87" i="161"/>
  <c r="A86" i="161"/>
  <c r="A85" i="161"/>
  <c r="A84" i="161"/>
  <c r="A83" i="161"/>
  <c r="A82" i="161"/>
  <c r="A81" i="161"/>
  <c r="A80" i="161"/>
  <c r="A79" i="161"/>
  <c r="A78" i="161"/>
  <c r="A77" i="161"/>
  <c r="A76" i="161"/>
  <c r="A75" i="161"/>
  <c r="A74" i="161"/>
  <c r="A73" i="161"/>
  <c r="A72" i="161"/>
  <c r="A71" i="161"/>
  <c r="A70" i="161"/>
  <c r="A69" i="161"/>
  <c r="A68" i="161"/>
  <c r="A67" i="161"/>
  <c r="A66" i="161"/>
  <c r="A65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A3" i="161"/>
  <c r="A2" i="161"/>
  <c r="A129" i="160"/>
  <c r="A128" i="160"/>
  <c r="A127" i="160"/>
  <c r="A126" i="160"/>
  <c r="A125" i="160"/>
  <c r="A124" i="160"/>
  <c r="A123" i="160"/>
  <c r="A122" i="160"/>
  <c r="A121" i="160"/>
  <c r="A120" i="160"/>
  <c r="A119" i="160"/>
  <c r="A118" i="160"/>
  <c r="A117" i="160"/>
  <c r="A116" i="160"/>
  <c r="A115" i="160"/>
  <c r="A114" i="160"/>
  <c r="A113" i="160"/>
  <c r="A112" i="160"/>
  <c r="A111" i="160"/>
  <c r="A110" i="160"/>
  <c r="A109" i="160"/>
  <c r="A108" i="160"/>
  <c r="A107" i="160"/>
  <c r="A106" i="160"/>
  <c r="A105" i="160"/>
  <c r="A104" i="160"/>
  <c r="A103" i="160"/>
  <c r="A102" i="160"/>
  <c r="A101" i="160"/>
  <c r="A100" i="160"/>
  <c r="A99" i="160"/>
  <c r="A98" i="160"/>
  <c r="A97" i="160"/>
  <c r="A96" i="160"/>
  <c r="A95" i="160"/>
  <c r="A94" i="160"/>
  <c r="A93" i="160"/>
  <c r="A92" i="160"/>
  <c r="A91" i="160"/>
  <c r="A90" i="160"/>
  <c r="A89" i="160"/>
  <c r="A88" i="160"/>
  <c r="A87" i="160"/>
  <c r="A86" i="160"/>
  <c r="A85" i="160"/>
  <c r="A84" i="160"/>
  <c r="A83" i="160"/>
  <c r="A82" i="160"/>
  <c r="A81" i="160"/>
  <c r="A80" i="160"/>
  <c r="A79" i="160"/>
  <c r="A78" i="160"/>
  <c r="A77" i="160"/>
  <c r="A76" i="160"/>
  <c r="A75" i="160"/>
  <c r="A74" i="160"/>
  <c r="A73" i="160"/>
  <c r="A72" i="160"/>
  <c r="A71" i="160"/>
  <c r="A70" i="160"/>
  <c r="A69" i="160"/>
  <c r="A68" i="160"/>
  <c r="A67" i="160"/>
  <c r="A66" i="160"/>
  <c r="A65" i="160"/>
  <c r="A64" i="160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A2" i="160"/>
  <c r="A329" i="159"/>
  <c r="A328" i="159"/>
  <c r="A327" i="159"/>
  <c r="A326" i="159"/>
  <c r="A325" i="159"/>
  <c r="A324" i="159"/>
  <c r="A323" i="159"/>
  <c r="A322" i="159"/>
  <c r="A321" i="159"/>
  <c r="A320" i="159"/>
  <c r="A319" i="159"/>
  <c r="A318" i="159"/>
  <c r="A317" i="159"/>
  <c r="A316" i="159"/>
  <c r="A315" i="159"/>
  <c r="A314" i="159"/>
  <c r="A313" i="159"/>
  <c r="A312" i="159"/>
  <c r="A311" i="159"/>
  <c r="A310" i="159"/>
  <c r="A309" i="159"/>
  <c r="A308" i="159"/>
  <c r="A307" i="159"/>
  <c r="A306" i="159"/>
  <c r="A305" i="159"/>
  <c r="A304" i="159"/>
  <c r="A303" i="159"/>
  <c r="A302" i="159"/>
  <c r="A301" i="159"/>
  <c r="A300" i="159"/>
  <c r="A299" i="159"/>
  <c r="A298" i="159"/>
  <c r="A297" i="159"/>
  <c r="A296" i="159"/>
  <c r="A295" i="159"/>
  <c r="A294" i="159"/>
  <c r="A293" i="159"/>
  <c r="A292" i="159"/>
  <c r="A291" i="159"/>
  <c r="A290" i="159"/>
  <c r="A289" i="159"/>
  <c r="A288" i="159"/>
  <c r="A287" i="159"/>
  <c r="A286" i="159"/>
  <c r="A285" i="159"/>
  <c r="A284" i="159"/>
  <c r="A283" i="159"/>
  <c r="A282" i="159"/>
  <c r="A281" i="159"/>
  <c r="A280" i="159"/>
  <c r="A279" i="159"/>
  <c r="A278" i="159"/>
  <c r="A277" i="159"/>
  <c r="A276" i="159"/>
  <c r="A275" i="159"/>
  <c r="A274" i="159"/>
  <c r="A273" i="159"/>
  <c r="A272" i="159"/>
  <c r="A271" i="159"/>
  <c r="A270" i="159"/>
  <c r="A269" i="159"/>
  <c r="A268" i="159"/>
  <c r="A267" i="159"/>
  <c r="A266" i="159"/>
  <c r="A265" i="159"/>
  <c r="A264" i="159"/>
  <c r="A263" i="159"/>
  <c r="A262" i="159"/>
  <c r="A261" i="159"/>
  <c r="A260" i="159"/>
  <c r="A259" i="159"/>
  <c r="A258" i="159"/>
  <c r="A257" i="159"/>
  <c r="A256" i="159"/>
  <c r="A255" i="159"/>
  <c r="A254" i="159"/>
  <c r="A253" i="159"/>
  <c r="A252" i="159"/>
  <c r="A251" i="159"/>
  <c r="A250" i="159"/>
  <c r="A249" i="159"/>
  <c r="A248" i="159"/>
  <c r="A247" i="159"/>
  <c r="A246" i="159"/>
  <c r="A245" i="159"/>
  <c r="A244" i="159"/>
  <c r="A243" i="159"/>
  <c r="A242" i="159"/>
  <c r="A241" i="159"/>
  <c r="A240" i="159"/>
  <c r="A239" i="159"/>
  <c r="A238" i="159"/>
  <c r="A237" i="159"/>
  <c r="A236" i="159"/>
  <c r="A235" i="159"/>
  <c r="A234" i="159"/>
  <c r="A233" i="159"/>
  <c r="A232" i="159"/>
  <c r="A231" i="159"/>
  <c r="A230" i="159"/>
  <c r="A229" i="159"/>
  <c r="A228" i="159"/>
  <c r="A227" i="159"/>
  <c r="A226" i="159"/>
  <c r="A225" i="159"/>
  <c r="A224" i="159"/>
  <c r="A223" i="159"/>
  <c r="A222" i="159"/>
  <c r="A221" i="159"/>
  <c r="A220" i="159"/>
  <c r="A219" i="159"/>
  <c r="A218" i="159"/>
  <c r="A217" i="159"/>
  <c r="A216" i="159"/>
  <c r="A215" i="159"/>
  <c r="A214" i="159"/>
  <c r="A213" i="159"/>
  <c r="A212" i="159"/>
  <c r="A211" i="159"/>
  <c r="A210" i="159"/>
  <c r="A209" i="159"/>
  <c r="A208" i="159"/>
  <c r="A207" i="159"/>
  <c r="A206" i="159"/>
  <c r="A205" i="159"/>
  <c r="A204" i="159"/>
  <c r="A203" i="159"/>
  <c r="A202" i="159"/>
  <c r="A201" i="159"/>
  <c r="A200" i="159"/>
  <c r="A199" i="159"/>
  <c r="A198" i="159"/>
  <c r="A197" i="159"/>
  <c r="A196" i="159"/>
  <c r="A195" i="159"/>
  <c r="A194" i="159"/>
  <c r="A193" i="159"/>
  <c r="A192" i="159"/>
  <c r="A191" i="159"/>
  <c r="A190" i="159"/>
  <c r="A189" i="159"/>
  <c r="A188" i="159"/>
  <c r="A187" i="159"/>
  <c r="A186" i="159"/>
  <c r="A185" i="159"/>
  <c r="A184" i="159"/>
  <c r="A183" i="159"/>
  <c r="A182" i="159"/>
  <c r="A181" i="159"/>
  <c r="A180" i="159"/>
  <c r="A179" i="159"/>
  <c r="A178" i="159"/>
  <c r="A177" i="159"/>
  <c r="A176" i="159"/>
  <c r="A175" i="159"/>
  <c r="A174" i="159"/>
  <c r="A173" i="159"/>
  <c r="A172" i="159"/>
  <c r="A171" i="159"/>
  <c r="A170" i="159"/>
  <c r="A169" i="159"/>
  <c r="A168" i="159"/>
  <c r="A167" i="159"/>
  <c r="A166" i="159"/>
  <c r="A165" i="159"/>
  <c r="A164" i="159"/>
  <c r="A163" i="159"/>
  <c r="A162" i="159"/>
  <c r="A161" i="159"/>
  <c r="A160" i="159"/>
  <c r="A159" i="159"/>
  <c r="A158" i="159"/>
  <c r="A157" i="159"/>
  <c r="A156" i="159"/>
  <c r="A155" i="159"/>
  <c r="A154" i="159"/>
  <c r="A153" i="159"/>
  <c r="A152" i="159"/>
  <c r="A151" i="159"/>
  <c r="A150" i="159"/>
  <c r="A149" i="159"/>
  <c r="A148" i="159"/>
  <c r="A147" i="159"/>
  <c r="A146" i="159"/>
  <c r="A145" i="159"/>
  <c r="A144" i="159"/>
  <c r="A143" i="159"/>
  <c r="A142" i="159"/>
  <c r="A141" i="159"/>
  <c r="A140" i="159"/>
  <c r="A139" i="159"/>
  <c r="A138" i="159"/>
  <c r="A137" i="159"/>
  <c r="A136" i="159"/>
  <c r="A135" i="159"/>
  <c r="A134" i="159"/>
  <c r="A133" i="159"/>
  <c r="A132" i="159"/>
  <c r="A131" i="159"/>
  <c r="A130" i="159"/>
  <c r="A129" i="159"/>
  <c r="A128" i="159"/>
  <c r="A127" i="159"/>
  <c r="A126" i="159"/>
  <c r="A125" i="159"/>
  <c r="A124" i="159"/>
  <c r="A123" i="159"/>
  <c r="A122" i="159"/>
  <c r="A121" i="159"/>
  <c r="A120" i="159"/>
  <c r="A119" i="159"/>
  <c r="A118" i="159"/>
  <c r="A117" i="159"/>
  <c r="A116" i="159"/>
  <c r="A115" i="159"/>
  <c r="A114" i="159"/>
  <c r="A113" i="159"/>
  <c r="A112" i="159"/>
  <c r="A111" i="159"/>
  <c r="A110" i="159"/>
  <c r="A109" i="159"/>
  <c r="A108" i="159"/>
  <c r="A107" i="159"/>
  <c r="A106" i="159"/>
  <c r="A105" i="159"/>
  <c r="A104" i="159"/>
  <c r="A103" i="159"/>
  <c r="A102" i="159"/>
  <c r="A101" i="159"/>
  <c r="A100" i="159"/>
  <c r="A99" i="159"/>
  <c r="A98" i="159"/>
  <c r="A97" i="159"/>
  <c r="A96" i="159"/>
  <c r="A95" i="159"/>
  <c r="A94" i="159"/>
  <c r="A93" i="159"/>
  <c r="A92" i="159"/>
  <c r="A91" i="159"/>
  <c r="A90" i="159"/>
  <c r="A89" i="159"/>
  <c r="A88" i="159"/>
  <c r="A87" i="159"/>
  <c r="A86" i="159"/>
  <c r="A85" i="159"/>
  <c r="A84" i="159"/>
  <c r="A83" i="159"/>
  <c r="A82" i="159"/>
  <c r="A81" i="159"/>
  <c r="A80" i="159"/>
  <c r="A79" i="159"/>
  <c r="A78" i="159"/>
  <c r="A77" i="159"/>
  <c r="A76" i="159"/>
  <c r="A75" i="159"/>
  <c r="A74" i="159"/>
  <c r="A73" i="159"/>
  <c r="A72" i="159"/>
  <c r="A71" i="159"/>
  <c r="A70" i="159"/>
  <c r="A69" i="159"/>
  <c r="A68" i="159"/>
  <c r="A67" i="159"/>
  <c r="A66" i="159"/>
  <c r="A65" i="159"/>
  <c r="A64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A2" i="159"/>
  <c r="A16" i="152"/>
  <c r="A15" i="152"/>
  <c r="A12" i="152"/>
  <c r="A9" i="152"/>
  <c r="A13" i="152"/>
  <c r="A8" i="152"/>
  <c r="A7" i="152"/>
  <c r="A11" i="152"/>
  <c r="A10" i="152"/>
  <c r="A14" i="152"/>
  <c r="A16" i="151"/>
  <c r="A15" i="151"/>
  <c r="A12" i="151"/>
  <c r="A9" i="151"/>
  <c r="A13" i="151"/>
  <c r="A8" i="151"/>
  <c r="A14" i="151"/>
  <c r="A11" i="151"/>
  <c r="A10" i="151"/>
  <c r="A7" i="151"/>
  <c r="Q16" i="150"/>
  <c r="A16" i="150"/>
  <c r="Q15" i="150"/>
  <c r="A15" i="150"/>
  <c r="Q7" i="150"/>
  <c r="A7" i="150"/>
  <c r="Q8" i="150"/>
  <c r="A8" i="150"/>
  <c r="Q13" i="150"/>
  <c r="A13" i="150"/>
  <c r="Q10" i="150"/>
  <c r="A10" i="150"/>
  <c r="Q14" i="150"/>
  <c r="A14" i="150"/>
  <c r="Q12" i="150"/>
  <c r="A12" i="150"/>
  <c r="Q11" i="150"/>
  <c r="A11" i="150"/>
  <c r="Q9" i="150"/>
  <c r="A9" i="150"/>
  <c r="A16" i="143"/>
  <c r="A15" i="143"/>
  <c r="A13" i="143"/>
  <c r="A7" i="143"/>
  <c r="A12" i="143"/>
  <c r="A14" i="143"/>
  <c r="A9" i="143"/>
  <c r="A8" i="143"/>
  <c r="A11" i="143"/>
  <c r="A10" i="143"/>
  <c r="A16" i="142"/>
  <c r="A15" i="142"/>
  <c r="A13" i="142"/>
  <c r="A7" i="142"/>
  <c r="A12" i="142"/>
  <c r="A14" i="142"/>
  <c r="A9" i="142"/>
  <c r="A8" i="142"/>
  <c r="A11" i="142"/>
  <c r="A10" i="142"/>
  <c r="Q16" i="141"/>
  <c r="A16" i="141"/>
  <c r="Q15" i="141"/>
  <c r="A15" i="141"/>
  <c r="Q11" i="141"/>
  <c r="A11" i="141"/>
  <c r="Q10" i="141"/>
  <c r="A10" i="141"/>
  <c r="Q14" i="141"/>
  <c r="A14" i="141"/>
  <c r="Q7" i="141"/>
  <c r="A7" i="141"/>
  <c r="Q13" i="141"/>
  <c r="A13" i="141"/>
  <c r="Q12" i="141"/>
  <c r="A12" i="141"/>
  <c r="Q9" i="141"/>
  <c r="A9" i="141"/>
  <c r="Q8" i="141"/>
  <c r="A8" i="141"/>
  <c r="A4" i="138"/>
  <c r="A4" i="137"/>
  <c r="A4" i="136"/>
  <c r="P36" i="133"/>
  <c r="P28" i="133"/>
  <c r="P27" i="133"/>
  <c r="P26" i="133"/>
  <c r="P24" i="133"/>
  <c r="P13" i="133"/>
  <c r="P10" i="133"/>
  <c r="P9" i="133"/>
  <c r="P35" i="133"/>
  <c r="P34" i="133"/>
  <c r="P33" i="133"/>
  <c r="P32" i="133"/>
  <c r="P31" i="133"/>
  <c r="P30" i="133"/>
  <c r="P29" i="133"/>
  <c r="P25" i="133"/>
  <c r="P23" i="133"/>
  <c r="P22" i="133"/>
  <c r="P21" i="133"/>
  <c r="P20" i="133"/>
  <c r="P19" i="133"/>
  <c r="P18" i="133"/>
  <c r="P17" i="133"/>
  <c r="P16" i="133"/>
  <c r="P15" i="133"/>
  <c r="P14" i="133"/>
  <c r="P12" i="133"/>
  <c r="P11" i="133"/>
  <c r="P8" i="133"/>
  <c r="P7" i="133"/>
  <c r="Q37" i="132"/>
  <c r="Q29" i="132"/>
  <c r="Q28" i="132"/>
  <c r="Q27" i="132"/>
  <c r="Q25" i="132"/>
  <c r="Q14" i="132"/>
  <c r="Q11" i="132"/>
  <c r="Q10" i="132"/>
  <c r="Q36" i="132"/>
  <c r="Q8" i="132"/>
  <c r="Q35" i="132"/>
  <c r="Q34" i="132"/>
  <c r="Q33" i="132"/>
  <c r="Q32" i="132"/>
  <c r="Q31" i="132"/>
  <c r="Q30" i="132"/>
  <c r="Q26" i="132"/>
  <c r="Q24" i="132"/>
  <c r="Q23" i="132"/>
  <c r="Q22" i="132"/>
  <c r="Q21" i="132"/>
  <c r="Q20" i="132"/>
  <c r="Q19" i="132"/>
  <c r="Q18" i="132"/>
  <c r="Q17" i="132"/>
  <c r="Q16" i="132"/>
  <c r="Q15" i="132"/>
  <c r="Q13" i="132"/>
  <c r="Q12" i="132"/>
  <c r="Q9" i="132"/>
  <c r="Q7" i="132"/>
  <c r="Q37" i="131"/>
  <c r="Q28" i="131"/>
  <c r="Q10" i="131"/>
  <c r="Q21" i="131"/>
  <c r="Q32" i="131"/>
  <c r="Q18" i="131"/>
  <c r="Q34" i="131"/>
  <c r="Q31" i="131"/>
  <c r="Q27" i="131"/>
  <c r="Q35" i="131"/>
  <c r="Q16" i="131"/>
  <c r="Q29" i="131"/>
  <c r="Q26" i="131"/>
  <c r="Q7" i="131"/>
  <c r="Q24" i="131"/>
  <c r="Q22" i="131"/>
  <c r="Q17" i="131"/>
  <c r="Q15" i="131"/>
  <c r="Q30" i="131"/>
  <c r="Q25" i="131"/>
  <c r="Q33" i="131"/>
  <c r="Q14" i="131"/>
  <c r="Q9" i="131"/>
  <c r="Q19" i="131"/>
  <c r="Q11" i="131"/>
  <c r="Q23" i="131"/>
  <c r="Q13" i="131"/>
  <c r="Q12" i="131"/>
  <c r="Q8" i="131"/>
  <c r="Q20" i="131"/>
  <c r="A4" i="129"/>
  <c r="A4" i="128"/>
  <c r="A4" i="127"/>
  <c r="A4" i="126"/>
  <c r="A4" i="125"/>
  <c r="A4" i="124"/>
  <c r="A4" i="123"/>
  <c r="A4" i="122"/>
  <c r="A4" i="121"/>
  <c r="A4" i="120"/>
  <c r="A4" i="119"/>
  <c r="A4" i="118"/>
  <c r="A4" i="117"/>
  <c r="A4" i="116"/>
  <c r="A4" i="115"/>
  <c r="A4" i="114"/>
  <c r="A4" i="113"/>
  <c r="A4" i="112"/>
  <c r="AB29" i="105"/>
  <c r="AB28" i="105"/>
  <c r="AB27" i="105"/>
  <c r="AB26" i="105"/>
  <c r="AB24" i="105"/>
  <c r="AB23" i="105"/>
  <c r="AB22" i="105"/>
  <c r="AB21" i="105"/>
  <c r="AB19" i="105"/>
  <c r="AB18" i="105"/>
  <c r="AB20" i="105"/>
  <c r="AB15" i="105"/>
  <c r="AB14" i="105"/>
  <c r="AB12" i="105"/>
  <c r="AB11" i="105"/>
  <c r="AB10" i="105"/>
  <c r="AB9" i="105"/>
  <c r="AB30" i="105"/>
  <c r="AB8" i="105"/>
  <c r="AB25" i="105"/>
  <c r="AB17" i="105"/>
  <c r="AB16" i="105"/>
  <c r="AB13" i="105"/>
  <c r="AB7" i="105"/>
  <c r="AB28" i="104"/>
  <c r="AB27" i="104"/>
  <c r="AB26" i="104"/>
  <c r="AB25" i="104"/>
  <c r="AB23" i="104"/>
  <c r="AB22" i="104"/>
  <c r="AB21" i="104"/>
  <c r="AB20" i="104"/>
  <c r="AB18" i="104"/>
  <c r="AB17" i="104"/>
  <c r="AB19" i="104"/>
  <c r="AB14" i="104"/>
  <c r="AB13" i="104"/>
  <c r="AB11" i="104"/>
  <c r="AB10" i="104"/>
  <c r="AB9" i="104"/>
  <c r="AB8" i="104"/>
  <c r="AB29" i="104"/>
  <c r="AB24" i="104"/>
  <c r="AB16" i="104"/>
  <c r="AB15" i="104"/>
  <c r="AB12" i="104"/>
  <c r="AB7" i="104"/>
  <c r="U122" i="81"/>
  <c r="U121" i="81"/>
  <c r="U120" i="81"/>
  <c r="U119" i="81"/>
  <c r="U118" i="81"/>
  <c r="U115" i="81"/>
  <c r="U114" i="81"/>
  <c r="U113" i="81"/>
  <c r="U111" i="81"/>
  <c r="U98" i="81"/>
  <c r="U97" i="81"/>
  <c r="U96" i="81"/>
  <c r="U95" i="81"/>
  <c r="U94" i="81"/>
  <c r="U93" i="81"/>
  <c r="U92" i="81"/>
  <c r="U89" i="81"/>
  <c r="U88" i="81"/>
  <c r="U87" i="81"/>
  <c r="U86" i="81"/>
  <c r="U85" i="81"/>
  <c r="U81" i="81"/>
  <c r="U80" i="81"/>
  <c r="U79" i="81"/>
  <c r="U78" i="81"/>
  <c r="U77" i="81"/>
  <c r="U75" i="81"/>
  <c r="U74" i="81"/>
  <c r="U73" i="81"/>
  <c r="U72" i="81"/>
  <c r="U71" i="81"/>
  <c r="U69" i="81"/>
  <c r="U68" i="81"/>
  <c r="U70" i="81"/>
  <c r="U64" i="81"/>
  <c r="U63" i="81"/>
  <c r="U61" i="81"/>
  <c r="U60" i="81"/>
  <c r="U59" i="81"/>
  <c r="U58" i="81"/>
  <c r="U56" i="81"/>
  <c r="U55" i="81"/>
  <c r="U54" i="81"/>
  <c r="U53" i="81"/>
  <c r="U45" i="81"/>
  <c r="U42" i="81"/>
  <c r="U41" i="81"/>
  <c r="U40" i="81"/>
  <c r="U37" i="81"/>
  <c r="U36" i="81"/>
  <c r="U35" i="81"/>
  <c r="U30" i="81"/>
  <c r="U29" i="81"/>
  <c r="U28" i="81"/>
  <c r="U24" i="81"/>
  <c r="U23" i="81"/>
  <c r="U22" i="81"/>
  <c r="U110" i="81"/>
  <c r="U17" i="81"/>
  <c r="U12" i="81"/>
  <c r="U16" i="81"/>
  <c r="U15" i="81"/>
  <c r="U11" i="81"/>
  <c r="U8" i="81"/>
  <c r="U7" i="81"/>
  <c r="U117" i="81"/>
  <c r="U116" i="81"/>
  <c r="U112" i="81"/>
  <c r="U109" i="81"/>
  <c r="U108" i="81"/>
  <c r="U107" i="81"/>
  <c r="U106" i="81"/>
  <c r="U105" i="81"/>
  <c r="U104" i="81"/>
  <c r="U103" i="81"/>
  <c r="U102" i="81"/>
  <c r="U101" i="81"/>
  <c r="U100" i="81"/>
  <c r="U99" i="81"/>
  <c r="U91" i="81"/>
  <c r="U90" i="81"/>
  <c r="U84" i="81"/>
  <c r="U83" i="81"/>
  <c r="U82" i="81"/>
  <c r="U76" i="81"/>
  <c r="U67" i="81"/>
  <c r="U66" i="81"/>
  <c r="U65" i="81"/>
  <c r="U62" i="81"/>
  <c r="U57" i="81"/>
  <c r="U52" i="81"/>
  <c r="U51" i="81"/>
  <c r="U50" i="81"/>
  <c r="U49" i="81"/>
  <c r="U48" i="81"/>
  <c r="U47" i="81"/>
  <c r="U46" i="81"/>
  <c r="U44" i="81"/>
  <c r="U43" i="81"/>
  <c r="U39" i="81"/>
  <c r="U38" i="81"/>
  <c r="U34" i="81"/>
  <c r="U33" i="81"/>
  <c r="U32" i="81"/>
  <c r="U31" i="81"/>
  <c r="U27" i="81"/>
  <c r="U26" i="81"/>
  <c r="U25" i="81"/>
  <c r="U21" i="81"/>
  <c r="U20" i="81"/>
  <c r="U19" i="81"/>
  <c r="U18" i="81"/>
  <c r="U14" i="81"/>
  <c r="U13" i="81"/>
  <c r="U10" i="81"/>
  <c r="U9" i="81"/>
  <c r="U122" i="80"/>
  <c r="U121" i="80"/>
  <c r="U120" i="80"/>
  <c r="U119" i="80"/>
  <c r="U118" i="80"/>
  <c r="U115" i="80"/>
  <c r="U114" i="80"/>
  <c r="U113" i="80"/>
  <c r="U111" i="80"/>
  <c r="U98" i="80"/>
  <c r="U97" i="80"/>
  <c r="U96" i="80"/>
  <c r="U95" i="80"/>
  <c r="U94" i="80"/>
  <c r="U93" i="80"/>
  <c r="U92" i="80"/>
  <c r="U89" i="80"/>
  <c r="U88" i="80"/>
  <c r="U87" i="80"/>
  <c r="U86" i="80"/>
  <c r="U85" i="80"/>
  <c r="U81" i="80"/>
  <c r="U80" i="80"/>
  <c r="U79" i="80"/>
  <c r="U78" i="80"/>
  <c r="U77" i="80"/>
  <c r="U75" i="80"/>
  <c r="U74" i="80"/>
  <c r="U73" i="80"/>
  <c r="U72" i="80"/>
  <c r="U71" i="80"/>
  <c r="U69" i="80"/>
  <c r="U68" i="80"/>
  <c r="U70" i="80"/>
  <c r="U64" i="80"/>
  <c r="U63" i="80"/>
  <c r="U61" i="80"/>
  <c r="U60" i="80"/>
  <c r="U59" i="80"/>
  <c r="U58" i="80"/>
  <c r="U56" i="80"/>
  <c r="U55" i="80"/>
  <c r="U54" i="80"/>
  <c r="U53" i="80"/>
  <c r="U45" i="80"/>
  <c r="U42" i="80"/>
  <c r="U41" i="80"/>
  <c r="U40" i="80"/>
  <c r="U37" i="80"/>
  <c r="U36" i="80"/>
  <c r="U35" i="80"/>
  <c r="U30" i="80"/>
  <c r="U29" i="80"/>
  <c r="U28" i="80"/>
  <c r="U24" i="80"/>
  <c r="U23" i="80"/>
  <c r="U22" i="80"/>
  <c r="U110" i="80"/>
  <c r="U17" i="80"/>
  <c r="U12" i="80"/>
  <c r="U16" i="80"/>
  <c r="U15" i="80"/>
  <c r="U11" i="80"/>
  <c r="U8" i="80"/>
  <c r="U7" i="80"/>
  <c r="U117" i="80"/>
  <c r="U116" i="80"/>
  <c r="U112" i="80"/>
  <c r="U109" i="80"/>
  <c r="U108" i="80"/>
  <c r="U107" i="80"/>
  <c r="U106" i="80"/>
  <c r="U105" i="80"/>
  <c r="U104" i="80"/>
  <c r="U103" i="80"/>
  <c r="U102" i="80"/>
  <c r="U101" i="80"/>
  <c r="U100" i="80"/>
  <c r="U99" i="80"/>
  <c r="U91" i="80"/>
  <c r="U90" i="80"/>
  <c r="U84" i="80"/>
  <c r="U83" i="80"/>
  <c r="U82" i="80"/>
  <c r="U76" i="80"/>
  <c r="U67" i="80"/>
  <c r="U66" i="80"/>
  <c r="U65" i="80"/>
  <c r="U62" i="80"/>
  <c r="U57" i="80"/>
  <c r="U52" i="80"/>
  <c r="U51" i="80"/>
  <c r="U50" i="80"/>
  <c r="U49" i="80"/>
  <c r="U48" i="80"/>
  <c r="U47" i="80"/>
  <c r="U46" i="80"/>
  <c r="U44" i="80"/>
  <c r="U43" i="80"/>
  <c r="U39" i="80"/>
  <c r="U38" i="80"/>
  <c r="U34" i="80"/>
  <c r="U33" i="80"/>
  <c r="U32" i="80"/>
  <c r="U31" i="80"/>
  <c r="U27" i="80"/>
  <c r="U26" i="80"/>
  <c r="U25" i="80"/>
  <c r="U21" i="80"/>
  <c r="U20" i="80"/>
  <c r="U19" i="80"/>
  <c r="U18" i="80"/>
  <c r="U14" i="80"/>
  <c r="U13" i="80"/>
  <c r="U10" i="80"/>
  <c r="U9" i="80"/>
  <c r="Q35" i="64"/>
  <c r="Q34" i="64"/>
  <c r="Q32" i="64"/>
  <c r="Q31" i="64"/>
  <c r="Q29" i="64"/>
  <c r="Q28" i="64"/>
  <c r="Q30" i="64"/>
  <c r="Q19" i="64"/>
  <c r="Q18" i="64"/>
  <c r="Q16" i="64"/>
  <c r="Q15" i="64"/>
  <c r="Q14" i="64"/>
  <c r="Q13" i="64"/>
  <c r="Q11" i="64"/>
  <c r="Q10" i="64"/>
  <c r="Q9" i="64"/>
  <c r="Q8" i="64"/>
  <c r="Q33" i="64"/>
  <c r="Q27" i="64"/>
  <c r="Q26" i="64"/>
  <c r="Q25" i="64"/>
  <c r="Q24" i="64"/>
  <c r="Q23" i="64"/>
  <c r="Q22" i="64"/>
  <c r="Q21" i="64"/>
  <c r="Q20" i="64"/>
  <c r="Q17" i="64"/>
  <c r="Q12" i="64"/>
  <c r="Q7" i="64"/>
  <c r="Q33" i="63"/>
  <c r="Q32" i="63"/>
  <c r="Q30" i="63"/>
  <c r="Q29" i="63"/>
  <c r="Q27" i="63"/>
  <c r="Q26" i="63"/>
  <c r="Q28" i="63"/>
  <c r="Q17" i="63"/>
  <c r="Q16" i="63"/>
  <c r="Q14" i="63"/>
  <c r="Q13" i="63"/>
  <c r="Q12" i="63"/>
  <c r="Q11" i="63"/>
  <c r="Q34" i="63"/>
  <c r="Q9" i="63"/>
  <c r="Q8" i="63"/>
  <c r="Q31" i="63"/>
  <c r="Q25" i="63"/>
  <c r="Q24" i="63"/>
  <c r="Q23" i="63"/>
  <c r="Q22" i="63"/>
  <c r="Q21" i="63"/>
  <c r="Q20" i="63"/>
  <c r="Q19" i="63"/>
  <c r="Q18" i="63"/>
  <c r="Q15" i="63"/>
  <c r="Q10" i="63"/>
  <c r="Q7" i="63"/>
  <c r="Q35" i="62"/>
  <c r="Q34" i="62"/>
  <c r="Q7" i="62"/>
  <c r="Q32" i="62"/>
  <c r="Q30" i="62"/>
  <c r="Q29" i="62"/>
  <c r="Q31" i="62"/>
  <c r="Q20" i="62"/>
  <c r="Q19" i="62"/>
  <c r="Q18" i="62"/>
  <c r="Q15" i="62"/>
  <c r="Q14" i="62"/>
  <c r="Q13" i="62"/>
  <c r="Q16" i="62"/>
  <c r="Q11" i="62"/>
  <c r="Q10" i="62"/>
  <c r="Q9" i="62"/>
  <c r="Q33" i="62"/>
  <c r="Q28" i="62"/>
  <c r="Q27" i="62"/>
  <c r="Q25" i="62"/>
  <c r="Q24" i="62"/>
  <c r="Q26" i="62"/>
  <c r="Q23" i="62"/>
  <c r="Q22" i="62"/>
  <c r="Q21" i="62"/>
  <c r="Q17" i="62"/>
  <c r="Q12" i="62"/>
  <c r="Q8" i="62"/>
  <c r="Q75" i="46"/>
  <c r="Q68" i="46"/>
  <c r="Q60" i="46"/>
  <c r="Q59" i="46"/>
  <c r="Q53" i="46"/>
  <c r="Q52" i="46"/>
  <c r="Q48" i="46"/>
  <c r="Q47" i="46"/>
  <c r="Q50" i="46"/>
  <c r="Q44" i="46"/>
  <c r="Q45" i="46"/>
  <c r="Q41" i="46"/>
  <c r="Q42" i="46"/>
  <c r="Q43" i="46"/>
  <c r="Q40" i="46"/>
  <c r="Q38" i="46"/>
  <c r="Q39" i="46"/>
  <c r="Q35" i="46"/>
  <c r="Q33" i="46"/>
  <c r="Q29" i="46"/>
  <c r="Q20" i="46"/>
  <c r="Q19" i="46"/>
  <c r="Q62" i="46"/>
  <c r="Q61" i="46"/>
  <c r="Q64" i="46"/>
  <c r="Q65" i="46"/>
  <c r="Q66" i="46"/>
  <c r="Q67" i="46"/>
  <c r="Q7" i="46"/>
  <c r="Q13" i="46"/>
  <c r="Q70" i="46"/>
  <c r="Q69" i="46"/>
  <c r="Q57" i="46"/>
  <c r="Q58" i="46"/>
  <c r="Q73" i="46"/>
  <c r="Q11" i="46"/>
  <c r="Q12" i="46"/>
  <c r="Q10" i="46"/>
  <c r="Q56" i="46"/>
  <c r="Q55" i="46"/>
  <c r="Q54" i="46"/>
  <c r="Q49" i="46"/>
  <c r="Q51" i="46"/>
  <c r="Q46" i="46"/>
  <c r="Q36" i="46"/>
  <c r="Q37" i="46"/>
  <c r="Q34" i="46"/>
  <c r="Q32" i="46"/>
  <c r="Q30" i="46"/>
  <c r="Q31" i="46"/>
  <c r="Q28" i="46"/>
  <c r="Q26" i="46"/>
  <c r="Q27" i="46"/>
  <c r="Q25" i="46"/>
  <c r="Q21" i="46"/>
  <c r="Q22" i="46"/>
  <c r="Q23" i="46"/>
  <c r="Q17" i="46"/>
  <c r="Q18" i="46"/>
  <c r="Q63" i="46"/>
  <c r="Q16" i="46"/>
  <c r="Q24" i="46"/>
  <c r="Q14" i="46"/>
  <c r="Q15" i="46"/>
  <c r="Q9" i="46"/>
  <c r="Q8" i="46"/>
  <c r="Q72" i="46"/>
  <c r="Q71" i="46"/>
  <c r="AD147" i="14"/>
  <c r="AD146" i="14"/>
  <c r="AD145" i="14"/>
  <c r="AD144" i="14"/>
  <c r="AD143" i="14"/>
  <c r="AD142" i="14"/>
  <c r="AD137" i="14"/>
  <c r="AD136" i="14"/>
  <c r="AD135" i="14"/>
  <c r="AD133" i="14"/>
  <c r="AD35" i="14"/>
  <c r="AD34" i="14"/>
  <c r="AD119" i="14"/>
  <c r="AD118" i="14"/>
  <c r="AD117" i="14"/>
  <c r="AD116" i="14"/>
  <c r="AD115" i="14"/>
  <c r="AD114" i="14"/>
  <c r="AD113" i="14"/>
  <c r="AD112" i="14"/>
  <c r="AD111" i="14"/>
  <c r="AD108" i="14"/>
  <c r="AD107" i="14"/>
  <c r="AD106" i="14"/>
  <c r="AD105" i="14"/>
  <c r="AD104" i="14"/>
  <c r="AD99" i="14"/>
  <c r="AD98" i="14"/>
  <c r="AD97" i="14"/>
  <c r="AD96" i="14"/>
  <c r="AD95" i="14"/>
  <c r="AD94" i="14"/>
  <c r="AD93" i="14"/>
  <c r="AD91" i="14"/>
  <c r="AD90" i="14"/>
  <c r="AD89" i="14"/>
  <c r="AD88" i="14"/>
  <c r="AD87" i="14"/>
  <c r="AD86" i="14"/>
  <c r="AD84" i="14"/>
  <c r="AD83" i="14"/>
  <c r="AD85" i="14"/>
  <c r="AD76" i="14"/>
  <c r="AD75" i="14"/>
  <c r="AD73" i="14"/>
  <c r="AD72" i="14"/>
  <c r="AD71" i="14"/>
  <c r="AD68" i="14"/>
  <c r="AD70" i="14"/>
  <c r="AD67" i="14"/>
  <c r="AD65" i="14"/>
  <c r="AD64" i="14"/>
  <c r="AD63" i="14"/>
  <c r="AD62" i="14"/>
  <c r="AD69" i="14"/>
  <c r="AD53" i="14"/>
  <c r="AD50" i="14"/>
  <c r="AD49" i="14"/>
  <c r="AD48" i="14"/>
  <c r="AD45" i="14"/>
  <c r="AD44" i="14"/>
  <c r="AD43" i="14"/>
  <c r="AD37" i="14"/>
  <c r="AD36" i="14"/>
  <c r="AD33" i="14"/>
  <c r="AD29" i="14"/>
  <c r="AD28" i="14"/>
  <c r="AD27" i="14"/>
  <c r="AD132" i="14"/>
  <c r="AD21" i="14"/>
  <c r="AD20" i="14"/>
  <c r="AD14" i="14"/>
  <c r="AD19" i="14"/>
  <c r="AD18" i="14"/>
  <c r="AD13" i="14"/>
  <c r="AD12" i="14"/>
  <c r="AD9" i="14"/>
  <c r="AD8" i="14"/>
  <c r="AD7" i="14"/>
  <c r="AD141" i="14"/>
  <c r="AD140" i="14"/>
  <c r="AD139" i="14"/>
  <c r="AD138" i="14"/>
  <c r="AD134" i="14"/>
  <c r="AD131" i="14"/>
  <c r="AD130" i="14"/>
  <c r="AD129" i="14"/>
  <c r="AD128" i="14"/>
  <c r="AD127" i="14"/>
  <c r="AD126" i="14"/>
  <c r="AD125" i="14"/>
  <c r="AD124" i="14"/>
  <c r="AD123" i="14"/>
  <c r="AD122" i="14"/>
  <c r="AD121" i="14"/>
  <c r="AD120" i="14"/>
  <c r="AD110" i="14"/>
  <c r="AD109" i="14"/>
  <c r="AD103" i="14"/>
  <c r="AD102" i="14"/>
  <c r="AD101" i="14"/>
  <c r="AD100" i="14"/>
  <c r="AD92" i="14"/>
  <c r="AD82" i="14"/>
  <c r="AD81" i="14"/>
  <c r="AD80" i="14"/>
  <c r="AD79" i="14"/>
  <c r="AD78" i="14"/>
  <c r="AD77" i="14"/>
  <c r="AD74" i="14"/>
  <c r="AD66" i="14"/>
  <c r="AD61" i="14"/>
  <c r="AD60" i="14"/>
  <c r="AD59" i="14"/>
  <c r="AD58" i="14"/>
  <c r="AD57" i="14"/>
  <c r="AD56" i="14"/>
  <c r="AD55" i="14"/>
  <c r="AD54" i="14"/>
  <c r="AD52" i="14"/>
  <c r="AD51" i="14"/>
  <c r="AD47" i="14"/>
  <c r="AD46" i="14"/>
  <c r="AD42" i="14"/>
  <c r="AD41" i="14"/>
  <c r="AD40" i="14"/>
  <c r="AD39" i="14"/>
  <c r="AD38" i="14"/>
  <c r="AD32" i="14"/>
  <c r="AD31" i="14"/>
  <c r="AD30" i="14"/>
  <c r="AD26" i="14"/>
  <c r="AD25" i="14"/>
  <c r="AD24" i="14"/>
  <c r="AD23" i="14"/>
  <c r="AD22" i="14"/>
  <c r="AD17" i="14"/>
  <c r="AD16" i="14"/>
  <c r="AD15" i="14"/>
  <c r="AD11" i="14"/>
  <c r="AD10" i="14"/>
  <c r="AE147" i="13"/>
  <c r="AE146" i="13"/>
  <c r="AE145" i="13"/>
  <c r="AE144" i="13"/>
  <c r="AE143" i="13"/>
  <c r="AE142" i="13"/>
  <c r="AE137" i="13"/>
  <c r="AE136" i="13"/>
  <c r="AE135" i="13"/>
  <c r="AE133" i="13"/>
  <c r="AE35" i="13"/>
  <c r="AE34" i="13"/>
  <c r="AE119" i="13"/>
  <c r="AE118" i="13"/>
  <c r="AE117" i="13"/>
  <c r="AE116" i="13"/>
  <c r="AE115" i="13"/>
  <c r="AE114" i="13"/>
  <c r="AE113" i="13"/>
  <c r="AE112" i="13"/>
  <c r="AE111" i="13"/>
  <c r="AE108" i="13"/>
  <c r="AE107" i="13"/>
  <c r="AE106" i="13"/>
  <c r="AE105" i="13"/>
  <c r="AE104" i="13"/>
  <c r="AE99" i="13"/>
  <c r="AE98" i="13"/>
  <c r="AE97" i="13"/>
  <c r="AE96" i="13"/>
  <c r="AE95" i="13"/>
  <c r="AE94" i="13"/>
  <c r="AE93" i="13"/>
  <c r="AE91" i="13"/>
  <c r="AE90" i="13"/>
  <c r="AE89" i="13"/>
  <c r="AE88" i="13"/>
  <c r="AE87" i="13"/>
  <c r="AE86" i="13"/>
  <c r="AE84" i="13"/>
  <c r="AE83" i="13"/>
  <c r="AE85" i="13"/>
  <c r="AE76" i="13"/>
  <c r="AE75" i="13"/>
  <c r="AE73" i="13"/>
  <c r="AE72" i="13"/>
  <c r="AE71" i="13"/>
  <c r="AE68" i="13"/>
  <c r="AE70" i="13"/>
  <c r="AE67" i="13"/>
  <c r="AE65" i="13"/>
  <c r="AE64" i="13"/>
  <c r="AE63" i="13"/>
  <c r="AE62" i="13"/>
  <c r="AE69" i="13"/>
  <c r="AE53" i="13"/>
  <c r="AE50" i="13"/>
  <c r="AE49" i="13"/>
  <c r="AE48" i="13"/>
  <c r="AE45" i="13"/>
  <c r="AE44" i="13"/>
  <c r="AE43" i="13"/>
  <c r="AE37" i="13"/>
  <c r="AE36" i="13"/>
  <c r="AE33" i="13"/>
  <c r="AE29" i="13"/>
  <c r="AE28" i="13"/>
  <c r="AE27" i="13"/>
  <c r="AE132" i="13"/>
  <c r="AE21" i="13"/>
  <c r="AE20" i="13"/>
  <c r="AE14" i="13"/>
  <c r="AE19" i="13"/>
  <c r="AE18" i="13"/>
  <c r="AE13" i="13"/>
  <c r="AE12" i="13"/>
  <c r="AE9" i="13"/>
  <c r="AE8" i="13"/>
  <c r="AE141" i="13"/>
  <c r="AE140" i="13"/>
  <c r="AE139" i="13"/>
  <c r="AE138" i="13"/>
  <c r="AE134" i="13"/>
  <c r="AE131" i="13"/>
  <c r="AE130" i="13"/>
  <c r="AE129" i="13"/>
  <c r="AE128" i="13"/>
  <c r="AE127" i="13"/>
  <c r="AE126" i="13"/>
  <c r="AE125" i="13"/>
  <c r="AE124" i="13"/>
  <c r="AE123" i="13"/>
  <c r="AE122" i="13"/>
  <c r="AE121" i="13"/>
  <c r="AE120" i="13"/>
  <c r="AE110" i="13"/>
  <c r="AE109" i="13"/>
  <c r="AE103" i="13"/>
  <c r="AE102" i="13"/>
  <c r="AE101" i="13"/>
  <c r="AE100" i="13"/>
  <c r="AE92" i="13"/>
  <c r="AE82" i="13"/>
  <c r="AE81" i="13"/>
  <c r="AE80" i="13"/>
  <c r="AE79" i="13"/>
  <c r="AE78" i="13"/>
  <c r="AE77" i="13"/>
  <c r="AE74" i="13"/>
  <c r="AE66" i="13"/>
  <c r="AE61" i="13"/>
  <c r="AE60" i="13"/>
  <c r="AE59" i="13"/>
  <c r="AE58" i="13"/>
  <c r="AE57" i="13"/>
  <c r="AE56" i="13"/>
  <c r="AE55" i="13"/>
  <c r="AE54" i="13"/>
  <c r="AE52" i="13"/>
  <c r="AE51" i="13"/>
  <c r="AE47" i="13"/>
  <c r="AE46" i="13"/>
  <c r="AE42" i="13"/>
  <c r="AE41" i="13"/>
  <c r="AE40" i="13"/>
  <c r="AE39" i="13"/>
  <c r="AE38" i="13"/>
  <c r="AE32" i="13"/>
  <c r="AE31" i="13"/>
  <c r="AE30" i="13"/>
  <c r="AE26" i="13"/>
  <c r="AE25" i="13"/>
  <c r="AE24" i="13"/>
  <c r="AE23" i="13"/>
  <c r="AE22" i="13"/>
  <c r="AE17" i="13"/>
  <c r="AE16" i="13"/>
  <c r="AE15" i="13"/>
  <c r="AE11" i="13"/>
  <c r="AE10" i="13"/>
  <c r="AE147" i="12"/>
  <c r="AE146" i="12"/>
  <c r="AE145" i="12"/>
  <c r="AE144" i="12"/>
  <c r="AE143" i="12"/>
  <c r="AE141" i="12"/>
  <c r="AE132" i="12"/>
  <c r="AE128" i="12"/>
  <c r="AE122" i="12"/>
  <c r="AE120" i="12"/>
  <c r="AE140" i="12"/>
  <c r="AE68" i="12"/>
  <c r="AE69" i="12"/>
  <c r="AE70" i="12"/>
  <c r="AE28" i="12"/>
  <c r="AE29" i="12"/>
  <c r="AE15" i="12"/>
  <c r="AE16" i="12"/>
  <c r="AE14" i="12"/>
  <c r="AE105" i="12"/>
  <c r="AE104" i="12"/>
  <c r="AE106" i="12"/>
  <c r="AE110" i="12"/>
  <c r="AE109" i="12"/>
  <c r="AE102" i="12"/>
  <c r="AE100" i="12"/>
  <c r="AE89" i="12"/>
  <c r="AE88" i="12"/>
  <c r="AE91" i="12"/>
  <c r="AE96" i="12"/>
  <c r="AE95" i="12"/>
  <c r="AE98" i="12"/>
  <c r="AE90" i="12"/>
  <c r="AE86" i="12"/>
  <c r="AE87" i="12"/>
  <c r="AE92" i="12"/>
  <c r="AE94" i="12"/>
  <c r="AE99" i="12"/>
  <c r="AE85" i="12"/>
  <c r="AE93" i="12"/>
  <c r="AE79" i="12"/>
  <c r="AE78" i="12"/>
  <c r="AE76" i="12"/>
  <c r="AE75" i="12"/>
  <c r="AE67" i="12"/>
  <c r="AE66" i="12"/>
  <c r="AE73" i="12"/>
  <c r="AE21" i="12"/>
  <c r="AE72" i="12"/>
  <c r="AE65" i="12"/>
  <c r="AE64" i="12"/>
  <c r="AE63" i="12"/>
  <c r="AE61" i="12"/>
  <c r="AE54" i="12"/>
  <c r="AE27" i="12"/>
  <c r="AE49" i="12"/>
  <c r="AE50" i="12"/>
  <c r="AE45" i="12"/>
  <c r="AE44" i="12"/>
  <c r="AE43" i="12"/>
  <c r="AE125" i="12"/>
  <c r="AE123" i="12"/>
  <c r="AE126" i="12"/>
  <c r="AE127" i="12"/>
  <c r="AE124" i="12"/>
  <c r="AE31" i="12"/>
  <c r="AE46" i="12"/>
  <c r="AE30" i="12"/>
  <c r="AE19" i="12"/>
  <c r="AE130" i="12"/>
  <c r="AE23" i="12"/>
  <c r="AE12" i="12"/>
  <c r="AE22" i="12"/>
  <c r="AE18" i="12"/>
  <c r="AE11" i="12"/>
  <c r="AE10" i="12"/>
  <c r="AE137" i="12"/>
  <c r="AE136" i="12"/>
  <c r="AE7" i="12"/>
  <c r="AE142" i="12"/>
  <c r="AE135" i="12"/>
  <c r="AE134" i="12"/>
  <c r="AE133" i="12"/>
  <c r="AE121" i="12"/>
  <c r="AE118" i="12"/>
  <c r="AE37" i="12"/>
  <c r="AE119" i="12"/>
  <c r="AE117" i="12"/>
  <c r="AE116" i="12"/>
  <c r="AE115" i="12"/>
  <c r="AE114" i="12"/>
  <c r="AE113" i="12"/>
  <c r="AE139" i="12"/>
  <c r="AE138" i="12"/>
  <c r="AE35" i="12"/>
  <c r="AE34" i="12"/>
  <c r="AE112" i="12"/>
  <c r="AE111" i="12"/>
  <c r="AE108" i="12"/>
  <c r="AE107" i="12"/>
  <c r="AE101" i="12"/>
  <c r="AE103" i="12"/>
  <c r="AE97" i="12"/>
  <c r="AE84" i="12"/>
  <c r="AE83" i="12"/>
  <c r="AE74" i="12"/>
  <c r="AE81" i="12"/>
  <c r="AE80" i="12"/>
  <c r="AE82" i="12"/>
  <c r="AE77" i="12"/>
  <c r="AE71" i="12"/>
  <c r="AE62" i="12"/>
  <c r="AE60" i="12"/>
  <c r="AE59" i="12"/>
  <c r="AE57" i="12"/>
  <c r="AE58" i="12"/>
  <c r="AE56" i="12"/>
  <c r="AE52" i="12"/>
  <c r="AE55" i="12"/>
  <c r="AE53" i="12"/>
  <c r="AE51" i="12"/>
  <c r="AE48" i="12"/>
  <c r="AE47" i="12"/>
  <c r="AE42" i="12"/>
  <c r="AE41" i="12"/>
  <c r="AE40" i="12"/>
  <c r="AE39" i="12"/>
  <c r="AE38" i="12"/>
  <c r="AE36" i="12"/>
  <c r="AE33" i="12"/>
  <c r="AE32" i="12"/>
  <c r="AE26" i="12"/>
  <c r="AE25" i="12"/>
  <c r="AE24" i="12"/>
  <c r="AE131" i="12"/>
  <c r="AE129" i="12"/>
  <c r="AE17" i="12"/>
  <c r="AE20" i="12"/>
  <c r="AE13" i="12"/>
  <c r="AE9" i="12"/>
  <c r="AE8" i="12"/>
  <c r="Q47" i="17" l="1"/>
  <c r="Q51" i="17"/>
  <c r="Q52" i="17"/>
  <c r="Q57" i="17"/>
  <c r="Q58" i="17"/>
  <c r="Q59" i="17"/>
  <c r="Q60" i="17"/>
  <c r="Q61" i="17"/>
  <c r="Q64" i="17"/>
  <c r="Q69" i="17"/>
  <c r="Q70" i="17"/>
  <c r="Q74" i="17"/>
  <c r="Q75" i="17"/>
  <c r="Q76" i="17"/>
  <c r="Q77" i="17"/>
  <c r="Q80" i="17"/>
  <c r="Q81" i="17"/>
  <c r="Q82" i="17"/>
  <c r="Q88" i="17"/>
  <c r="Q89" i="17"/>
  <c r="Q94" i="17"/>
  <c r="Q95" i="17"/>
  <c r="Q97" i="17"/>
  <c r="Q98" i="17"/>
  <c r="Q110" i="17"/>
  <c r="Q111" i="17"/>
  <c r="Q112" i="17"/>
  <c r="Q113" i="17"/>
  <c r="Q116" i="17"/>
  <c r="Q123" i="17"/>
  <c r="Q124" i="17"/>
  <c r="Q125" i="17"/>
  <c r="Q133" i="17"/>
  <c r="Q134" i="17"/>
  <c r="Q135" i="17"/>
  <c r="Q136" i="17"/>
  <c r="Q137" i="17"/>
  <c r="Q138" i="17"/>
  <c r="Q139" i="17"/>
  <c r="Q142" i="17"/>
  <c r="Q143" i="17"/>
  <c r="Q146" i="17"/>
  <c r="Q147" i="17"/>
  <c r="Q44" i="17"/>
  <c r="Q45" i="17"/>
  <c r="Q48" i="17"/>
  <c r="Q49" i="17"/>
  <c r="Q50" i="17"/>
  <c r="Q53" i="17"/>
  <c r="Q54" i="17"/>
  <c r="Q55" i="17"/>
  <c r="Q56" i="17"/>
  <c r="Q62" i="17"/>
  <c r="Q63" i="17"/>
  <c r="Q65" i="17"/>
  <c r="Q66" i="17"/>
  <c r="Q67" i="17"/>
  <c r="Q68" i="17"/>
  <c r="Q71" i="17"/>
  <c r="Q72" i="17"/>
  <c r="Q73" i="17"/>
  <c r="Q78" i="17"/>
  <c r="Q79" i="17"/>
  <c r="Q83" i="17"/>
  <c r="Q84" i="17"/>
  <c r="Q85" i="17"/>
  <c r="Q86" i="17"/>
  <c r="Q87" i="17"/>
  <c r="Q90" i="17"/>
  <c r="Q91" i="17"/>
  <c r="Q92" i="17"/>
  <c r="Q93" i="17"/>
  <c r="Q96" i="17"/>
  <c r="Q99" i="17"/>
  <c r="Q100" i="17"/>
  <c r="Q101" i="17"/>
  <c r="Q102" i="17"/>
  <c r="Q103" i="17"/>
  <c r="Q104" i="17"/>
  <c r="Q105" i="17"/>
  <c r="Q106" i="17"/>
  <c r="Q107" i="17"/>
  <c r="Q108" i="17"/>
  <c r="Q109" i="17"/>
  <c r="Q114" i="17"/>
  <c r="Q115" i="17"/>
  <c r="Q117" i="17"/>
  <c r="Q118" i="17"/>
  <c r="Q119" i="17"/>
  <c r="Q120" i="17"/>
  <c r="Q121" i="17"/>
  <c r="Q122" i="17"/>
  <c r="Q126" i="17"/>
  <c r="Q127" i="17"/>
  <c r="Q128" i="17"/>
  <c r="Q129" i="17"/>
  <c r="Q130" i="17"/>
  <c r="Q131" i="17"/>
  <c r="Q132" i="17"/>
  <c r="Q140" i="17"/>
  <c r="Q141" i="17"/>
  <c r="Q144" i="17"/>
  <c r="Q145" i="17"/>
  <c r="Q148" i="17"/>
  <c r="Q149" i="17"/>
  <c r="Q150" i="17"/>
  <c r="Q151" i="17"/>
  <c r="Q152" i="17"/>
  <c r="Q46" i="17"/>
  <c r="H21" i="91"/>
  <c r="G21" i="91"/>
  <c r="F21" i="91"/>
  <c r="H20" i="91"/>
  <c r="G20" i="91"/>
  <c r="F20" i="91"/>
  <c r="H19" i="91"/>
  <c r="G19" i="91"/>
  <c r="F19" i="91"/>
  <c r="H19" i="90"/>
  <c r="G19" i="90"/>
  <c r="F19" i="90"/>
  <c r="H18" i="90"/>
  <c r="G18" i="90"/>
  <c r="F18" i="90"/>
  <c r="H17" i="90"/>
  <c r="G17" i="90"/>
  <c r="F17" i="90"/>
  <c r="D14" i="20"/>
  <c r="J17" i="19"/>
  <c r="K14" i="19"/>
  <c r="H12" i="19"/>
  <c r="I17" i="20"/>
  <c r="H17" i="20"/>
  <c r="G17" i="20"/>
  <c r="F17" i="20"/>
  <c r="E17" i="20"/>
  <c r="I15" i="20"/>
  <c r="H15" i="20"/>
  <c r="G15" i="20"/>
  <c r="F15" i="20"/>
  <c r="E15" i="20"/>
  <c r="D15" i="20"/>
  <c r="I14" i="20"/>
  <c r="H14" i="20"/>
  <c r="G14" i="20"/>
  <c r="F14" i="20"/>
  <c r="E14" i="20"/>
  <c r="I13" i="20"/>
  <c r="H13" i="20"/>
  <c r="G13" i="20"/>
  <c r="F13" i="20"/>
  <c r="E13" i="20"/>
  <c r="D13" i="20"/>
  <c r="I12" i="20"/>
  <c r="H12" i="20"/>
  <c r="G12" i="20"/>
  <c r="F12" i="20"/>
  <c r="E12" i="20"/>
  <c r="D12" i="20"/>
  <c r="G20" i="19"/>
  <c r="H19" i="19"/>
  <c r="H18" i="19"/>
  <c r="H17" i="19"/>
  <c r="F17" i="19"/>
  <c r="K16" i="19"/>
  <c r="I16" i="19"/>
  <c r="G16" i="19"/>
  <c r="J15" i="19"/>
  <c r="H15" i="19"/>
  <c r="I14" i="19"/>
  <c r="G14" i="19"/>
  <c r="J13" i="19"/>
  <c r="H13" i="19"/>
  <c r="K12" i="19"/>
  <c r="I12" i="19"/>
  <c r="G12" i="19"/>
  <c r="G11" i="19"/>
  <c r="G10" i="19"/>
  <c r="G9" i="19"/>
  <c r="G8" i="19"/>
  <c r="G7" i="19"/>
  <c r="H20" i="19"/>
  <c r="G19" i="19"/>
  <c r="G18" i="19"/>
  <c r="I17" i="19"/>
  <c r="G17" i="19"/>
  <c r="E17" i="19"/>
  <c r="J16" i="19"/>
  <c r="H16" i="19"/>
  <c r="K15" i="19"/>
  <c r="I15" i="19"/>
  <c r="G15" i="19"/>
  <c r="J14" i="19"/>
  <c r="H14" i="19"/>
  <c r="K13" i="19"/>
  <c r="I13" i="19"/>
  <c r="G13" i="19"/>
  <c r="J12" i="19"/>
  <c r="H11" i="19"/>
  <c r="H10" i="19"/>
  <c r="H9" i="19"/>
  <c r="H8" i="19"/>
  <c r="H7" i="19"/>
  <c r="H11" i="35"/>
  <c r="E11" i="35"/>
  <c r="D11" i="35"/>
  <c r="G12" i="34"/>
  <c r="E12" i="34"/>
  <c r="D12" i="34"/>
  <c r="F11" i="35"/>
  <c r="H12" i="34"/>
  <c r="G11" i="35"/>
  <c r="F12" i="34"/>
  <c r="H12" i="30"/>
  <c r="G12" i="30"/>
  <c r="F12" i="30"/>
  <c r="E12" i="30"/>
  <c r="D12" i="30"/>
  <c r="AE32" i="47"/>
  <c r="AE41" i="47"/>
  <c r="AE40" i="47"/>
  <c r="AE13" i="47"/>
  <c r="AE50" i="47"/>
  <c r="AE43" i="47"/>
  <c r="AE51" i="47"/>
  <c r="AE12" i="47"/>
  <c r="AE60" i="47"/>
  <c r="AE14" i="47"/>
  <c r="AE22" i="47"/>
  <c r="AE58" i="47"/>
  <c r="AE25" i="47"/>
  <c r="AE33" i="47"/>
  <c r="AE42" i="47"/>
  <c r="AE61" i="47"/>
  <c r="AE67" i="47"/>
  <c r="AE10" i="47"/>
  <c r="AE46" i="47"/>
  <c r="AE59" i="47"/>
  <c r="AE28" i="47"/>
  <c r="AE34" i="47"/>
  <c r="AE62" i="47"/>
  <c r="AE69" i="47"/>
  <c r="AE15" i="47"/>
  <c r="AE44" i="47"/>
  <c r="AE70" i="47"/>
  <c r="AE8" i="47"/>
  <c r="AE29" i="47"/>
  <c r="AE52" i="47"/>
  <c r="AE73" i="47"/>
  <c r="AE68" i="47"/>
  <c r="AE45" i="47"/>
  <c r="AE71" i="47"/>
  <c r="AE19" i="47"/>
  <c r="AE30" i="47"/>
  <c r="AE36" i="47"/>
  <c r="AE53" i="47"/>
  <c r="AE64" i="47"/>
  <c r="AE74" i="47"/>
  <c r="AE16" i="47"/>
  <c r="AE47" i="47"/>
  <c r="AE56" i="47"/>
  <c r="AE72" i="47"/>
  <c r="AE24" i="47"/>
  <c r="AE66" i="47"/>
  <c r="AE49" i="47"/>
  <c r="AE23" i="47"/>
  <c r="AE17" i="47"/>
  <c r="AE26" i="47"/>
  <c r="AE18" i="47"/>
  <c r="AE35" i="47"/>
  <c r="AE63" i="47"/>
  <c r="AE27" i="47"/>
  <c r="AE55" i="47"/>
  <c r="AE9" i="47"/>
  <c r="AE37" i="47"/>
  <c r="AE11" i="47"/>
  <c r="AE20" i="47"/>
  <c r="AE31" i="47"/>
  <c r="AE38" i="47"/>
  <c r="AE54" i="47"/>
  <c r="AE65" i="47"/>
  <c r="AE7" i="47"/>
  <c r="AE21" i="47"/>
  <c r="AE39" i="47"/>
  <c r="AE48" i="47"/>
  <c r="AE57" i="47"/>
</calcChain>
</file>

<file path=xl/sharedStrings.xml><?xml version="1.0" encoding="utf-8"?>
<sst xmlns="http://schemas.openxmlformats.org/spreadsheetml/2006/main" count="14724" uniqueCount="3513">
  <si>
    <t>Table number</t>
  </si>
  <si>
    <t>Table Title</t>
  </si>
  <si>
    <t>Table 22.A.1</t>
  </si>
  <si>
    <t>List of all trend scales</t>
  </si>
  <si>
    <t>Table 22.A.2</t>
  </si>
  <si>
    <t>OECD mean and standard deviation of the original WLEs for the new scales</t>
  </si>
  <si>
    <t>Table 22.A.3</t>
  </si>
  <si>
    <t>OECD mean and standard deviation of the original WLEs in PISA 2022 for trend scales linked to PISA 2025</t>
  </si>
  <si>
    <t>Table 22.A.4</t>
  </si>
  <si>
    <t>OECD mean and standard deviation of the original WLEs in PISA 2018 for trend scales linked to PISA 2025</t>
  </si>
  <si>
    <t>Table 22.A.5</t>
  </si>
  <si>
    <t>OECD mean and standard deviation of the original WLEs in PISA 2012 for trend scales linked to PISA 2025</t>
  </si>
  <si>
    <t>Table 22.A.6</t>
  </si>
  <si>
    <t>Scaling constants used as linear transformations for original WLEs in PISA 2025 to link trend scales to PISA 2015 (and PISA 2006)</t>
  </si>
  <si>
    <t>Table 22.A.7</t>
  </si>
  <si>
    <t>Variables derived from the Student Questionnaire</t>
  </si>
  <si>
    <t>Table 22.A.8</t>
  </si>
  <si>
    <t>Mapping of ISCED levels to years of education</t>
  </si>
  <si>
    <t>Table 22.A.9</t>
  </si>
  <si>
    <t>ISCEDP values and labels</t>
  </si>
  <si>
    <t>Table 22.A.10</t>
  </si>
  <si>
    <t>Creation of EXPECEDU index</t>
  </si>
  <si>
    <t>Table 22.A.11</t>
  </si>
  <si>
    <t>Cronbach's alpha for the IRT scales in the Student Questionnaire</t>
  </si>
  <si>
    <t>Table 22.A.12</t>
  </si>
  <si>
    <t>Number of items with international parameters for the IRT scales in the Student Questionnaire</t>
  </si>
  <si>
    <t>Table 22.A.13</t>
  </si>
  <si>
    <t>Number of trend items with international parameters for the trend IRT scales in the Student Questionnaire</t>
  </si>
  <si>
    <t>Table 22.A.14</t>
  </si>
  <si>
    <t>Countries/economies for which the scale scores were suppressed for the IRT scales in the Student Questionnaire</t>
  </si>
  <si>
    <t>Table 22.A.15</t>
  </si>
  <si>
    <t>Groups that did not administer the IRT scales in the Student Questionnaire</t>
  </si>
  <si>
    <t>Table 22.A.16</t>
  </si>
  <si>
    <t>Items in the HOMEPOS scale</t>
  </si>
  <si>
    <t>Table 22.A.17</t>
  </si>
  <si>
    <t>Recoding of items in the HOMEPOS scale</t>
  </si>
  <si>
    <t>Table 22.A.18</t>
  </si>
  <si>
    <t>Items in the ICTRES scale</t>
  </si>
  <si>
    <t>Table 22.A.19</t>
  </si>
  <si>
    <t>Items in the BULLIED scale</t>
  </si>
  <si>
    <t>Table 22.A.20</t>
  </si>
  <si>
    <t>Items in the FEELSAFE scale</t>
  </si>
  <si>
    <t>Table 22.A.21</t>
  </si>
  <si>
    <t>Items in the BELONG scale</t>
  </si>
  <si>
    <t>Table 22.A.22</t>
  </si>
  <si>
    <t>Items in the COLLENEFF scale</t>
  </si>
  <si>
    <t>Table 22.A.23</t>
  </si>
  <si>
    <t>Items in the JOYSCIE scale</t>
  </si>
  <si>
    <t>Table 22.A.24</t>
  </si>
  <si>
    <t>Items in the OPENVLRN scale</t>
  </si>
  <si>
    <t>Table 22.A.25</t>
  </si>
  <si>
    <t>Items in the EFFSCIE scale</t>
  </si>
  <si>
    <t>Table 22.A.26</t>
  </si>
  <si>
    <t>Items in the STBELSCIE scale</t>
  </si>
  <si>
    <t>Table 22.A.27</t>
  </si>
  <si>
    <t>Items in the ENVCAPCH scale</t>
  </si>
  <si>
    <t>Table 22.A.28</t>
  </si>
  <si>
    <t>Items in the ENVAWARE scale</t>
  </si>
  <si>
    <t>Table 22.A.29</t>
  </si>
  <si>
    <t>Items in the ENVAPART scale</t>
  </si>
  <si>
    <t>Table 22.A.30</t>
  </si>
  <si>
    <t>Items in the CURIO scale</t>
  </si>
  <si>
    <t>Table 22.A.31</t>
  </si>
  <si>
    <t>Items in the PERSEV scale</t>
  </si>
  <si>
    <t>Table 22.A.32</t>
  </si>
  <si>
    <t>Items in the ENGSCIPR scale</t>
  </si>
  <si>
    <t>Table 22.A.33</t>
  </si>
  <si>
    <t>Items in the COGACSC scale</t>
  </si>
  <si>
    <t>Table 22.A.34</t>
  </si>
  <si>
    <t>Items in the SCIECOLLR scale</t>
  </si>
  <si>
    <t>Table 22.A.35</t>
  </si>
  <si>
    <t>Items in the DISCLISCI scale</t>
  </si>
  <si>
    <t>Table 22.A.36</t>
  </si>
  <si>
    <t>Items in the TEACHSUP scale</t>
  </si>
  <si>
    <t>Table 22.A.37</t>
  </si>
  <si>
    <t>Items in the FAMSUP scale</t>
  </si>
  <si>
    <t>Table 22.A.38</t>
  </si>
  <si>
    <t>Items in the AIUSESCH scale</t>
  </si>
  <si>
    <t>Table 22.A.39</t>
  </si>
  <si>
    <t>Items in the COGABIL scale</t>
  </si>
  <si>
    <t>Table 22.A.40</t>
  </si>
  <si>
    <t>Items in the ENPROBS scale</t>
  </si>
  <si>
    <t>Table 22.A.41</t>
  </si>
  <si>
    <t>Items in the GOALSET scale</t>
  </si>
  <si>
    <t>Table 22.A.42</t>
  </si>
  <si>
    <t>Items in the SELFREG scale</t>
  </si>
  <si>
    <t>Table 22.A.43</t>
  </si>
  <si>
    <t>OECD mean and standard deviation of each component of ESCS and the preliminary ESCS scores for PISA 2025</t>
  </si>
  <si>
    <t>Table 22.A.44</t>
  </si>
  <si>
    <t>Variables derived from the ICT Familiarity Questionnaire</t>
  </si>
  <si>
    <t>Table 22.A.45</t>
  </si>
  <si>
    <t>Cronbach's alpha for the IRT scales in the ICT Familiarity Questionnaire</t>
  </si>
  <si>
    <t>Table 22.A.46</t>
  </si>
  <si>
    <t>Number of items with international parameters for the IRT scales in the ICT Familiarity Questionnaire</t>
  </si>
  <si>
    <t>Table 22.A.47</t>
  </si>
  <si>
    <t>Items in the ICTSCH scale</t>
  </si>
  <si>
    <t>Table 22.A.48</t>
  </si>
  <si>
    <t>Items in the ICTHOME scale</t>
  </si>
  <si>
    <t>Table 22.A.49</t>
  </si>
  <si>
    <t>Items in the ICTQUAL scale</t>
  </si>
  <si>
    <t>Table 22.A.50</t>
  </si>
  <si>
    <t>Items in the ICTFEED scale</t>
  </si>
  <si>
    <t>Table 22.A.51</t>
  </si>
  <si>
    <t>Items in the ICTOUT scale</t>
  </si>
  <si>
    <t>Table 22.A.52</t>
  </si>
  <si>
    <t>Items in the ICTWKDY scale</t>
  </si>
  <si>
    <t>Table 22.A.53</t>
  </si>
  <si>
    <t>Items in the ICTWKEND scale</t>
  </si>
  <si>
    <t>Table 22.A.54</t>
  </si>
  <si>
    <t>Items in the ICTREG scale</t>
  </si>
  <si>
    <t>Table 22.A.55</t>
  </si>
  <si>
    <t>Items in the ICTINFO scale</t>
  </si>
  <si>
    <t>Table 22.A.56</t>
  </si>
  <si>
    <t>Items in the DIGINTLRN scale</t>
  </si>
  <si>
    <t>Table 22.A.57</t>
  </si>
  <si>
    <t>Items in the INTICT scale</t>
  </si>
  <si>
    <t>Table 22.A.58</t>
  </si>
  <si>
    <t>Items in the SOIACT scale</t>
  </si>
  <si>
    <t>Table 22.A.59</t>
  </si>
  <si>
    <t>Variables derived from the Parent Questionnaire</t>
  </si>
  <si>
    <t>Table 22.A.60</t>
  </si>
  <si>
    <t>Creation of the PAREXPT index</t>
  </si>
  <si>
    <t>Table 22.A.61</t>
  </si>
  <si>
    <t>Cronbach's alpha for the IRT scales in the Parent Questionnaire</t>
  </si>
  <si>
    <t>Table 22.A.62</t>
  </si>
  <si>
    <t>Number of items with international parameters for the IRT scales in the Parent Questionnaire</t>
  </si>
  <si>
    <t>Table 22.A.63</t>
  </si>
  <si>
    <t>Number of trend items with international parameters for the trend IRT scales in the Parent Questionnaire</t>
  </si>
  <si>
    <t>Table 22.A.64</t>
  </si>
  <si>
    <t>Items in the PRESUPP scale</t>
  </si>
  <si>
    <t>Table 22.A.65</t>
  </si>
  <si>
    <t>Items in the FGENSUP scale</t>
  </si>
  <si>
    <t>Table 22.A.66</t>
  </si>
  <si>
    <t>Items in the FSCISUP scale</t>
  </si>
  <si>
    <t>Table 22.A.67</t>
  </si>
  <si>
    <t>Items in the PARINVOL scale</t>
  </si>
  <si>
    <t>Table 22.A.68</t>
  </si>
  <si>
    <t>Items in the PVDRSCUSE scale</t>
  </si>
  <si>
    <t>Table 22.A.69</t>
  </si>
  <si>
    <t>Items in the PQENPERC scale</t>
  </si>
  <si>
    <t>Table 22.A.70</t>
  </si>
  <si>
    <t>Items in the PQSELFREG scale</t>
  </si>
  <si>
    <t>Table 22.A.71</t>
  </si>
  <si>
    <t>Items in the PQGENSCI scale</t>
  </si>
  <si>
    <t>Table 22.A.72</t>
  </si>
  <si>
    <t>Items in the PQENVOPT scale</t>
  </si>
  <si>
    <t>Table 22.A.73</t>
  </si>
  <si>
    <t>Items in the PQDIGEFF scale</t>
  </si>
  <si>
    <t>Table 22.A.74</t>
  </si>
  <si>
    <t>Items in the PQFEED scale</t>
  </si>
  <si>
    <t>Table 22.A.75</t>
  </si>
  <si>
    <t>Items in the PQSCHOOL scale</t>
  </si>
  <si>
    <t>Table 22.A.76</t>
  </si>
  <si>
    <t>Items in the PQSCAR scale</t>
  </si>
  <si>
    <t>Table 22.A.77</t>
  </si>
  <si>
    <t>Variables derived from the School Questionnaire</t>
  </si>
  <si>
    <t>Table 22.A.78</t>
  </si>
  <si>
    <t>Cronbach's alpha for the IRT scales in the School Questionnaire</t>
  </si>
  <si>
    <t>Table 22.A.79</t>
  </si>
  <si>
    <t>Number of items with international parameters for the IRT scales in the School Questionnaire</t>
  </si>
  <si>
    <t>Table 22.A.80</t>
  </si>
  <si>
    <t>Number of trend items with international parameters for the trend IRT scales in the School Questionnaire</t>
  </si>
  <si>
    <t>Table 22.A.81</t>
  </si>
  <si>
    <t>Countries/economies for which the scale scores were suppressed for the IRT scales in the School Questionnaire</t>
  </si>
  <si>
    <t>Table 22.A.82</t>
  </si>
  <si>
    <t>Groups that did not administer the IRT scales in the School Questionnaire</t>
  </si>
  <si>
    <t>Table 22.A.83</t>
  </si>
  <si>
    <t>Items in the PISASUPP scale</t>
  </si>
  <si>
    <t>Table 22.A.84</t>
  </si>
  <si>
    <t>Items in the NEGSCLIM scale</t>
  </si>
  <si>
    <t>Table 22.A.85</t>
  </si>
  <si>
    <t>Items in the EDUSHORT scale</t>
  </si>
  <si>
    <t>Table 22.A.86</t>
  </si>
  <si>
    <t>Items in the STAFFSHORT scale</t>
  </si>
  <si>
    <t>Table 22.A.87</t>
  </si>
  <si>
    <t>Items in the OPPACTENV scale</t>
  </si>
  <si>
    <t>Table 22.A.88</t>
  </si>
  <si>
    <t>Items in the ALLACTIV scale</t>
  </si>
  <si>
    <t>Table 22.A.89</t>
  </si>
  <si>
    <t>Items in the AVLRSOFT scale</t>
  </si>
  <si>
    <t>Table 22.A.90</t>
  </si>
  <si>
    <t>Items in the DIGPREP scale</t>
  </si>
  <si>
    <t>Table 22.A.91</t>
  </si>
  <si>
    <t>Items in the EDULEAD scale</t>
  </si>
  <si>
    <t>Table 22.A.92</t>
  </si>
  <si>
    <t>Items in the DELGLOB scale</t>
  </si>
  <si>
    <t>Table 22.A.93</t>
  </si>
  <si>
    <t>Items in the PRIORLRN scale</t>
  </si>
  <si>
    <t>Table 22.A.94</t>
  </si>
  <si>
    <t>Items in the FREESCIE scale</t>
  </si>
  <si>
    <t>Table 22.A.95</t>
  </si>
  <si>
    <t>Items in the SCTRAIN scale</t>
  </si>
  <si>
    <t>Table 22.A.96</t>
  </si>
  <si>
    <t>Items in the SESASSESS scale</t>
  </si>
  <si>
    <t>Table 22.A.97</t>
  </si>
  <si>
    <t>Items in the STDTEST scale</t>
  </si>
  <si>
    <t>Table 22.A.98</t>
  </si>
  <si>
    <t>Items in the TDTEST scale</t>
  </si>
  <si>
    <t>Table 22.A.99</t>
  </si>
  <si>
    <t>Items in the ENCOURPG scale</t>
  </si>
  <si>
    <t>Table 22.A.100</t>
  </si>
  <si>
    <t>Variables derived from the Teacher Questionnaire</t>
  </si>
  <si>
    <t>Table 22.A.101</t>
  </si>
  <si>
    <t>Creation of the TCISCED index</t>
  </si>
  <si>
    <t>Table 22.A.102</t>
  </si>
  <si>
    <t>Cronbach's alpha for the IRT scales in the Teacher Questionnaire</t>
  </si>
  <si>
    <t>Table 22.A.103</t>
  </si>
  <si>
    <t>Number of items with international parameters for the IRT scales in the Teacher Questionnaire</t>
  </si>
  <si>
    <t>Table 22.A.104</t>
  </si>
  <si>
    <t>Number of trend items with international parameters for the trend IRT scales in the Teacher Questionnaire</t>
  </si>
  <si>
    <t>Table 22.A.105</t>
  </si>
  <si>
    <t>Countries/economies for which the scale scores were suppressed for the IRT scales in the Teacher Questionnaire</t>
  </si>
  <si>
    <t>Table 22.A.106</t>
  </si>
  <si>
    <t>Items in the EXCHT scale</t>
  </si>
  <si>
    <t>Table 22.A.107</t>
  </si>
  <si>
    <t>Items in the DEVNEED scale</t>
  </si>
  <si>
    <t>Table 22.A.108</t>
  </si>
  <si>
    <t>Items in the SEFFCM scale</t>
  </si>
  <si>
    <t>Table 22.A.109</t>
  </si>
  <si>
    <t>Items in the SEFFINS scale</t>
  </si>
  <si>
    <t>Table 22.A.110</t>
  </si>
  <si>
    <t>Items in the SEFFREL scale</t>
  </si>
  <si>
    <t>Table 22.A.111</t>
  </si>
  <si>
    <t>Items in the TCDIGRES scale</t>
  </si>
  <si>
    <t>Table 22.A.112</t>
  </si>
  <si>
    <t>Items in the SETEACH scale</t>
  </si>
  <si>
    <t>Table 22.A.113</t>
  </si>
  <si>
    <t>Items in the PARCOOPLRN scale</t>
  </si>
  <si>
    <t>Table 22.A.114</t>
  </si>
  <si>
    <t>Items in the POSLEAD scale</t>
  </si>
  <si>
    <t>Table 22.A.115</t>
  </si>
  <si>
    <t>Items in the ENJBSCIE scale</t>
  </si>
  <si>
    <t>Table 22.A.116</t>
  </si>
  <si>
    <t>Items in the PERSDIGRES scale</t>
  </si>
  <si>
    <t>Table 22.A.117</t>
  </si>
  <si>
    <t>Items in the STSCIACT scale</t>
  </si>
  <si>
    <t>Table 22.A.118</t>
  </si>
  <si>
    <t>Items in the USEFORAS scale</t>
  </si>
  <si>
    <t>Table 22.A.119</t>
  </si>
  <si>
    <t>Items in the ENCOURSTUD scale</t>
  </si>
  <si>
    <t>Table 22.A.120</t>
  </si>
  <si>
    <t>Items in the CONEXSCI scale</t>
  </si>
  <si>
    <t>Table 22.A.121</t>
  </si>
  <si>
    <t>Items in the DRUSESCT scale</t>
  </si>
  <si>
    <t>Table 22.A.122</t>
  </si>
  <si>
    <t>Items in the TCDISCLISC scale</t>
  </si>
  <si>
    <t>Table 22.A.123</t>
  </si>
  <si>
    <t>Items in the BELLRNG scale</t>
  </si>
  <si>
    <t>Table 22.A.124</t>
  </si>
  <si>
    <t>Items in the SCIETCOLL scale</t>
  </si>
  <si>
    <t>Table 22.A.125</t>
  </si>
  <si>
    <t>Items in the PARSCLRN scale</t>
  </si>
  <si>
    <t>Table 22.A.126</t>
  </si>
  <si>
    <t>Items in the TCBELSCIE scale</t>
  </si>
  <si>
    <t>Table 22.A.127</t>
  </si>
  <si>
    <t>Items in the TCPENVACT scale</t>
  </si>
  <si>
    <t>Table 22.A.128</t>
  </si>
  <si>
    <t>Items in the TCENWARE scale</t>
  </si>
  <si>
    <t>Table 22.A.129</t>
  </si>
  <si>
    <t>Variables derived from the FLA Student Questionnaire (FLA-specific indices only)</t>
  </si>
  <si>
    <t>Table 22.A.130</t>
  </si>
  <si>
    <t>Cronbach's alpha for the IRT scales in the FLA Student Questionnaire</t>
  </si>
  <si>
    <t>Table 22.A.131</t>
  </si>
  <si>
    <t>Number of items with international parameters for the IRT scales in the FLA Student Questionnaire</t>
  </si>
  <si>
    <t>Table 22.A.132</t>
  </si>
  <si>
    <t>Number of trend items with international parameters for the trend IRT scales in the FLA Student Questionnaire</t>
  </si>
  <si>
    <t>Table 22.A.133</t>
  </si>
  <si>
    <t>Countries/economies for which the scale scores were suppressed for the IRT scales in the FLA Student Questionnaire</t>
  </si>
  <si>
    <t>Table 22.A.134</t>
  </si>
  <si>
    <t>Groups that did not administer the IRT scales in the FLA Student Questionnaire</t>
  </si>
  <si>
    <t>Table 22.A.135</t>
  </si>
  <si>
    <t>Items in the HLANGPROF scale</t>
  </si>
  <si>
    <t>Table 22.A.136</t>
  </si>
  <si>
    <t>Items in the ANXENGL scale</t>
  </si>
  <si>
    <t>Table 22.A.137</t>
  </si>
  <si>
    <t>Items in the EXPENGUSE scale</t>
  </si>
  <si>
    <t>Table 22.A.138</t>
  </si>
  <si>
    <t>Variables derived from the FLA School Questionnaire (FLA-specific indices only)</t>
  </si>
  <si>
    <t>Table 22.A.139</t>
  </si>
  <si>
    <t>Variables derived from the FLA Parent Questionnaire (FLA-specific indices only)</t>
  </si>
  <si>
    <t>Table 22.A.140</t>
  </si>
  <si>
    <t>Cronbach's alpha for the IRT scales in the FLA Parent Questionnaire</t>
  </si>
  <si>
    <t>Table 22.A.141</t>
  </si>
  <si>
    <t>Number of items with international parameters for the IRT scales in the FLA Parent Questionnaire</t>
  </si>
  <si>
    <t>Table 22.A.142</t>
  </si>
  <si>
    <t>Number of trend items with international parameters for the trend IRT scales in the FLA Parent Questionnaire</t>
  </si>
  <si>
    <t>Table 22.A.143</t>
  </si>
  <si>
    <t>Items in the FENGSUP scale</t>
  </si>
  <si>
    <t>Table 22.A.144</t>
  </si>
  <si>
    <t>Items in the PARSAT scale</t>
  </si>
  <si>
    <t>Table 22.A.145</t>
  </si>
  <si>
    <t>Items in the PARIMPO scale</t>
  </si>
  <si>
    <t>Table 22.A.146</t>
  </si>
  <si>
    <t>Items in the PARENGL scale</t>
  </si>
  <si>
    <t>Table 22.A.147</t>
  </si>
  <si>
    <t>Items in the PARUSE scale</t>
  </si>
  <si>
    <t>Table 22.A.148</t>
  </si>
  <si>
    <t>Variables derived from the FLA Teacher Questionnaire (FLA-specific indices only)</t>
  </si>
  <si>
    <t>Table 22.A.149</t>
  </si>
  <si>
    <t>Cronbach's alpha for the IRT scales in the FLA Teacher Questionnaire</t>
  </si>
  <si>
    <t>Table 22.A.150</t>
  </si>
  <si>
    <t>Number of items with international parameters for the IRT scales in the FLA Teacher Questionnaire</t>
  </si>
  <si>
    <t>Table 22.A.151</t>
  </si>
  <si>
    <t>Number of trend items with international parameters for the trend IRT scales in the FLA Teacher Questionnaire</t>
  </si>
  <si>
    <t>Table 22.A.152</t>
  </si>
  <si>
    <t>Countries/economies for which the scale scores were suppressed for the IRT scales in the FLA Teacher Questionnaire</t>
  </si>
  <si>
    <t>Table 22.A.153</t>
  </si>
  <si>
    <t>Items in the JOBSATENG scale</t>
  </si>
  <si>
    <t>Table 22.A.154</t>
  </si>
  <si>
    <t>Items in the TCSELFATT scale</t>
  </si>
  <si>
    <t>Table 22.A.155</t>
  </si>
  <si>
    <t>Items in the TCSELFUSE scale</t>
  </si>
  <si>
    <t>Table 22.A.156</t>
  </si>
  <si>
    <t>Items in the TCUSEENG scale</t>
  </si>
  <si>
    <t>Table 22.A.157</t>
  </si>
  <si>
    <t>Items in the TCENGFORM scale</t>
  </si>
  <si>
    <t>Table of Contents</t>
  </si>
  <si>
    <t>Scale</t>
  </si>
  <si>
    <t>PISA cycle linked to</t>
  </si>
  <si>
    <t>Student Questionnaire</t>
  </si>
  <si>
    <t>BELONG</t>
  </si>
  <si>
    <t>BULLIED</t>
  </si>
  <si>
    <t>DISCLISCI</t>
  </si>
  <si>
    <t>ENVAWARE</t>
  </si>
  <si>
    <t>FAMSUP</t>
  </si>
  <si>
    <t>FEELSAFE</t>
  </si>
  <si>
    <t>ICTRES</t>
  </si>
  <si>
    <t>JOYSCIE</t>
  </si>
  <si>
    <t>TEACHSUP</t>
  </si>
  <si>
    <t>ICT Familiarity Questionnaire</t>
  </si>
  <si>
    <t>ICTFEED</t>
  </si>
  <si>
    <t>ICTHOME</t>
  </si>
  <si>
    <t>ICTINFO</t>
  </si>
  <si>
    <t>ICTOUT</t>
  </si>
  <si>
    <t>ICTQUAL</t>
  </si>
  <si>
    <t>ICTREG</t>
  </si>
  <si>
    <t>ICTSCH</t>
  </si>
  <si>
    <t>ICTWKDY</t>
  </si>
  <si>
    <t>ICTWKEND</t>
  </si>
  <si>
    <t>INTICT</t>
  </si>
  <si>
    <t>SOIAICT</t>
  </si>
  <si>
    <t>Parent Questionnaire</t>
  </si>
  <si>
    <t>PARINVOL</t>
  </si>
  <si>
    <t>PQENPERC</t>
  </si>
  <si>
    <t>PQENVOPT</t>
  </si>
  <si>
    <t>PQSCHOOL</t>
  </si>
  <si>
    <t>PRESUPP</t>
  </si>
  <si>
    <t>School Questionnaire</t>
  </si>
  <si>
    <t>ALLACTIV</t>
  </si>
  <si>
    <t>DIGPREP</t>
  </si>
  <si>
    <t>EDULEAD</t>
  </si>
  <si>
    <t>EDUSHORT</t>
  </si>
  <si>
    <t>ENCOURPG</t>
  </si>
  <si>
    <t>NEGSCLIM</t>
  </si>
  <si>
    <t>STAFFSHORT</t>
  </si>
  <si>
    <t>STDTEST</t>
  </si>
  <si>
    <t>TDTEST</t>
  </si>
  <si>
    <t>Teacher Questionnaire</t>
  </si>
  <si>
    <t>DEVNEED</t>
  </si>
  <si>
    <t>EXCHT</t>
  </si>
  <si>
    <t>SEFFCM</t>
  </si>
  <si>
    <t>SEFFINS</t>
  </si>
  <si>
    <t>SEFFREL</t>
  </si>
  <si>
    <t>SETEACH</t>
  </si>
  <si>
    <t>TCDIGRES</t>
  </si>
  <si>
    <t>Mean</t>
  </si>
  <si>
    <t>SD</t>
  </si>
  <si>
    <t>AIUSESCH</t>
  </si>
  <si>
    <t>COGABIL</t>
  </si>
  <si>
    <t>COGACSC</t>
  </si>
  <si>
    <t>COLLENEFF</t>
  </si>
  <si>
    <t>CURIO</t>
  </si>
  <si>
    <t>EFFSCIE</t>
  </si>
  <si>
    <t>ENGSCIPR</t>
  </si>
  <si>
    <t>ENPROBS</t>
  </si>
  <si>
    <t>ENVAPART</t>
  </si>
  <si>
    <t>ENVCAPCH</t>
  </si>
  <si>
    <t>GOALSET</t>
  </si>
  <si>
    <t>HOMEPOS</t>
  </si>
  <si>
    <t>OPENVLRN</t>
  </si>
  <si>
    <t>PERSEV</t>
  </si>
  <si>
    <t>SCIECOLLR</t>
  </si>
  <si>
    <t>SELFREG</t>
  </si>
  <si>
    <t>STBELSCIE</t>
  </si>
  <si>
    <t>DIGINTLRN</t>
  </si>
  <si>
    <t>FGENSUP</t>
  </si>
  <si>
    <t>FSCISUP</t>
  </si>
  <si>
    <t>PQDIGEFF</t>
  </si>
  <si>
    <t>PQFEED</t>
  </si>
  <si>
    <t>PQSCAR</t>
  </si>
  <si>
    <t>PQSELFREG</t>
  </si>
  <si>
    <t>PVDRSCUSE</t>
  </si>
  <si>
    <t>AVLRSOFT</t>
  </si>
  <si>
    <t>DELGLOB</t>
  </si>
  <si>
    <t>FREESCIE</t>
  </si>
  <si>
    <t>OPPACTENV</t>
  </si>
  <si>
    <t>PISASUPP</t>
  </si>
  <si>
    <t>PRIORLRN</t>
  </si>
  <si>
    <t>SCTRAIN</t>
  </si>
  <si>
    <t>SESASSESS</t>
  </si>
  <si>
    <t>BELLRNG</t>
  </si>
  <si>
    <t>CONEXSCI</t>
  </si>
  <si>
    <t>DRUSESCT</t>
  </si>
  <si>
    <t>ENCOURSTUD</t>
  </si>
  <si>
    <t>ENJBSCIE</t>
  </si>
  <si>
    <t>PARCOOPLRN</t>
  </si>
  <si>
    <t>PARSCLRN</t>
  </si>
  <si>
    <t>PERSDIGRES</t>
  </si>
  <si>
    <t>POSLEAD</t>
  </si>
  <si>
    <t>SCIETCOLL</t>
  </si>
  <si>
    <t>STSCIACT</t>
  </si>
  <si>
    <t>TCBELSCIE</t>
  </si>
  <si>
    <t>TCDISCLISC</t>
  </si>
  <si>
    <t>TCENWARE</t>
  </si>
  <si>
    <t>TCPENVACT</t>
  </si>
  <si>
    <t>USEFORAS</t>
  </si>
  <si>
    <t>FLA Student Questionnaire</t>
  </si>
  <si>
    <t>ANXENGL</t>
  </si>
  <si>
    <t>EXPENGUSE</t>
  </si>
  <si>
    <t>HLANGPROF</t>
  </si>
  <si>
    <t>FLA Parent Questionnaire</t>
  </si>
  <si>
    <t>FENGSUP</t>
  </si>
  <si>
    <t>PARENGL</t>
  </si>
  <si>
    <t>PARIMPO</t>
  </si>
  <si>
    <t>PARSAT</t>
  </si>
  <si>
    <t>PARUSE</t>
  </si>
  <si>
    <t>FLA Teacher Questionnaire</t>
  </si>
  <si>
    <t>TCSELFUSE</t>
  </si>
  <si>
    <t>TCSELFATT</t>
  </si>
  <si>
    <t>TCENGFORM</t>
  </si>
  <si>
    <t>JOBSATENG</t>
  </si>
  <si>
    <t>TCUSEENG</t>
  </si>
  <si>
    <t>ICT familiarity questionnaire</t>
  </si>
  <si>
    <t>BULLIED (BEINGBULLIED in 2018)</t>
  </si>
  <si>
    <t>A</t>
  </si>
  <si>
    <t>B</t>
  </si>
  <si>
    <t>PQGENSCI</t>
  </si>
  <si>
    <t>Variables derived from the Student Questionnaire  </t>
  </si>
  <si>
    <t>DV name</t>
  </si>
  <si>
    <t>DV label</t>
  </si>
  <si>
    <t>Simple DVs</t>
  </si>
  <si>
    <t>AGE</t>
  </si>
  <si>
    <t>Students' age</t>
  </si>
  <si>
    <t>GRADE</t>
  </si>
  <si>
    <t>Grade compared to modal grade</t>
  </si>
  <si>
    <t>ST004D01</t>
  </si>
  <si>
    <t>Students' gender</t>
  </si>
  <si>
    <t>MALE</t>
  </si>
  <si>
    <t>Students' male gender</t>
  </si>
  <si>
    <t>P1ISCED</t>
  </si>
  <si>
    <t>Parent/guardian 1's level of education</t>
  </si>
  <si>
    <t>P2ISCED</t>
  </si>
  <si>
    <t>Parent/guardian 2's level of education</t>
  </si>
  <si>
    <t>HISCED</t>
  </si>
  <si>
    <t>Highest educational level of parents/guardians</t>
  </si>
  <si>
    <t>PAREDINT</t>
  </si>
  <si>
    <t>Highest education of parents in years</t>
  </si>
  <si>
    <t>OCOP1</t>
  </si>
  <si>
    <t>Parent 1 occupational code</t>
  </si>
  <si>
    <t>OCOP2</t>
  </si>
  <si>
    <t>Parent 2 occupational code</t>
  </si>
  <si>
    <t>BP1MJ</t>
  </si>
  <si>
    <t>Parent/guardian 1's occupational status</t>
  </si>
  <si>
    <t>BP2MJ</t>
  </si>
  <si>
    <t>Parent/guardian 2's occupational status</t>
  </si>
  <si>
    <t>HISEI</t>
  </si>
  <si>
    <t>Highest parental occupational status</t>
  </si>
  <si>
    <t>ISCEDP</t>
  </si>
  <si>
    <t>Study programme, level and orientation</t>
  </si>
  <si>
    <t>REPEAT</t>
  </si>
  <si>
    <t>Grade repetition</t>
  </si>
  <si>
    <t>SKIPPING</t>
  </si>
  <si>
    <t xml:space="preserve">Skipping of classes or days of school </t>
  </si>
  <si>
    <t>TARDYSD</t>
  </si>
  <si>
    <t>Arriving late for school</t>
  </si>
  <si>
    <t>COBN_S</t>
  </si>
  <si>
    <t xml:space="preserve">Student’s country of birth </t>
  </si>
  <si>
    <t>COBN_P1</t>
  </si>
  <si>
    <t>Student's parent/guardian 1’s country of birth</t>
  </si>
  <si>
    <t>COBN_P2</t>
  </si>
  <si>
    <t>Parent/guardian 2’s country of birth</t>
  </si>
  <si>
    <t>IMMIG</t>
  </si>
  <si>
    <t>Student immigration status</t>
  </si>
  <si>
    <t>LANGN</t>
  </si>
  <si>
    <t>Language spoken at home</t>
  </si>
  <si>
    <t>EXPECEDU</t>
  </si>
  <si>
    <t>Highest expected educational level</t>
  </si>
  <si>
    <t>OCOD3</t>
  </si>
  <si>
    <t>Expected occupation</t>
  </si>
  <si>
    <t>BSMJ</t>
  </si>
  <si>
    <t>Expected occupation status</t>
  </si>
  <si>
    <t>SISCO</t>
  </si>
  <si>
    <t>Clear idea about future job</t>
  </si>
  <si>
    <t>WORKPAY</t>
  </si>
  <si>
    <t>Working for pay before or after school</t>
  </si>
  <si>
    <t>EXERPRAC</t>
  </si>
  <si>
    <t>Excersice or practise sport before or after school</t>
  </si>
  <si>
    <t>IRT scales</t>
  </si>
  <si>
    <t>Home possessions</t>
  </si>
  <si>
    <t>ICT resources</t>
  </si>
  <si>
    <t>Students' sense of belonging</t>
  </si>
  <si>
    <t>Student reports on being bullied</t>
  </si>
  <si>
    <t>Student reports on feeling safe</t>
  </si>
  <si>
    <t>Disciplinary climate in school science</t>
  </si>
  <si>
    <t>Teacher support in science classes</t>
  </si>
  <si>
    <t>Cognitive activation in science classes</t>
  </si>
  <si>
    <t>Collaborative reasoning in science classes</t>
  </si>
  <si>
    <t>Students' enjoyment of science</t>
  </si>
  <si>
    <t>Science self-efficacy</t>
  </si>
  <si>
    <t>Students' beliefs about the nature of science</t>
  </si>
  <si>
    <t>Opportunities for environmental learning in class</t>
  </si>
  <si>
    <t>Students' participation in environment-related activities</t>
  </si>
  <si>
    <t>Collective environmental efficacy</t>
  </si>
  <si>
    <t>Students' beliefs in their capacity to generate environmental change</t>
  </si>
  <si>
    <t>Students' environmental awareness</t>
  </si>
  <si>
    <t>Students' perceptions of family support</t>
  </si>
  <si>
    <t>Students' engagement with science practices</t>
  </si>
  <si>
    <t>Students' perseverance</t>
  </si>
  <si>
    <t>Students' curiosity</t>
  </si>
  <si>
    <t>Goal setting</t>
  </si>
  <si>
    <t>Self-regulation</t>
  </si>
  <si>
    <t>Enjoyment of problem-solving</t>
  </si>
  <si>
    <t>Cognitive adaptability</t>
  </si>
  <si>
    <t>Students' AI use at school</t>
  </si>
  <si>
    <t>Complex composite index</t>
  </si>
  <si>
    <t>ESCS</t>
  </si>
  <si>
    <t xml:space="preserve">Index of economic, social and cultural status </t>
  </si>
  <si>
    <t>Index value for P1ISCED/P2ISCED</t>
  </si>
  <si>
    <t>ISCED level</t>
  </si>
  <si>
    <t>Median cumulative years of education</t>
  </si>
  <si>
    <t>My parent does not have any of these qualifications</t>
  </si>
  <si>
    <t>ISCED level 2 (Lower secondary education)</t>
  </si>
  <si>
    <t>ISCED level 3.3 (Upper secondary education with no direct access to tertiary education)</t>
  </si>
  <si>
    <t>ISCED level 3.4 (Upper secondary education of education with direct access to tertiary education)</t>
  </si>
  <si>
    <t>ISCED level 4 (Post-secondary non-tertiary education)</t>
  </si>
  <si>
    <t>ISCED level 5 (Short-cycle tertiary education)</t>
  </si>
  <si>
    <t>ISCED level 6 (Bachelor’s or equivalent)</t>
  </si>
  <si>
    <t>ISCED level 7 (Master's or equivalent)</t>
  </si>
  <si>
    <t>ISCED level 8 (Doctoral or equivalent)</t>
  </si>
  <si>
    <t>ISCEDP value</t>
  </si>
  <si>
    <t>ISCEDP label</t>
  </si>
  <si>
    <t>Lower secondary general education: Sufficient for level completion with direct access to upper secondary education</t>
  </si>
  <si>
    <t>Lower secondary vocational education: Sufficient for level completion with direct access to upper secondary education</t>
  </si>
  <si>
    <t>Upper secondary general education: Sufficient for level completion with direct access to tertiary or post-secondary non-tertiary education</t>
  </si>
  <si>
    <t>Upper secondary vocational education: Sufficient for level completion with direct access to tertiary or post-secondary non-tertiary education</t>
  </si>
  <si>
    <t>Index value</t>
  </si>
  <si>
    <t>Value label</t>
  </si>
  <si>
    <t>Index creation rule</t>
  </si>
  <si>
    <t>ISCED Level 8</t>
  </si>
  <si>
    <t>Assign this score if “Yes” to item ST327Q08JA</t>
  </si>
  <si>
    <t>ISCED level 7</t>
  </si>
  <si>
    <t>Assign this score if “No” or “IDK” to item ST327Q08JA and “Yes” to item ST327Q07JA</t>
  </si>
  <si>
    <t>ISCED Level 6</t>
  </si>
  <si>
    <t>Assign this score if “No” or “IDK” to item ST327Q08JA and ST327Q07JA and “Yes” to item ST327Q06JA</t>
  </si>
  <si>
    <t>ISCED Level 5</t>
  </si>
  <si>
    <t>Assign this score if “No” or “IDK” to item ST327Q08JA and ST327Q07JA and ST327Q06JA and “Yes” to item ST327Q05JA</t>
  </si>
  <si>
    <t>ISCED Level 4</t>
  </si>
  <si>
    <t>Assign this score if “No” or “IDK” to item ST327Q08JA and ST327Q07JA and ST327Q06JA and ST327Q05JA and “Yes” to item ST327Q04JA</t>
  </si>
  <si>
    <t>ISCED Level 3.4</t>
  </si>
  <si>
    <t>Assign this score if “No” or “IDK” to item ST327Q08JA and ST327Q07JA and ST327Q06JA and ST327Q05JA and ST327Q04JA and “Yes” to item ST327Q03JA</t>
  </si>
  <si>
    <t>ISCED Level 3.3</t>
  </si>
  <si>
    <t>Assign this score if “No” or “IDK” to item ST327Q08JA and ST327Q07JA and ST327Q06JA and ST327Q05JA and ST327Q04JA and ST327Q03JA and “Yes” to item ST327Q02JA</t>
  </si>
  <si>
    <t>ISCED Level 2</t>
  </si>
  <si>
    <t>Assign this score if “No” or “IDK” to item ST327Q08JA and ST327Q07JA and ST327Q06JA and ST327Q05JA and ST327Q04JA and ST327Q03JA and ST327Q02JA and “Yes” to item ST327Q01JA</t>
  </si>
  <si>
    <t>Less than ISCED Level 2</t>
  </si>
  <si>
    <t xml:space="preserve">Assign this score if “No” to items 1-8 in this question and “No” or “I don't know” to item 1 in this question </t>
  </si>
  <si>
    <t>Country/economy (language group)</t>
  </si>
  <si>
    <t>sq-AL</t>
  </si>
  <si>
    <t>es-AR</t>
  </si>
  <si>
    <t>hy-AM</t>
  </si>
  <si>
    <t>en-AU</t>
  </si>
  <si>
    <t>de-AT</t>
  </si>
  <si>
    <t>az-QZ</t>
  </si>
  <si>
    <t>ru-QZ</t>
  </si>
  <si>
    <t>nl-BE</t>
  </si>
  <si>
    <t>fr-BE</t>
  </si>
  <si>
    <t>de-BE</t>
  </si>
  <si>
    <t>pt-BR</t>
  </si>
  <si>
    <t>en-BN</t>
  </si>
  <si>
    <t>zh-CN</t>
  </si>
  <si>
    <t>bg-BG</t>
  </si>
  <si>
    <t>m</t>
  </si>
  <si>
    <t>km-KH</t>
  </si>
  <si>
    <t>en-CA</t>
  </si>
  <si>
    <t>fr-CA</t>
  </si>
  <si>
    <t>es-CL</t>
  </si>
  <si>
    <t>es-CO</t>
  </si>
  <si>
    <t>es-CR</t>
  </si>
  <si>
    <t>hr-HR</t>
  </si>
  <si>
    <t>en-CY</t>
  </si>
  <si>
    <t>el-CY</t>
  </si>
  <si>
    <t>cs-CZ</t>
  </si>
  <si>
    <t>da-DK</t>
  </si>
  <si>
    <t>fo-DK</t>
  </si>
  <si>
    <t>es-DO</t>
  </si>
  <si>
    <t>ru-TJ</t>
  </si>
  <si>
    <t>tg-TJ</t>
  </si>
  <si>
    <t>es-EC</t>
  </si>
  <si>
    <t>es-SV</t>
  </si>
  <si>
    <t>et-EE</t>
  </si>
  <si>
    <t>ru-EE</t>
  </si>
  <si>
    <t>fi-FI</t>
  </si>
  <si>
    <t>sv-FI</t>
  </si>
  <si>
    <t>fr-FR</t>
  </si>
  <si>
    <t>az-GE</t>
  </si>
  <si>
    <t>ka-GE</t>
  </si>
  <si>
    <t>ru-GE</t>
  </si>
  <si>
    <t>de-DE</t>
  </si>
  <si>
    <t>el-GR</t>
  </si>
  <si>
    <t>es-GT</t>
  </si>
  <si>
    <t>zh-HK</t>
  </si>
  <si>
    <t>en-HK</t>
  </si>
  <si>
    <t>hu-HU</t>
  </si>
  <si>
    <t>is-IS</t>
  </si>
  <si>
    <t>id-ID</t>
  </si>
  <si>
    <t>en-IE</t>
  </si>
  <si>
    <t>ga-IE</t>
  </si>
  <si>
    <t>ar-IL</t>
  </si>
  <si>
    <t>he-IL-x-haredi</t>
  </si>
  <si>
    <t>he-IL</t>
  </si>
  <si>
    <t>de-IT</t>
  </si>
  <si>
    <t>it-IT</t>
  </si>
  <si>
    <t>ja-JP</t>
  </si>
  <si>
    <t>ar-JO</t>
  </si>
  <si>
    <t>kk-KZ</t>
  </si>
  <si>
    <t>ru-KZ</t>
  </si>
  <si>
    <t>en-KE</t>
  </si>
  <si>
    <t>ko-KR</t>
  </si>
  <si>
    <t>sq-XK</t>
  </si>
  <si>
    <t>kmr-Arab-IQ</t>
  </si>
  <si>
    <t>en-IQ-x-kurdstan</t>
  </si>
  <si>
    <t>ckb-Arab-IQ</t>
  </si>
  <si>
    <t>ky-KG</t>
  </si>
  <si>
    <t>ru-KG</t>
  </si>
  <si>
    <t>uz-KG</t>
  </si>
  <si>
    <t>lv-LV</t>
  </si>
  <si>
    <t>en-LB</t>
  </si>
  <si>
    <t>fr-LB</t>
  </si>
  <si>
    <t>lt-LT</t>
  </si>
  <si>
    <t>pl-LT</t>
  </si>
  <si>
    <t>ru-LT</t>
  </si>
  <si>
    <t>en-LU</t>
  </si>
  <si>
    <t>fr-LU</t>
  </si>
  <si>
    <t>de-LU</t>
  </si>
  <si>
    <t>en-MO</t>
  </si>
  <si>
    <t>pt-MO</t>
  </si>
  <si>
    <t>zh-MO</t>
  </si>
  <si>
    <t>sq-MK</t>
  </si>
  <si>
    <t>mk-MK</t>
  </si>
  <si>
    <t>en-MY</t>
  </si>
  <si>
    <t>ms-MY</t>
  </si>
  <si>
    <t>en-MT</t>
  </si>
  <si>
    <t>en-MU</t>
  </si>
  <si>
    <t>es-MX</t>
  </si>
  <si>
    <t>ro-MD</t>
  </si>
  <si>
    <t>ru-MD</t>
  </si>
  <si>
    <t>kk-MN</t>
  </si>
  <si>
    <t>mn-MN</t>
  </si>
  <si>
    <t>sq-ME</t>
  </si>
  <si>
    <t>cnr-ME</t>
  </si>
  <si>
    <t>ar-MA</t>
  </si>
  <si>
    <t>nl-NL</t>
  </si>
  <si>
    <t>en-NZ</t>
  </si>
  <si>
    <t>nb-NO</t>
  </si>
  <si>
    <t>nn-NO</t>
  </si>
  <si>
    <t>ar-PS</t>
  </si>
  <si>
    <t>en-PS</t>
  </si>
  <si>
    <t>es-PY</t>
  </si>
  <si>
    <t>es-PE</t>
  </si>
  <si>
    <t>en-PH</t>
  </si>
  <si>
    <t>pl-PL</t>
  </si>
  <si>
    <t>pt-PT</t>
  </si>
  <si>
    <t>ar-QA</t>
  </si>
  <si>
    <t>en-QA</t>
  </si>
  <si>
    <t>hu-RO</t>
  </si>
  <si>
    <t>ro-RO</t>
  </si>
  <si>
    <t>en-RW</t>
  </si>
  <si>
    <t>ar-SA</t>
  </si>
  <si>
    <t>en-SA</t>
  </si>
  <si>
    <t>sr-RS</t>
  </si>
  <si>
    <t>en-SG</t>
  </si>
  <si>
    <t>hu-SK</t>
  </si>
  <si>
    <t>sk-SK</t>
  </si>
  <si>
    <t>sl-SI</t>
  </si>
  <si>
    <t>eu-ES</t>
  </si>
  <si>
    <t>ca-ES</t>
  </si>
  <si>
    <t>gl-ES</t>
  </si>
  <si>
    <t>es-ES</t>
  </si>
  <si>
    <t>ca-ES-valencia</t>
  </si>
  <si>
    <t>sv-SE</t>
  </si>
  <si>
    <t>fr-CH</t>
  </si>
  <si>
    <t>de-CH</t>
  </si>
  <si>
    <t>it-CH</t>
  </si>
  <si>
    <t>zh-TW</t>
  </si>
  <si>
    <t>th-TH</t>
  </si>
  <si>
    <t>tr-TR</t>
  </si>
  <si>
    <t>uk-UA</t>
  </si>
  <si>
    <t>ar-AE</t>
  </si>
  <si>
    <t>en-AE</t>
  </si>
  <si>
    <t>cy-GB</t>
  </si>
  <si>
    <t>en-GB-x-excscotl</t>
  </si>
  <si>
    <t>en-GB-scotland</t>
  </si>
  <si>
    <t>en-US</t>
  </si>
  <si>
    <t>es-UY</t>
  </si>
  <si>
    <t>kaa-UZ</t>
  </si>
  <si>
    <t>ru-UZ</t>
  </si>
  <si>
    <t>uz-UZ</t>
  </si>
  <si>
    <t>vi-VN</t>
  </si>
  <si>
    <t>en-ZM</t>
  </si>
  <si>
    <t>Country/economy</t>
  </si>
  <si>
    <t>KHM</t>
  </si>
  <si>
    <t>GTM</t>
  </si>
  <si>
    <t>QKI</t>
  </si>
  <si>
    <t>LBN</t>
  </si>
  <si>
    <t>RWA</t>
  </si>
  <si>
    <t>ZMB</t>
  </si>
  <si>
    <t>AUS</t>
  </si>
  <si>
    <t>AUT</t>
  </si>
  <si>
    <t>BEL</t>
  </si>
  <si>
    <t>HRV</t>
  </si>
  <si>
    <t>CZE</t>
  </si>
  <si>
    <t>DNK</t>
  </si>
  <si>
    <t>SLV</t>
  </si>
  <si>
    <t>EST</t>
  </si>
  <si>
    <t>FIN</t>
  </si>
  <si>
    <t>FRA</t>
  </si>
  <si>
    <t>DEU</t>
  </si>
  <si>
    <t>GRC</t>
  </si>
  <si>
    <t>ISL</t>
  </si>
  <si>
    <t>IRL</t>
  </si>
  <si>
    <t>ITA</t>
  </si>
  <si>
    <t>JPN</t>
  </si>
  <si>
    <t>KAZ</t>
  </si>
  <si>
    <t>KOR</t>
  </si>
  <si>
    <t>KGZ</t>
  </si>
  <si>
    <t>LVA</t>
  </si>
  <si>
    <t>LTU</t>
  </si>
  <si>
    <t>NLD</t>
  </si>
  <si>
    <t>MKD</t>
  </si>
  <si>
    <t>POL</t>
  </si>
  <si>
    <t>PRT</t>
  </si>
  <si>
    <t>SGP</t>
  </si>
  <si>
    <t>SVK</t>
  </si>
  <si>
    <t>SWE</t>
  </si>
  <si>
    <t>CHE</t>
  </si>
  <si>
    <t>QUA</t>
  </si>
  <si>
    <t>GBR</t>
  </si>
  <si>
    <t>ALB</t>
  </si>
  <si>
    <t>BRA</t>
  </si>
  <si>
    <t>IDN</t>
  </si>
  <si>
    <t>KEN</t>
  </si>
  <si>
    <t>Cambodia - Khmer</t>
  </si>
  <si>
    <t>Dushanbe (Tajikistan) - Russian</t>
  </si>
  <si>
    <t>Dushanbe (Tajikistan) - Tajik</t>
  </si>
  <si>
    <t>Kurdistan Region (Iraq) - English*</t>
  </si>
  <si>
    <t>Kurdistan Region (Iraq) - Bahdini*</t>
  </si>
  <si>
    <t>Kurdistan Region (Iraq) - Sorani*</t>
  </si>
  <si>
    <t>Mauritius - English</t>
  </si>
  <si>
    <t>Rwanda - English</t>
  </si>
  <si>
    <t>Zambia - English</t>
  </si>
  <si>
    <t>Norway - Norwegian Bokmål</t>
  </si>
  <si>
    <t>Norway - Nynorsk</t>
  </si>
  <si>
    <t>Sweden - Swedish</t>
  </si>
  <si>
    <t>Costa Rica - Spanish</t>
  </si>
  <si>
    <t>United States - English</t>
  </si>
  <si>
    <t>Denmark - Danish</t>
  </si>
  <si>
    <t>Denmark - Faroese</t>
  </si>
  <si>
    <t>Germany - German</t>
  </si>
  <si>
    <t>Japan - Japanese</t>
  </si>
  <si>
    <t>Canada - English</t>
  </si>
  <si>
    <t>Canada - French</t>
  </si>
  <si>
    <t>Group (International)</t>
  </si>
  <si>
    <t>Item</t>
  </si>
  <si>
    <t>Wording</t>
  </si>
  <si>
    <t>Response categories</t>
  </si>
  <si>
    <t>Alpha</t>
  </si>
  <si>
    <t>Beta</t>
  </si>
  <si>
    <t>Step_1</t>
  </si>
  <si>
    <t>Step_2</t>
  </si>
  <si>
    <t>Step_3</t>
  </si>
  <si>
    <t>Step_4</t>
  </si>
  <si>
    <t>Step_5</t>
  </si>
  <si>
    <t>International</t>
  </si>
  <si>
    <t>ST250Q01JA</t>
  </si>
  <si>
    <t>Which of the following are in your &lt;home&gt;? A room of your own</t>
  </si>
  <si>
    <t>ST250Q02JA</t>
  </si>
  <si>
    <t>Which of the following are in your &lt;home&gt;? A computer (laptop, desktop, or tablet) that you can use for school work</t>
  </si>
  <si>
    <t>ST250Q03JA</t>
  </si>
  <si>
    <t>Which of the following are in your &lt;home&gt;? Educational Software or Apps</t>
  </si>
  <si>
    <t>ST250Q04JA</t>
  </si>
  <si>
    <t>Which of the following are in your &lt;home&gt;? Your own &lt;cell phone&gt; with Internet access (e.g. smartphone)</t>
  </si>
  <si>
    <t>ST250Q05JA</t>
  </si>
  <si>
    <t>Which of the following are in your &lt;home&gt;? Internet access (e.g. Wi-fi) (excluding through smartphones)</t>
  </si>
  <si>
    <t>ST250Q08DA</t>
  </si>
  <si>
    <t>Which of the following are in your &lt;home&gt;? Electric lighting</t>
  </si>
  <si>
    <t>ST250Q09DA</t>
  </si>
  <si>
    <t>Which of the following are in your &lt;home&gt;? &lt; Plumbed water &gt; for consumption</t>
  </si>
  <si>
    <t>ST250Q10DA</t>
  </si>
  <si>
    <t>Which of the following are in your &lt;home&gt;? Off-street parking (e.g. garage, private parking spot)</t>
  </si>
  <si>
    <t>ST250Q11DA</t>
  </si>
  <si>
    <t>Which of the following are in your &lt;home&gt;? A garbage-collection service</t>
  </si>
  <si>
    <t>ST250Q12DA</t>
  </si>
  <si>
    <t>Which of the following are in your &lt;home&gt;? A stove or burner for cooking</t>
  </si>
  <si>
    <t>ST250Q13DA</t>
  </si>
  <si>
    <t>Which of the following are in your &lt;home&gt;? A table to have meals</t>
  </si>
  <si>
    <t>ST250Q14DA</t>
  </si>
  <si>
    <t>Which of the following are in your &lt;home&gt;? A vacuum cleaner</t>
  </si>
  <si>
    <t>ST250Q15DA</t>
  </si>
  <si>
    <t>Which of the following are in your &lt;home&gt;? A refrigerator or freezer</t>
  </si>
  <si>
    <t>ST250Q16DA</t>
  </si>
  <si>
    <t>Which of the following are in your &lt;home&gt;? A sewer connection</t>
  </si>
  <si>
    <t>ST250Q18DA</t>
  </si>
  <si>
    <t>Which of the following are in your &lt;home&gt;? Air conditioner and/or heating devices</t>
  </si>
  <si>
    <t>ST250Q19DA</t>
  </si>
  <si>
    <t>Which of the following are in your &lt;home&gt;? A guest room</t>
  </si>
  <si>
    <t>ST250Q20DA</t>
  </si>
  <si>
    <t>Which of the following are in your &lt;home&gt;? A quiet place/room to study</t>
  </si>
  <si>
    <t>ST250Q21DA</t>
  </si>
  <si>
    <t>Which of the following are in your &lt;home&gt;? A swimming pool or outdoor spa/bath/jacuzzi</t>
  </si>
  <si>
    <t>ST250Q22DA</t>
  </si>
  <si>
    <t>Which of the following are in your &lt;home&gt;? A house security system (e.g. &lt;alarm system, surveillance cameras&gt;)</t>
  </si>
  <si>
    <t>ST250Q23DA</t>
  </si>
  <si>
    <t>Which of the following are in your &lt;home&gt;? A smart TV</t>
  </si>
  <si>
    <t>ST250Q24DA</t>
  </si>
  <si>
    <t>Which of the following are in your &lt;home&gt;? A dishwasher</t>
  </si>
  <si>
    <t>ST250Q25DA</t>
  </si>
  <si>
    <t>Which of the following are in your &lt;home&gt;? Your own tablet</t>
  </si>
  <si>
    <t>ST250Q26DA</t>
  </si>
  <si>
    <t>Which of the following are in your &lt;home&gt;? A subscription to TV or streaming services (e.g. &lt;Cable TV, Satellite TV, Netflix, Disney+, national examples&gt;)</t>
  </si>
  <si>
    <t>ST250Q27DA</t>
  </si>
  <si>
    <t>Which of the following are in your &lt;home&gt;? Domestic workers (e.g. &lt;maid, gardener, drivers, national examples&gt;)</t>
  </si>
  <si>
    <t>ST250Q28DA</t>
  </si>
  <si>
    <t>Which of the following are in your &lt;home&gt;? A subscription to a newspaper</t>
  </si>
  <si>
    <t>ST251Q01JA</t>
  </si>
  <si>
    <t>How many of these items are there at your &lt;home&gt;? Cars, vans, or trucks</t>
  </si>
  <si>
    <t>ST251Q03JA</t>
  </si>
  <si>
    <t>How many of these items are there at your &lt;home&gt;? Rooms with a bath or shower</t>
  </si>
  <si>
    <t>ST251Q04JA</t>
  </si>
  <si>
    <t>How many of these items are there at your &lt;home&gt;? Rooms with a &lt;flush toilet&gt;</t>
  </si>
  <si>
    <t>ST251Q06JA</t>
  </si>
  <si>
    <t>How many of these items are there at your &lt;home&gt;? Musical instruments (e.g. guitar, piano, &lt;country-specific example&gt;)</t>
  </si>
  <si>
    <t>ST251Q07JA</t>
  </si>
  <si>
    <t>How many of these items are there at your &lt;home&gt;? Works of art (e.g. paintings, sculptures, &lt;country-specific example&gt;)</t>
  </si>
  <si>
    <t>ST254Q01JA</t>
  </si>
  <si>
    <t>How many of the following &lt;digital devices&gt; are in your &lt;home&gt;? Televisions</t>
  </si>
  <si>
    <t>ST254Q02JA</t>
  </si>
  <si>
    <t>How many of the following &lt;digital devices&gt; are in your &lt;home&gt;? Desktop computers</t>
  </si>
  <si>
    <t>ST254Q03JA</t>
  </si>
  <si>
    <t>How many of the following &lt;digital devices&gt; are in your &lt;home&gt;? Laptop computers or notebooks</t>
  </si>
  <si>
    <t>ST254Q04JA</t>
  </si>
  <si>
    <t>How many of the following &lt;digital devices&gt; are in your &lt;home&gt;? Tablets (e.g. &lt;iPad®&gt;, &lt;BlackBerry® PlayBook&gt;)</t>
  </si>
  <si>
    <t>ST254Q05JA</t>
  </si>
  <si>
    <t>How many of the following &lt;digital devices&gt; are in your &lt;home&gt;? E-book readers (e.g. &lt;Kindle&gt;, &lt;Kobo&gt;, &lt;Bookeen&gt;)</t>
  </si>
  <si>
    <t>ST255Q01JA</t>
  </si>
  <si>
    <t>How many books are there in your &lt;home&gt;?</t>
  </si>
  <si>
    <t>Group</t>
  </si>
  <si>
    <t>ST251Q08JA</t>
  </si>
  <si>
    <t>How many of these items are there at your &lt;home&gt;? &lt;country-specific&gt;</t>
  </si>
  <si>
    <t>ST251Q09JA</t>
  </si>
  <si>
    <t>AZE</t>
  </si>
  <si>
    <t>QCI</t>
  </si>
  <si>
    <t>QBL</t>
  </si>
  <si>
    <t>QBR</t>
  </si>
  <si>
    <t>BRN</t>
  </si>
  <si>
    <t>CAN</t>
  </si>
  <si>
    <t>CHL</t>
  </si>
  <si>
    <t>COL</t>
  </si>
  <si>
    <t>QCY</t>
  </si>
  <si>
    <t>DOM</t>
  </si>
  <si>
    <t>QTJ</t>
  </si>
  <si>
    <t>ECU</t>
  </si>
  <si>
    <t>HKG</t>
  </si>
  <si>
    <t>HUN</t>
  </si>
  <si>
    <t>JOR</t>
  </si>
  <si>
    <t>LUX</t>
  </si>
  <si>
    <t>MAC</t>
  </si>
  <si>
    <t>MYS</t>
  </si>
  <si>
    <t>MLT</t>
  </si>
  <si>
    <t>MUS</t>
  </si>
  <si>
    <t>MNG</t>
  </si>
  <si>
    <t>MAR</t>
  </si>
  <si>
    <t>NZL</t>
  </si>
  <si>
    <t>NOR</t>
  </si>
  <si>
    <t>PSE</t>
  </si>
  <si>
    <t>PER</t>
  </si>
  <si>
    <t>PHL</t>
  </si>
  <si>
    <t>QAT</t>
  </si>
  <si>
    <t>SAU</t>
  </si>
  <si>
    <t>SRB</t>
  </si>
  <si>
    <t>SVN</t>
  </si>
  <si>
    <t>ESP</t>
  </si>
  <si>
    <t>THA</t>
  </si>
  <si>
    <t>TUR</t>
  </si>
  <si>
    <t>QSC</t>
  </si>
  <si>
    <t>URY</t>
  </si>
  <si>
    <t>VNM</t>
  </si>
  <si>
    <t>Group (Language)</t>
  </si>
  <si>
    <t>Recoded</t>
  </si>
  <si>
    <t>1 (Yes) recoded as 1</t>
  </si>
  <si>
    <t>2 (No) recoded as 0</t>
  </si>
  <si>
    <t>Which of the following are in your &lt;home&gt;? Internet access  (e.g. Wi-fi) (excluding through smartphones)</t>
  </si>
  <si>
    <t>1 (None) recoded as 0</t>
  </si>
  <si>
    <t>2 (One) recoded as 1</t>
  </si>
  <si>
    <t>3 (Two) recoded as 2</t>
  </si>
  <si>
    <t>4 (Three or more) recoded as 3</t>
  </si>
  <si>
    <t>3 (Two) recoded as 1</t>
  </si>
  <si>
    <t>4 (Three or more) recoded as 1</t>
  </si>
  <si>
    <t xml:space="preserve">How many of these items are there at your &lt;home&gt;? &lt;country-specific&gt; </t>
  </si>
  <si>
    <t>2 (One or two) recoded as 1</t>
  </si>
  <si>
    <t>3 (Three to five) recoded as 2</t>
  </si>
  <si>
    <t>4 (More than five) recoded as 2</t>
  </si>
  <si>
    <t>5 (I don’t know) recoded as missing</t>
  </si>
  <si>
    <t>4 (More than five) recoded as 3</t>
  </si>
  <si>
    <t>How many of the following &lt;digital devices&gt; are in your &lt;home&gt;? Tablets (e.g. &lt;iPad®&gt;, &lt;BlackBerry® PlayBook™&gt;</t>
  </si>
  <si>
    <t>How many of the following &lt;digital devices&gt; are in your &lt;home&gt;? E-book readers (e.g. &lt;Kindle™&gt;, &lt;Kobo&gt;, &lt;Bookeen&gt;)</t>
  </si>
  <si>
    <t>2 (One to ten) recoded as 0</t>
  </si>
  <si>
    <t>3 (Eleven to twenty-five) recoded as 1</t>
  </si>
  <si>
    <t>4 (Twenty-six to one hundred) recoded as 2</t>
  </si>
  <si>
    <t>5 (One hundred and one to two hundred) recoded as 3</t>
  </si>
  <si>
    <t>6 (Two hundred and one to five hundred) recoded as 4</t>
  </si>
  <si>
    <t>7 (More than five hundred) recoded as 5</t>
  </si>
  <si>
    <t>Trend</t>
  </si>
  <si>
    <t>Reversed</t>
  </si>
  <si>
    <t>Step_6</t>
  </si>
  <si>
    <t>Step_7</t>
  </si>
  <si>
    <t>Which of the following are in your [home]: A computer (laptop, desktop, or tablet) that you can use for school work</t>
  </si>
  <si>
    <t>T</t>
  </si>
  <si>
    <t>R</t>
  </si>
  <si>
    <t>Which of the following are in your [home]: Educational Software or Apps</t>
  </si>
  <si>
    <t>Which of the following are in your [home]: Your own [cell phone] with Internet access (e.g. smartphone)</t>
  </si>
  <si>
    <t>Which of the following are in your [home]: Internet access (e.g. Wi-fi) (excluding through smartphones)</t>
  </si>
  <si>
    <t>Which of the following are in your [home]: Your own tablet</t>
  </si>
  <si>
    <t>How many of the following [digital devices] are in your [home]: Televisions</t>
  </si>
  <si>
    <t>5 (I don't know) recoded as missing</t>
  </si>
  <si>
    <t>How many of the following [digital devices] are in your [home]: Desktop computers</t>
  </si>
  <si>
    <t>How many of the following [digital devices] are in your [home]: Laptop computers or notebooks</t>
  </si>
  <si>
    <t>How many of the following [digital devices] are in your [home]: Tablets (e.g. [iPad®], [BlackBerry® Playbook™])</t>
  </si>
  <si>
    <t>How many of the following [digital devices] are in your [home]: E-book readers (e.g. [Kindle™], [Kobo], [Bookeen])</t>
  </si>
  <si>
    <t>Group (Partner)</t>
  </si>
  <si>
    <t>Hong Kong (China) - Chinese*</t>
  </si>
  <si>
    <t>Kenya - English</t>
  </si>
  <si>
    <t>ST038Q04NA</t>
  </si>
  <si>
    <t>In past 12 months, how often: Other students made fun of me.</t>
  </si>
  <si>
    <t>ST038Q05NA</t>
  </si>
  <si>
    <t>In past 12 months, how often: I was threatened by other students.</t>
  </si>
  <si>
    <t>ST038Q07NA</t>
  </si>
  <si>
    <t>In past 12 months, how often: I got hit or pushed around by other students.</t>
  </si>
  <si>
    <t>ST038Q08NA</t>
  </si>
  <si>
    <t>In past 12 months, how often: Other students spread nasty rumours about me.</t>
  </si>
  <si>
    <t>ST038Q12DA</t>
  </si>
  <si>
    <t>In past 12 months, how often: Information about me that was upsetting was published online without my consent.</t>
  </si>
  <si>
    <t>a "N/A" indicates that a group did not administer an item, the item parameters for the group could not be estimated with a generalized partial credit model, or the responses for the item were suppressed for the group.</t>
  </si>
  <si>
    <t>ST265Q01JA</t>
  </si>
  <si>
    <t>Disagree/agree: I feel safe on my way to school.</t>
  </si>
  <si>
    <t>ST265Q02JA</t>
  </si>
  <si>
    <t>Disagree/agree: I feel safe on my way home from school.</t>
  </si>
  <si>
    <t>ST265Q03JA</t>
  </si>
  <si>
    <t>Disagree/agree: I feel safe in my classrooms at school.</t>
  </si>
  <si>
    <t>ST265Q04JA</t>
  </si>
  <si>
    <t>Disagree/agree: I feel safe at other places at school (e.g. hallway, cafeteria, restroom).</t>
  </si>
  <si>
    <t>ST034Q01TA</t>
  </si>
  <si>
    <t>Agree/disagree: I feel like an outsider (or left out of things) at school.</t>
  </si>
  <si>
    <t>ST034Q02TA</t>
  </si>
  <si>
    <t>Agree/disagree: I make friends easily at school.</t>
  </si>
  <si>
    <t>ST034Q03TA</t>
  </si>
  <si>
    <t>Agree/disagree: I feel like I belong at school.</t>
  </si>
  <si>
    <t>ST034Q04TA</t>
  </si>
  <si>
    <t>Agree/disagree: I feel awkward and out of place in my school.</t>
  </si>
  <si>
    <t>ST034Q05TA</t>
  </si>
  <si>
    <t>Agree/disagree: Other students seem to like me.</t>
  </si>
  <si>
    <t>ST034Q06TA</t>
  </si>
  <si>
    <t>Agree/disagree: I feel lonely at school.</t>
  </si>
  <si>
    <t>ST499Q02DA</t>
  </si>
  <si>
    <t>Disagree/agree: I believe that my school and local community can contribute to positively impacting global environmental issues (e.g. climate change, habitat restoration).</t>
  </si>
  <si>
    <t>ST499Q04DA</t>
  </si>
  <si>
    <t>Disagree/agree: I believe that by working with my local community we can play an important role in positively impacting the environment.</t>
  </si>
  <si>
    <t>ST499Q05DA</t>
  </si>
  <si>
    <t>Disagree/agree: I believe that by working with my local community we can reduce the use of fossil fuels.</t>
  </si>
  <si>
    <t>ST499Q06DA</t>
  </si>
  <si>
    <t>Disagree/agree: I believe that by working with my school we can reduce their energy consumption.</t>
  </si>
  <si>
    <t>ST094Q01NA</t>
  </si>
  <si>
    <t>Disagree/agree: I generally have fun when I am learning &lt;broad science&gt; topics.</t>
  </si>
  <si>
    <t>ST094Q03NA</t>
  </si>
  <si>
    <t>Disagree/agree: I am happy working on &lt;broad science&gt; topics.</t>
  </si>
  <si>
    <t>ST094Q04NA</t>
  </si>
  <si>
    <t>Disagree/agree: I enjoy acquiring new knowledge in &lt;broad science&gt;.</t>
  </si>
  <si>
    <t>ST094Q05NA</t>
  </si>
  <si>
    <t>Disagree/agree: I am interested in learning about &lt;broad science&gt;.</t>
  </si>
  <si>
    <t>ST501Q03DA</t>
  </si>
  <si>
    <t>Disagree/agree: My teacher takes us on field trips to investigate environmental issues.</t>
  </si>
  <si>
    <t>ST501Q05DA</t>
  </si>
  <si>
    <t>Disagree/agree: My class discusses solutions to environmental issues.</t>
  </si>
  <si>
    <t>ST501Q06DA</t>
  </si>
  <si>
    <t>Disagree/agree: My teacher provides opportunities to research environmental issues.</t>
  </si>
  <si>
    <t>ST501Q07DA</t>
  </si>
  <si>
    <t>Disagree/agree: I am assessed on my environmental knowledge</t>
  </si>
  <si>
    <t>Description</t>
  </si>
  <si>
    <t>ST129Q03TA</t>
  </si>
  <si>
    <t>How confident in science task: Describe the role of antibiotics in the treatment of disease.</t>
  </si>
  <si>
    <t>ST129Q05TA</t>
  </si>
  <si>
    <t>How confident in science task: Predict how changes to an environment will affect the survival of certain species.</t>
  </si>
  <si>
    <t>ST129Q08DA</t>
  </si>
  <si>
    <t>How confident in science task: Identify the better of two explanations for the causes of climate change</t>
  </si>
  <si>
    <t>ST129Q11DA</t>
  </si>
  <si>
    <t>How confident in science task: Identify the reliability of scientific information.</t>
  </si>
  <si>
    <t>ST129Q12DA</t>
  </si>
  <si>
    <t>How confident in science task: Investigate the sustainability of a practice or product.</t>
  </si>
  <si>
    <t>ST129Q14DA</t>
  </si>
  <si>
    <t>How confident in science task: Explain how carbon-dioxide emissions affect global climate change.</t>
  </si>
  <si>
    <t>ST131Q04NA</t>
  </si>
  <si>
    <t>Disagree/agree: Good answers are based on evidence from many different experiments.</t>
  </si>
  <si>
    <t>ST131Q10DA</t>
  </si>
  <si>
    <t>Disagree/agree: One important part of &lt;broad science&gt; is doing experiments to come up with ideas about how things work.</t>
  </si>
  <si>
    <t>ST131Q12DA</t>
  </si>
  <si>
    <t>Disagree/agree: Information from one source should be checked from a range of other reliable sources before it is accepted.</t>
  </si>
  <si>
    <t>ST131Q05DA</t>
  </si>
  <si>
    <t>Disagree/agree: There are some questions that scientists cannot answer.</t>
  </si>
  <si>
    <t>ST131Q13DA</t>
  </si>
  <si>
    <t>Disagree/agree: New discoveries can change what scientists think is true.</t>
  </si>
  <si>
    <t>ST500Q03DA</t>
  </si>
  <si>
    <t>Disagree/agree: I know how to work with others to positively impact the environment.</t>
  </si>
  <si>
    <t>ST500Q05DA</t>
  </si>
  <si>
    <t>Disagree/agree: I know that there are things that I can do to positively impact the environment.</t>
  </si>
  <si>
    <t>ST500Q06DA</t>
  </si>
  <si>
    <t>Disagree/agree: If people work together, we can resolve environmental issues.</t>
  </si>
  <si>
    <t>ST500Q09DA</t>
  </si>
  <si>
    <t>Disagree/agree: Looking after the global environment is important to me.</t>
  </si>
  <si>
    <t>ST092Q01TA</t>
  </si>
  <si>
    <t>Awareness of: The increase of greenhouse gases in the atmosphere</t>
  </si>
  <si>
    <t>ST092Q04TA</t>
  </si>
  <si>
    <t>Awareness of: Nuclear waste</t>
  </si>
  <si>
    <t>ST092Q05TA</t>
  </si>
  <si>
    <t>Awareness of: The consequences of clearing forests for other land use</t>
  </si>
  <si>
    <t>ST092Q08NA</t>
  </si>
  <si>
    <t>Awareness of: Extinction of plants and animals</t>
  </si>
  <si>
    <t>ST092Q09NA</t>
  </si>
  <si>
    <t>Awareness of: Water shortages</t>
  </si>
  <si>
    <t>ST092Q14DA</t>
  </si>
  <si>
    <t>Awareness of: Effects of plastic pollution</t>
  </si>
  <si>
    <t>ST495Q03DA</t>
  </si>
  <si>
    <t>How often: Joining a peaceful march or rally related to an environmental issue</t>
  </si>
  <si>
    <t>ST495Q05DA</t>
  </si>
  <si>
    <t>How often: Posting concerns about an environmental issue on social media</t>
  </si>
  <si>
    <t>ST495Q09DA</t>
  </si>
  <si>
    <t>How often: Making purchases based on how sustainable the products are</t>
  </si>
  <si>
    <t>ST495Q13DA</t>
  </si>
  <si>
    <t>How often: Stopping eating certain foods to minimize some impacts on the environment</t>
  </si>
  <si>
    <t>ST495Q15DA</t>
  </si>
  <si>
    <t>How often: Discussing with friends and family how to have a positive impact on the environment</t>
  </si>
  <si>
    <t>ST301Q01JA</t>
  </si>
  <si>
    <t>Disagree/agree: I am curious about many different things.</t>
  </si>
  <si>
    <t>ST301Q04JA</t>
  </si>
  <si>
    <t>Disagree/agree: I like to know how things work.</t>
  </si>
  <si>
    <t>ST301Q06JA</t>
  </si>
  <si>
    <t>Disagree/agree: I am more curious than most people I know.</t>
  </si>
  <si>
    <t>ST301Q10JA</t>
  </si>
  <si>
    <t>Disagree/agree: I like learning new things.</t>
  </si>
  <si>
    <t>ST307Q01JA</t>
  </si>
  <si>
    <t>Disagree/agree: I keep working on a task until it is finished.</t>
  </si>
  <si>
    <t>ST307Q02JA</t>
  </si>
  <si>
    <t>Disagree/agree: I apply additional effort when work becomes challenging.</t>
  </si>
  <si>
    <t>ST307Q03JA</t>
  </si>
  <si>
    <t>Disagree/agree: I finish tasks that I started even when they become boring.</t>
  </si>
  <si>
    <t>ST307Q09JA</t>
  </si>
  <si>
    <t>Disagree/agree: I finish what I start.</t>
  </si>
  <si>
    <t>ST515Q02DA</t>
  </si>
  <si>
    <t>How often: develop models or simulations to help explain natural phenomena e.g. earthquakes.</t>
  </si>
  <si>
    <t>ST515Q04DA</t>
  </si>
  <si>
    <t>How often: carry out an experiment to investigate a scientific question.</t>
  </si>
  <si>
    <t>ST515Q05DA</t>
  </si>
  <si>
    <t>How often: analyse and interpret data.</t>
  </si>
  <si>
    <t>ST515Q08DA</t>
  </si>
  <si>
    <t>How often: develop explanations of phenomena (e.g. climate change) based on scientific evidence or models.</t>
  </si>
  <si>
    <t>ST515Q09DA</t>
  </si>
  <si>
    <t>How often: develop scientific arguments using evidence to support a claim.</t>
  </si>
  <si>
    <t>ST515Q11DA</t>
  </si>
  <si>
    <t>How often: critically evaluate the credibility and trustworthiness of online information.</t>
  </si>
  <si>
    <t>ST469Q06DA</t>
  </si>
  <si>
    <t>How often: The teacher asked us to think about how new and old scientific topics were related.</t>
  </si>
  <si>
    <t>ST469Q08DA</t>
  </si>
  <si>
    <t>How often: The teacher told us to keep trying even when we face difficulties with a science task.</t>
  </si>
  <si>
    <t>ST469Q09DA</t>
  </si>
  <si>
    <t>How often: The teacher taught us to memorize scientific facts.</t>
  </si>
  <si>
    <t>ST469Q10DA</t>
  </si>
  <si>
    <t>How often: The teacher asked us to explain a scientific principle.</t>
  </si>
  <si>
    <t>ST469Q11DA</t>
  </si>
  <si>
    <t>How often: The teacher asked us to explain how we would design an experiment to address a scientific problem.</t>
  </si>
  <si>
    <t>ST468Q08DA</t>
  </si>
  <si>
    <t>How often: The teacher asked us to debate scientific topics with other members of the class.</t>
  </si>
  <si>
    <t>ST468Q09DA</t>
  </si>
  <si>
    <t>How often: The teacher asked us to discuss with each other what we learned.</t>
  </si>
  <si>
    <t>ST468Q10DA</t>
  </si>
  <si>
    <t>How often: The teacher asked us to explain a scientific principle to the class.</t>
  </si>
  <si>
    <t>ST468Q11DA</t>
  </si>
  <si>
    <t>How often: The teacher asked us to work on a class project in small groups.</t>
  </si>
  <si>
    <t>ST097Q01TA</t>
  </si>
  <si>
    <t>How often: Students do not listen to what the teacher said.</t>
  </si>
  <si>
    <t>ST097Q02TA</t>
  </si>
  <si>
    <t>How often: There is noise and disorder.</t>
  </si>
  <si>
    <t>ST097Q03TA</t>
  </si>
  <si>
    <t>How often: The teacher has to wait a long time for students to quiet down.</t>
  </si>
  <si>
    <t>ST097Q04TA</t>
  </si>
  <si>
    <t>How often: Students cannot work well.</t>
  </si>
  <si>
    <t>ST097Q05TA</t>
  </si>
  <si>
    <t>How often: Students do not start working for a long time after the lesson begins.</t>
  </si>
  <si>
    <t>ST097Q06DA</t>
  </si>
  <si>
    <t>How often: Students get distracted by using &lt;digital resources&gt; (e.g. smartphones, websites, apps).</t>
  </si>
  <si>
    <t>ST100Q01TA</t>
  </si>
  <si>
    <t>How often: The teacher shows an interest in every student's learning.</t>
  </si>
  <si>
    <t>ST100Q02TA</t>
  </si>
  <si>
    <t>How often: The teacher gives extra help when students need it.</t>
  </si>
  <si>
    <t>ST100Q03TA</t>
  </si>
  <si>
    <t>How often: The teacher helps students with their learning.</t>
  </si>
  <si>
    <t>ST100Q04TA</t>
  </si>
  <si>
    <t>How often: The teacher continues teaching until the students understand.</t>
  </si>
  <si>
    <t>ST100Q05TA</t>
  </si>
  <si>
    <t>How often: The teacher gives students an opportunity to express opinions.</t>
  </si>
  <si>
    <t>ST300Q01JA</t>
  </si>
  <si>
    <t>How often: Discuss how well you are doing at school.</t>
  </si>
  <si>
    <t>ST300Q05JA</t>
  </si>
  <si>
    <t>How often: Talk to you about any problems you might have at school.</t>
  </si>
  <si>
    <t>ST300Q08JA</t>
  </si>
  <si>
    <t>How often: Take an interest in what you are learning at school.</t>
  </si>
  <si>
    <t>ST300Q09JA</t>
  </si>
  <si>
    <t>How often: Talk to you about your future education.</t>
  </si>
  <si>
    <t>ST300Q10JA</t>
  </si>
  <si>
    <t>How often: Ask you what you did in school that day.</t>
  </si>
  <si>
    <t>ST438Q01DA</t>
  </si>
  <si>
    <t>How often: Level of priority: To summarize a text I had to read</t>
  </si>
  <si>
    <t>ST438Q02DA</t>
  </si>
  <si>
    <t>How often: Level of priority: To conduct preliminary research on a new topic</t>
  </si>
  <si>
    <t>ST438Q03DA</t>
  </si>
  <si>
    <t>How often: Level of priority: To draft texts for writing assignments</t>
  </si>
  <si>
    <t>ST438Q04DA</t>
  </si>
  <si>
    <t>How often: Level of priority: To help me learn</t>
  </si>
  <si>
    <t>ST216Q01HA</t>
  </si>
  <si>
    <t>How much like: I can handle unusual situations.</t>
  </si>
  <si>
    <t>ST216Q03HA</t>
  </si>
  <si>
    <t>How much like: I can adapt to different situations even when under stress or pressure.</t>
  </si>
  <si>
    <t>ST216Q04HA</t>
  </si>
  <si>
    <t>How much like: I can adapt easily to a new culture.</t>
  </si>
  <si>
    <t>ST216Q05HA</t>
  </si>
  <si>
    <t>How much like: When encountering difficult situations with other people, I can find a way to resolve the situation.</t>
  </si>
  <si>
    <t>ST435Q01DA</t>
  </si>
  <si>
    <t>Disagree/agree: I enjoy finding solutions to problems.</t>
  </si>
  <si>
    <t>ST435Q03DA</t>
  </si>
  <si>
    <t>Disagree/agree: I like situations where I have to think hard about something.</t>
  </si>
  <si>
    <t>ST435Q04DA</t>
  </si>
  <si>
    <t>Disagree/agree: I like complicated problems more than simple problems.</t>
  </si>
  <si>
    <t>ST435Q05DA</t>
  </si>
  <si>
    <t>Disagree/agree: I keep working on a problem even if I might not be able to solve it.</t>
  </si>
  <si>
    <t>ST432Q02DA</t>
  </si>
  <si>
    <t>How often: I plan my approach to studying.</t>
  </si>
  <si>
    <t>ST432Q03DA</t>
  </si>
  <si>
    <t>How often: In order to identify gaps in my knowledge, I make a summary of the most important points without using my documents.</t>
  </si>
  <si>
    <t>ST432Q04DA</t>
  </si>
  <si>
    <t>How often: I ask myself questions about the material to check if I have understood everything.</t>
  </si>
  <si>
    <t>ST432Q06DA</t>
  </si>
  <si>
    <t>How often: If I notice that my approach to studying is not successful, I change it.</t>
  </si>
  <si>
    <t>ST433Q01DA</t>
  </si>
  <si>
    <t>Agree/disagree: When I do not fully understand something, I ask my classmates.</t>
  </si>
  <si>
    <t>ST433Q02DA</t>
  </si>
  <si>
    <t>Agree/disagree: I ask my teachers for help when I need it.</t>
  </si>
  <si>
    <t>ST433Q04DA</t>
  </si>
  <si>
    <t>Agree/disagree: When I have trouble learning, I ask for help.</t>
  </si>
  <si>
    <t>ST433Q06DA</t>
  </si>
  <si>
    <t>Agree/disagree: I only ask for help after trying hard to find the solution on my own.</t>
  </si>
  <si>
    <t>Preliminary ESCS score</t>
  </si>
  <si>
    <t>Note. The imputed values for HISEI, PAREDINT, HOMEPOS were included in the calculation of the means and standard deviations.</t>
  </si>
  <si>
    <t>ICTAVSCH</t>
  </si>
  <si>
    <t xml:space="preserve">Availability and usage of ICT at school </t>
  </si>
  <si>
    <t>ICTAVHOM</t>
  </si>
  <si>
    <t>Availability and usage of ICT outside of school</t>
  </si>
  <si>
    <t>ICTDISTR</t>
  </si>
  <si>
    <t xml:space="preserve">Distress from online content and cyberbullying </t>
  </si>
  <si>
    <t xml:space="preserve">ICT availability at school </t>
  </si>
  <si>
    <t>ICT availability outside school</t>
  </si>
  <si>
    <t>Quality of access to ICT</t>
  </si>
  <si>
    <t xml:space="preserve">Support or feedback via ICT </t>
  </si>
  <si>
    <t xml:space="preserve">Use of ICT for school activities outside of the classroom </t>
  </si>
  <si>
    <t xml:space="preserve">Frequency of ICT activity – Weekday </t>
  </si>
  <si>
    <t xml:space="preserve">Frequency of ICT activity – Weekend </t>
  </si>
  <si>
    <t>Views of regulated ICT use in school</t>
  </si>
  <si>
    <t>Students’ practices regarding online information</t>
  </si>
  <si>
    <t>Interest in learing about digital resources</t>
  </si>
  <si>
    <t>Interest in ICT</t>
  </si>
  <si>
    <t>ICT as a topic in social interaction</t>
  </si>
  <si>
    <t>fp-IM</t>
  </si>
  <si>
    <t>ta-PW</t>
  </si>
  <si>
    <t>ny-DA</t>
  </si>
  <si>
    <t>yh-KA</t>
  </si>
  <si>
    <t>of-GC</t>
  </si>
  <si>
    <t>sl-HC</t>
  </si>
  <si>
    <t>ny-HC</t>
  </si>
  <si>
    <t>ta-HA</t>
  </si>
  <si>
    <t>ag-FA</t>
  </si>
  <si>
    <t>fp-QA</t>
  </si>
  <si>
    <t>zh-UA</t>
  </si>
  <si>
    <t>kr-UA</t>
  </si>
  <si>
    <t>gk-VA</t>
  </si>
  <si>
    <t>rd-VA</t>
  </si>
  <si>
    <t>sg-XA</t>
  </si>
  <si>
    <t>sb-XA</t>
  </si>
  <si>
    <t>kr-XA</t>
  </si>
  <si>
    <t>ny-OA</t>
  </si>
  <si>
    <t>xp-YA</t>
  </si>
  <si>
    <t>yh-ZA</t>
  </si>
  <si>
    <t>ta-ZA</t>
  </si>
  <si>
    <t>sp-BB</t>
  </si>
  <si>
    <t>mm-EB</t>
  </si>
  <si>
    <t>ta-DB</t>
  </si>
  <si>
    <t>gj-DB</t>
  </si>
  <si>
    <t>lt-FB</t>
  </si>
  <si>
    <t>wc-FB</t>
  </si>
  <si>
    <t>ny-GB</t>
  </si>
  <si>
    <t>mz-GB</t>
  </si>
  <si>
    <t>fd-TX</t>
  </si>
  <si>
    <t>lt-HB</t>
  </si>
  <si>
    <t>ye-KB</t>
  </si>
  <si>
    <t>ta-MB</t>
  </si>
  <si>
    <t>sl-MB</t>
  </si>
  <si>
    <t>ta-OB</t>
  </si>
  <si>
    <t>sl-OB</t>
  </si>
  <si>
    <t>ny-OB</t>
  </si>
  <si>
    <t>ta-QB</t>
  </si>
  <si>
    <t>dc-QB</t>
  </si>
  <si>
    <t>yh-QB</t>
  </si>
  <si>
    <t>ta-YB</t>
  </si>
  <si>
    <t>zi-YB</t>
  </si>
  <si>
    <t>cb-XB</t>
  </si>
  <si>
    <t>zk-XB</t>
  </si>
  <si>
    <t>lt-RB</t>
  </si>
  <si>
    <t>of-ZB</t>
  </si>
  <si>
    <t>ta-TI</t>
  </si>
  <si>
    <t>yl-CC</t>
  </si>
  <si>
    <t>lt-FC</t>
  </si>
  <si>
    <t>ta-FC</t>
  </si>
  <si>
    <t>sp-KC</t>
  </si>
  <si>
    <t>dw-KC</t>
  </si>
  <si>
    <t>ta-MC</t>
  </si>
  <si>
    <t>wb-OC</t>
  </si>
  <si>
    <t>hj-TA</t>
  </si>
  <si>
    <t>hv-TA</t>
  </si>
  <si>
    <t>cr-TA</t>
  </si>
  <si>
    <t>fp-TA</t>
  </si>
  <si>
    <t>sl-JA</t>
  </si>
  <si>
    <t>ny-JA</t>
  </si>
  <si>
    <t>mz-JA</t>
  </si>
  <si>
    <t>yh-QC</t>
  </si>
  <si>
    <t>lc-RC</t>
  </si>
  <si>
    <t>au-SC</t>
  </si>
  <si>
    <t>lt-BA</t>
  </si>
  <si>
    <t>ta-BA</t>
  </si>
  <si>
    <t>ta-YD</t>
  </si>
  <si>
    <t>ta-DH</t>
  </si>
  <si>
    <t>fp-IY</t>
  </si>
  <si>
    <t>IC170Q01JA</t>
  </si>
  <si>
    <t>How often use at school: Desktop or laptop computer</t>
  </si>
  <si>
    <t>1 (Never or almost never) recoded as 1; 2 (About once or twice a month) recoded as 1; 3 (About once or twice a week) recoded as 1; 4 (Every day or almost every day) recoded as 1; 5 (Several times a day) recoded as 1; 6 (This resource is not available to me at school) recoded as 0</t>
  </si>
  <si>
    <t>IC170Q02JA</t>
  </si>
  <si>
    <t>How often use at school: Smartphone (i.e. mobile phone with internet access)</t>
  </si>
  <si>
    <t>IC170Q03JA</t>
  </si>
  <si>
    <t>How often use at school: [Tablet device] (e.g. [iPad®], [Galaxy Book®],) or [e-book reader] (e.g. [Amazon Kindle™], [Kobo®])</t>
  </si>
  <si>
    <t>IC170Q04JA</t>
  </si>
  <si>
    <t>How often use at school: Internet access (except on smartphones)</t>
  </si>
  <si>
    <t>IC170Q05JA</t>
  </si>
  <si>
    <t>How often use at school: School portal (to consult timetable, absences, etc.)</t>
  </si>
  <si>
    <t>IC170Q06JA</t>
  </si>
  <si>
    <t>How often use at school: Educational software, games or apps, other learning tools (e.g. [CK-12™] or [Mathalicious®] online support)</t>
  </si>
  <si>
    <t>IC170Q07JA</t>
  </si>
  <si>
    <t>How often use at school: A learning management system or school learning platform (e.g. [Blackboard®], [Edmodo®], [Moodle®], [Google® Classroom™])</t>
  </si>
  <si>
    <t>IC170Q08DA</t>
  </si>
  <si>
    <t>How often use at school: &lt;Virtual reality (VR) hardware&gt; (e.g. &lt;Google Cardboard®&gt;, &lt;Oculus&gt;, &lt;Class VR&gt;)</t>
  </si>
  <si>
    <t>IC170Q09DA</t>
  </si>
  <si>
    <t>How often use at school: Robotic devices (e.g &lt;3D printers&gt;, &lt;laser cutters&gt;, &lt;drones&gt;)</t>
  </si>
  <si>
    <t>IC170Q10DA</t>
  </si>
  <si>
    <t>How often use at school: &lt;Artificial Intelligence (AI)&gt; tools or software (e.g. &lt;ChatGPT&gt;, &lt;MidJourney&gt;, &lt;Stable Diffusion&gt;)</t>
  </si>
  <si>
    <t>IC171Q01JA</t>
  </si>
  <si>
    <t>How often use at home: Desktop or laptop computer</t>
  </si>
  <si>
    <t>IC171Q02JA</t>
  </si>
  <si>
    <t>How often use at home: Smartphone (i.e. mobile phone with Internet access)</t>
  </si>
  <si>
    <t>IC171Q03JA</t>
  </si>
  <si>
    <t>How often use at home: &lt;Tablet device&gt; (e.g.&lt;iPad®&gt;, &lt;Galaxy Tablet®&gt;,) or &lt;e-book reader&gt; (e.g., &lt;Amazon® Kindle™&gt;, &lt;Kobo®&gt;)</t>
  </si>
  <si>
    <t>IC171Q04JA</t>
  </si>
  <si>
    <t>How often use at home: Internet access (except on smartphones)</t>
  </si>
  <si>
    <t>IC171Q05JA</t>
  </si>
  <si>
    <t>How often use at home: Educational software, games or Apps, other learning tools (e.g. &lt;CK-12 ™&gt;, &lt;Lucidchart&gt;, or &lt;Mathalicious®&gt; online support)</t>
  </si>
  <si>
    <t>IC171Q06JA</t>
  </si>
  <si>
    <t>How often use at home: Video or online games (e.g. used with game consoles such as a &lt; Play Station 5®&gt; or &lt;Nintendo Switch®&gt;, online gaming platforms such as &lt;Steam®&gt; or gaming Apps such as &lt;Candy Crush®&gt;)</t>
  </si>
  <si>
    <t>IC171Q07DA</t>
  </si>
  <si>
    <t>How often use at home: Smartwatch (e.g. &lt;Apple Watch®&gt;, &lt;Samsung Galaxy Watch®&gt; or fitness tracker (e.g. &lt;FitBit®&gt;)</t>
  </si>
  <si>
    <t>IC171Q08DA</t>
  </si>
  <si>
    <t>How often use at home: &lt;Virtual reality (VR)&gt; hardware (e.g. &lt;Google Cardboard®&gt;, &lt;Oculus&gt;, &lt;Class VR&gt;)</t>
  </si>
  <si>
    <t>IC171Q09DA</t>
  </si>
  <si>
    <t>How often use at home: Robotic devices (e.g &lt;3D printers&gt;, &lt;laser cutters&gt;, &lt;drones&gt;)</t>
  </si>
  <si>
    <t>IC171Q10DA</t>
  </si>
  <si>
    <t>How often use at home: &lt;Artificial Intelligence (AI)&gt; tools or software (e.g. &lt;ChatGPT&gt;, &lt;MidJourney&gt;, &lt;Stable Diffusion&gt;)</t>
  </si>
  <si>
    <t>IC172Q01JA</t>
  </si>
  <si>
    <t>Agree/disagree: There are enough [digital resources] for every student at my school.</t>
  </si>
  <si>
    <t>IC172Q02JA</t>
  </si>
  <si>
    <t>Agree/disagree: There are enough digital devices with access to the Internet at my school.</t>
  </si>
  <si>
    <t>IC172Q03JA</t>
  </si>
  <si>
    <t>Agree/disagree: The school's Internet speed is sufficient.</t>
  </si>
  <si>
    <t>IC172Q04JA</t>
  </si>
  <si>
    <t>Agree/disagree: [Digital resources] function properly at my school.</t>
  </si>
  <si>
    <t>IC172Q07JA</t>
  </si>
  <si>
    <t>Agree/disagree: The school provides sufficient technical support to help students in their use of [digital resources].</t>
  </si>
  <si>
    <t>IC172Q08JA</t>
  </si>
  <si>
    <t>Agree/disagree: Teachers at my school have the necessary skills to use digital devices during instruction.</t>
  </si>
  <si>
    <t>IC172Q10DA</t>
  </si>
  <si>
    <t>Agree/disagree: The school’s Internet is stable.</t>
  </si>
  <si>
    <t>IC175Q01JA</t>
  </si>
  <si>
    <t>How often used [digital resources] to: Read or listen to feedback sent by my teachers regarding my work and academic results</t>
  </si>
  <si>
    <t>IC175Q02JA</t>
  </si>
  <si>
    <t>How often used [digital resources] to: Read or listen to feedback sent by other students on my work</t>
  </si>
  <si>
    <t>IC175Q03JA</t>
  </si>
  <si>
    <t>How often used [digital resources] to: Read or listen to feedback automatically selected for me by an educational software or app</t>
  </si>
  <si>
    <t>IC175Q05JA</t>
  </si>
  <si>
    <t>How often used [digital resources] to: Work on drill and practice exercises using an educational software or app</t>
  </si>
  <si>
    <t>IC176Q01JA</t>
  </si>
  <si>
    <t>How often used [digital resources] to: See my grades or results from specific assignments (e.g. homework or tests)</t>
  </si>
  <si>
    <t>IC176Q02JA</t>
  </si>
  <si>
    <t>How often used [digital resources] to: Browse the Internet for schoolwork (e.g. for preparing an essay or presentation)</t>
  </si>
  <si>
    <t>IC176Q03JA</t>
  </si>
  <si>
    <t>How often used [digital resources] to: Browse the Internet to follow up lessons (e.g. for finding explanations)</t>
  </si>
  <si>
    <t>IC176Q04JA</t>
  </si>
  <si>
    <t>How often used [digital resources] to: Receive or download assignments or instructions (via [digital resources]) from my teacher</t>
  </si>
  <si>
    <t>IC176Q05JA</t>
  </si>
  <si>
    <t>How often used [digital resources] to: Upload my work (e.g. documents or presentations) to a school portal or another platform to share materials with my teacher and/or students</t>
  </si>
  <si>
    <t>IC176Q06JA</t>
  </si>
  <si>
    <t>How often used [digital resources] to: Communicate with my teacher</t>
  </si>
  <si>
    <t>IC176Q07JA</t>
  </si>
  <si>
    <t>How often used [digital resources] to: Communicate with other students about schoolwork</t>
  </si>
  <si>
    <t>IC176Q08JA</t>
  </si>
  <si>
    <t>How often used [digital resources] to: Search for information on school-related activities or assignments</t>
  </si>
  <si>
    <t>IC177Q01JA</t>
  </si>
  <si>
    <t>How much time spent: Play video-games (using my smartphone, a gaming console or an online platform or apps)</t>
  </si>
  <si>
    <t>IC177Q02JA</t>
  </si>
  <si>
    <t>How much time spent: Browse social networks (e.g. [Instagram®], [Facebook®])</t>
  </si>
  <si>
    <t>IC177Q03JA</t>
  </si>
  <si>
    <t>How much time spent: Browse the Internet (excluding social networks) for fun (e.g. reading NEWs, listening to podcasts and music or watching videos)</t>
  </si>
  <si>
    <t>IC177Q04JA</t>
  </si>
  <si>
    <t>How much time spent: Look for practical information online (e.g. find a place, book a train ticket, buy a product)</t>
  </si>
  <si>
    <t>IC177Q05JA</t>
  </si>
  <si>
    <t>How much time spent: Communicate and share digital content on social networks or any communication platform (e.g. [Facebook®], [Instagram®], [Twitter®], emails, chat)</t>
  </si>
  <si>
    <t>IC177Q06JA</t>
  </si>
  <si>
    <t>How much time spent: Read, listen to or view informational materials to learn how to do something (e.g. tutorial, podcast)</t>
  </si>
  <si>
    <t>IC177Q07JA</t>
  </si>
  <si>
    <t>How much time spent: Create or edit my own digital content (pictures, videos, music, videos, computer programs)</t>
  </si>
  <si>
    <t>IC178Q01JA</t>
  </si>
  <si>
    <t>How much time using [digital resources] to: Play video-games (using my smartphone, a gaming console or an online platform or apps)</t>
  </si>
  <si>
    <t>IC178Q02JA</t>
  </si>
  <si>
    <t>How much time using [digital resources] to: Browse social networks (e.g. Instagram®, Facebook®)</t>
  </si>
  <si>
    <t>IC178Q03JA</t>
  </si>
  <si>
    <t>How much time using [digital resources] to: Browse the Internet (excluding social networks) for fun  (e.g. reading NEWs, listening to podcasts and music or watching videos)</t>
  </si>
  <si>
    <t>IC178Q04JA</t>
  </si>
  <si>
    <t>How much time using [digital resources] to: Look for practical information online (e.g. find a place, book a train ticket, buy a product)</t>
  </si>
  <si>
    <t>IC178Q05JA</t>
  </si>
  <si>
    <t>How much time using [digital resources] to: Communicate and share digital content on social networks or any communication platform (e.g. Facebook®, Instagram®, Twitter®, emails, chat)</t>
  </si>
  <si>
    <t>IC178Q06JA</t>
  </si>
  <si>
    <t>How much time using [digital resources] to: Read, listen to or view informational materials to learn how to do something (e.g. tutorial, podcast)</t>
  </si>
  <si>
    <t>IC178Q07JA</t>
  </si>
  <si>
    <t>How much time using [digital resources] to: Create or edit my own digital content (pictures, videos, music, videos, computer programs)</t>
  </si>
  <si>
    <t>IC179Q01JA</t>
  </si>
  <si>
    <t>Agree/disagree: Students should not be allowed to bring mobile phones to class.</t>
  </si>
  <si>
    <t>IC179Q02JA</t>
  </si>
  <si>
    <t>Agree/disagree: Students should not be allowed to bring their own laptop (or tablet device) to class.</t>
  </si>
  <si>
    <t>IC179Q03JA</t>
  </si>
  <si>
    <t>Agree/disagree: Students should collaborate with teachers to decide on the rules regarding the use of digital devices during lessons.</t>
  </si>
  <si>
    <t>IC179Q04JA</t>
  </si>
  <si>
    <t>Agree/disagree: The school should set up filters to prevent students from going on social media.</t>
  </si>
  <si>
    <t>IC179Q05JA</t>
  </si>
  <si>
    <t>Agree/disagree: The school should set up filters to prevent students from playing games online.</t>
  </si>
  <si>
    <t>IC179Q06JA</t>
  </si>
  <si>
    <t>Agree/disagree: Teachers should monitor what students do on their laptops.</t>
  </si>
  <si>
    <t>IC180Q02JA</t>
  </si>
  <si>
    <t>Disagree/agree: When searching for information online I compare different sources.</t>
  </si>
  <si>
    <t>IC180Q03JA</t>
  </si>
  <si>
    <t>Disagree/agree: I check the accuracy of online information before sharing it on social networks.</t>
  </si>
  <si>
    <t>IC180Q04JA</t>
  </si>
  <si>
    <t>Disagree/agree: I discuss the accuracy of online information with my teachers or in class.</t>
  </si>
  <si>
    <t>IC180Q05JA</t>
  </si>
  <si>
    <t>Disagree/agree: I discuss the accuracy of online information with friends or other students.</t>
  </si>
  <si>
    <t>IC180Q06JA</t>
  </si>
  <si>
    <t>Disagree/agree: I discuss the accuracy of online information with my parents (or family).</t>
  </si>
  <si>
    <t>IC180Q07JA</t>
  </si>
  <si>
    <t>Disagree/agree: I try to flag wrong information when I encounter it online.</t>
  </si>
  <si>
    <t>IC182Q01JA</t>
  </si>
  <si>
    <t>Disagree/agree: I am interested in learning more about &lt;digital resources&gt;.</t>
  </si>
  <si>
    <t>IC182Q02JA</t>
  </si>
  <si>
    <t>Disagree/agree: I am interested in learning &lt;computer programming&gt;.</t>
  </si>
  <si>
    <t>IC182Q03JA</t>
  </si>
  <si>
    <t>Disagree/agree: I am interested in learning about &lt;digital resources&gt; because it could be useful in a job.</t>
  </si>
  <si>
    <t>IC182Q04DA</t>
  </si>
  <si>
    <t>Disagree/agree: I like using &lt;digital resources&gt; to find new ways to do things.</t>
  </si>
  <si>
    <t>IC182Q05DA</t>
  </si>
  <si>
    <t>Disagree/agree: I am interested in learning about &lt;machine learning&gt; and &lt;artificial intelligence&gt;.</t>
  </si>
  <si>
    <t>IC400Q01DA</t>
  </si>
  <si>
    <t>Disagree/agree: I forget about time when I'm using digital devices.</t>
  </si>
  <si>
    <t>IC400Q02DA</t>
  </si>
  <si>
    <t>Disagree/agree: The Internet is a great resource for obtaining information I am interested in (e.g., news, sports, dictionary).</t>
  </si>
  <si>
    <t>IC400Q03DA</t>
  </si>
  <si>
    <t>Disagree/agree: It is very useful to have social networks on the Internet.</t>
  </si>
  <si>
    <t>IC400Q04DA</t>
  </si>
  <si>
    <t>Disagree/agree: I am really excited discovering new digital devices or applications.</t>
  </si>
  <si>
    <t>IC400Q05DA</t>
  </si>
  <si>
    <t>Disagree/agree: I really feel bad if no Internet connection is possible.</t>
  </si>
  <si>
    <t>IC400Q06DA</t>
  </si>
  <si>
    <t>Disagree/agree: I like using digital devices.</t>
  </si>
  <si>
    <t>IC401Q01DA</t>
  </si>
  <si>
    <t>Disagree/agree: Level of priority: To learn something new about digital devices, I like to talk about them with my friends.</t>
  </si>
  <si>
    <t>IC401Q02DA</t>
  </si>
  <si>
    <t>Disagree/agree: I like to exchange solutions to problems with digital devices with others on the Internet.</t>
  </si>
  <si>
    <t>IC401Q03DA</t>
  </si>
  <si>
    <t>Disagree/agree: I like to meet friends and play computer and video games with them.</t>
  </si>
  <si>
    <t>IC401Q04DA</t>
  </si>
  <si>
    <t>Disagree/agree: I like to share information about digital devices with my friends.</t>
  </si>
  <si>
    <t>IC401Q05DA</t>
  </si>
  <si>
    <t>Disagree/agree: I learn a lot about digital media by discussing with my friends and relatives.</t>
  </si>
  <si>
    <t>Variables derived from the Parent Questionnaire  </t>
  </si>
  <si>
    <t>PAREXPT</t>
  </si>
  <si>
    <t xml:space="preserve">Parents’ expectations in child’s future educational career </t>
  </si>
  <si>
    <t>Child’s past science activities</t>
  </si>
  <si>
    <t>Family support for science learning</t>
  </si>
  <si>
    <t>Family support for general learning</t>
  </si>
  <si>
    <t>Science-related career</t>
  </si>
  <si>
    <t>Parents' views on broad science</t>
  </si>
  <si>
    <t xml:space="preserve">Parents concerns regarding environmental topics </t>
  </si>
  <si>
    <t>Parents’ view on future environmental topics</t>
  </si>
  <si>
    <t xml:space="preserve">Parental involvement </t>
  </si>
  <si>
    <t>Parents' views of school quality</t>
  </si>
  <si>
    <t>Positive parental feedback</t>
  </si>
  <si>
    <t>Parental views of digital resource use at school</t>
  </si>
  <si>
    <t>Parents' perceptions of students' self-regulated learning skills</t>
  </si>
  <si>
    <t>Parents' digital self-efficacy</t>
  </si>
  <si>
    <t>Less than ISCED level 2</t>
  </si>
  <si>
    <t>Assign this score if “No” or “I am not sure.” to items 1-8.</t>
  </si>
  <si>
    <t>ISCED level 2 </t>
  </si>
  <si>
    <t>Assign this score if “No” or “I am not sure.” to item PA183Q08JA, PA183Q07JA, PA183Q06JA, PA183Q05JA, PA183Q04JA, PA183Q03JA, and PA183Q02JA, and “Yes” to item PA183Q01JA  </t>
  </si>
  <si>
    <t>ISCED level 3.3 </t>
  </si>
  <si>
    <t>Assign this score if “No” or “I am not sure.” to item PA183Q08JA, PA183Q07JA, PA183Q06JA, PA183Q05JA, PA183Q04JA, and PA183Q03JA, and “Yes” to item PA183Q02JA  </t>
  </si>
  <si>
    <t>ISCED level 3.4 </t>
  </si>
  <si>
    <t>Assign this score if “No” or “I am not sure.” to item PA183Q08JA, PA183Q07JA, PA183Q06JA, PA183Q05JA and PA183Q04JA, and “Yes” to item PA183Q03JA </t>
  </si>
  <si>
    <t>ISCED level 4  </t>
  </si>
  <si>
    <t>Assign this score if “No” or “I am not sure.” to item PA183Q08JA, PA183Q07JA and PA183Q06JA and PA183Q05JA, and “Yes” to item PA183Q04JA  </t>
  </si>
  <si>
    <t>ISCED level 5  </t>
  </si>
  <si>
    <t>Assign this score if “No” or “I am not sure.” to item PA183Q08JA, PA183Q07JA and PA183Q06JA and “Yes” to item PA183Q05JA </t>
  </si>
  <si>
    <t>ISCED level 6  </t>
  </si>
  <si>
    <t>Assign this score if “No” or “I am not sure.” to item PA183Q08JA and PA183Q07JA and “Yes” to item PA183Q06JA</t>
  </si>
  <si>
    <t>ISCED level 7  </t>
  </si>
  <si>
    <t>Assign this score if “No” or “I am not sure.” to item PA183Q08JA and “Yes” to item PA183Q07JA  </t>
  </si>
  <si>
    <t>ISCED level 8  </t>
  </si>
  <si>
    <t>Assign this score if “Yes” to item PA183Q08JA</t>
  </si>
  <si>
    <t>ms-BN</t>
  </si>
  <si>
    <t>PA002Q01TA</t>
  </si>
  <si>
    <t>How often child at age 10: Watched TV programmes about science</t>
  </si>
  <si>
    <t>PA002Q02TA</t>
  </si>
  <si>
    <t>How often child at age 10: Read books on scientific discoveries</t>
  </si>
  <si>
    <t>PA002Q03TA</t>
  </si>
  <si>
    <t>How often child at age 10: Watched, read or listened to science fiction</t>
  </si>
  <si>
    <t>PA002Q04TA</t>
  </si>
  <si>
    <t>How often child at age 10: Visited web sites about science topics</t>
  </si>
  <si>
    <t>PA002Q05TA</t>
  </si>
  <si>
    <t>How often child at age 10: Attended a science club</t>
  </si>
  <si>
    <t>PA002Q06NA</t>
  </si>
  <si>
    <t>How often child at age 10: Construction play, e.g.&lt;Lego bricks&gt;</t>
  </si>
  <si>
    <t>PA002Q07NA</t>
  </si>
  <si>
    <t>How often child at age 10: Took apart technical devices</t>
  </si>
  <si>
    <t>PA002Q08NA</t>
  </si>
  <si>
    <t>How often child at age 10: Fixed broken objects or items, e.g. broken electronic toys</t>
  </si>
  <si>
    <t>PA002Q09NA</t>
  </si>
  <si>
    <t>How often child at age 10: Experimented with a science kit, electronics kit, or chemistry set, used a microscope or telescope</t>
  </si>
  <si>
    <t>PA002Q10NA</t>
  </si>
  <si>
    <t>How often child at age 10: Played computer games with a science content</t>
  </si>
  <si>
    <t>PA002Q11DA</t>
  </si>
  <si>
    <t>How often child at age 10: Observed animal behaviour (e.g. bird watching)</t>
  </si>
  <si>
    <t>PA002Q12DA</t>
  </si>
  <si>
    <t>How often child at age 10: Participated in gardening activities</t>
  </si>
  <si>
    <t>PA002Q13DA</t>
  </si>
  <si>
    <t>How often child at age 10: Visited a science museum</t>
  </si>
  <si>
    <t>PA003Q11JA</t>
  </si>
  <si>
    <t>How often someone in home does? Talk to my child about the importance of [completing ISCED 3]</t>
  </si>
  <si>
    <t>PA003Q12JA</t>
  </si>
  <si>
    <t>How often: someone in home does? Talk to my child about any problems he/she may have at school</t>
  </si>
  <si>
    <t>PA003Q13JA</t>
  </si>
  <si>
    <t>How often someone in home does? Ask my child about how he/she is getting along with other students at school</t>
  </si>
  <si>
    <t>PA003Q14JA</t>
  </si>
  <si>
    <t>How often someone in home does? Encourage my child to get good [marks]</t>
  </si>
  <si>
    <t>PA003Q15JA</t>
  </si>
  <si>
    <t>How often someone in home does? Take an interest in what my child is learning at school</t>
  </si>
  <si>
    <t>PA003Q16JA</t>
  </si>
  <si>
    <t>How often someone in home does? Talk to my child about his/her future education</t>
  </si>
  <si>
    <t>PA003Q17JA</t>
  </si>
  <si>
    <t>How often someone in home does? Ask my child what he/she did in school that day</t>
  </si>
  <si>
    <t>PA003Q04NA</t>
  </si>
  <si>
    <t>How often someone in home does? Help my child with his/her science homework</t>
  </si>
  <si>
    <t>PA003Q06NA</t>
  </si>
  <si>
    <t>How often someone in home does? Obtain science-related materials (e.g. applications, software, study guides etc.) for my child</t>
  </si>
  <si>
    <t>PA003Q21DA</t>
  </si>
  <si>
    <t>How often someone in home does? Discuss with my child how science can be applied in everyday life</t>
  </si>
  <si>
    <t>PA003Q08NA</t>
  </si>
  <si>
    <t>How often someone in home does? Discuss &lt;science related career&gt; options with my child</t>
  </si>
  <si>
    <t>PA008Q01TA</t>
  </si>
  <si>
    <t>Yes/no: Discussed my child’s behaviour with a teacher on my own initiative</t>
  </si>
  <si>
    <t>PA008Q02TA</t>
  </si>
  <si>
    <t>Yes/no: Discussed my child’s behaviour on the initiative of one of his/her teachers</t>
  </si>
  <si>
    <t>PA008Q03TA</t>
  </si>
  <si>
    <t>Yes/no: Discussed my child’s progress with a teacher on my own initiative</t>
  </si>
  <si>
    <t>PA008Q04TA</t>
  </si>
  <si>
    <t>Yes/no: Discussed my child’s progress on the initiative of one of their teachers</t>
  </si>
  <si>
    <t>PA008Q05TA</t>
  </si>
  <si>
    <t>Yes/no: Participated in local school government, e.g. parent council or school management committee</t>
  </si>
  <si>
    <t>PA008Q06NA</t>
  </si>
  <si>
    <t>Yes/no: Volunteered in physical or extra-curricular activities (e.g. building maintenance, carpentry, gardening or yard work, school play, sports, field trip)</t>
  </si>
  <si>
    <t>PA008Q07NA</t>
  </si>
  <si>
    <t>Yes/no: Volunteered to support school activities (volunteered in the school library, media centre, or canteen, assisted a teacher, appeared as a guest speaker)</t>
  </si>
  <si>
    <t>PA008Q09NA</t>
  </si>
  <si>
    <t>Yes/no: Talked about how to support learning at home and homework with my child’s teachers</t>
  </si>
  <si>
    <t>PA008Q10NA</t>
  </si>
  <si>
    <t>Yes/no: Exchanged ideas on parenting, family support, or the child’s development with my child’s teachers</t>
  </si>
  <si>
    <t>PA008Q11DA</t>
  </si>
  <si>
    <t>Yes/no: Shared my own knowledge with students and/or teachers</t>
  </si>
  <si>
    <t>PA008Q12DA</t>
  </si>
  <si>
    <t>Yes/no: Exchanged information on how to use &lt;digital resources&gt; in school and at home with my child’s teachers</t>
  </si>
  <si>
    <t>PA203Q01DA</t>
  </si>
  <si>
    <t>Disagree/agree: Parents should use &lt;digital resources&gt; to communicate with their child's teachers and school.</t>
  </si>
  <si>
    <t>PA203Q02DA</t>
  </si>
  <si>
    <t>Disagree/agree: Schools should allow parents to track the progress of their children at school using &lt;digital resources&gt;.</t>
  </si>
  <si>
    <t>PA203Q03DA</t>
  </si>
  <si>
    <t>Disagree/agree: Schools should put a strong focus on teaching programming and computer science.</t>
  </si>
  <si>
    <t>PA203Q04DA</t>
  </si>
  <si>
    <t>Disagree/agree: Schools should put a strong focus on teaching students how to assess the quality of information online.</t>
  </si>
  <si>
    <t>PA203Q05DA</t>
  </si>
  <si>
    <t>Disagree/agree: Schools should put a strong focus on teaching students how to use &lt;digital resources&gt; safely and ethically.</t>
  </si>
  <si>
    <t>PA035Q01TA</t>
  </si>
  <si>
    <t>Level of concern: Air pollution</t>
  </si>
  <si>
    <t>PA035Q02TA</t>
  </si>
  <si>
    <t>Level of concern: Energy shortages</t>
  </si>
  <si>
    <t>PA035Q03TA</t>
  </si>
  <si>
    <t>Level of concern: Extinction of plants and animals</t>
  </si>
  <si>
    <t>PA035Q04TA</t>
  </si>
  <si>
    <t>Level of concern: Clearing of forests for other land use</t>
  </si>
  <si>
    <t>PA035Q05TA</t>
  </si>
  <si>
    <t>Level of concern: Water shortages</t>
  </si>
  <si>
    <t>PA035Q06TA</t>
  </si>
  <si>
    <t>Level of concern: Nuclear waste</t>
  </si>
  <si>
    <t>PA035Q07NA</t>
  </si>
  <si>
    <t>Level of concern: Extreme weather conditions</t>
  </si>
  <si>
    <t>PA035Q12DA</t>
  </si>
  <si>
    <t>Level of concern: Contact with diseases that can pass from other animals to humans</t>
  </si>
  <si>
    <t>PA035Q09DA</t>
  </si>
  <si>
    <t>Level of concern: The causes of climate change</t>
  </si>
  <si>
    <t>PA035Q10DA</t>
  </si>
  <si>
    <t>Level of concern: The effects of climate change</t>
  </si>
  <si>
    <t>PA035Q11DA</t>
  </si>
  <si>
    <t>Level of concern: Water pollution</t>
  </si>
  <si>
    <t>PA204Q01DA</t>
  </si>
  <si>
    <t>Disagree/agree: My child is curious to learn new things on his/her school subjects.</t>
  </si>
  <si>
    <t>PA204Q02DA</t>
  </si>
  <si>
    <t>Disagree/agree: My child is good at learning new things on his/her own.</t>
  </si>
  <si>
    <t>PA204Q03DA</t>
  </si>
  <si>
    <t>Disagree/agree: My child asks questions whenever he/she does not understand something.</t>
  </si>
  <si>
    <t>PA204Q04DA</t>
  </si>
  <si>
    <t>Disagree/agree: My child is good at managing his/her emotions when learning (e.g., frustration, anxiety, boredom).</t>
  </si>
  <si>
    <t>PA204Q07DA</t>
  </si>
  <si>
    <t>Disagree/agree: My child tries to find solutions to school assignments on his/her own before asking for help.</t>
  </si>
  <si>
    <t>PA204Q08DA</t>
  </si>
  <si>
    <t>Disagree/agree: My child welcomes comments from me on his/her work.</t>
  </si>
  <si>
    <t>PA204Q09DA</t>
  </si>
  <si>
    <t>Disagree/agree: My child is attentive to the feedback he/she receives from teachers.</t>
  </si>
  <si>
    <t>PA033Q02TA</t>
  </si>
  <si>
    <t>Agree/disagree: &lt;Broad science&gt; is important to help us to understand the natural world.</t>
  </si>
  <si>
    <t>PA033Q06TA</t>
  </si>
  <si>
    <t>Agree/disagree: &lt;Broad science&gt; is valuable to society.</t>
  </si>
  <si>
    <t>PA033Q07TA</t>
  </si>
  <si>
    <t>Agree/disagree: &lt;Broad science&gt; is very relevant to me.</t>
  </si>
  <si>
    <t>PA033Q08TA</t>
  </si>
  <si>
    <t>Agree/disagree: I find that &lt;broad science&gt; helps me to understand the things around me.</t>
  </si>
  <si>
    <t>PA033Q09TA</t>
  </si>
  <si>
    <t>Agree/disagree: Advances in &lt;broad science&gt; usually bring social benefits.</t>
  </si>
  <si>
    <t>PA036Q01TA</t>
  </si>
  <si>
    <t>Level of optimism: Air pollution</t>
  </si>
  <si>
    <t>PA036Q03TA</t>
  </si>
  <si>
    <t>Level of optimism: Extinction of plants and animals</t>
  </si>
  <si>
    <t>PA036Q04TA</t>
  </si>
  <si>
    <t>Level of optimism: Clearing of forests for other land use</t>
  </si>
  <si>
    <t>PA036Q05TA</t>
  </si>
  <si>
    <t>Level of optimism: Water shortages</t>
  </si>
  <si>
    <t>PA036Q06TA</t>
  </si>
  <si>
    <t>Level of optimism: Nuclear waste</t>
  </si>
  <si>
    <t>PA205Q01DA</t>
  </si>
  <si>
    <t>Confidence to: Search for and find relevant information online</t>
  </si>
  <si>
    <t>PA205Q02DA</t>
  </si>
  <si>
    <t>Confidence to: Assess the quality of information you find online</t>
  </si>
  <si>
    <t>PA205Q03DA</t>
  </si>
  <si>
    <t>Confidence to: Write or edit text for a formal document such as a CV (e.g. using &lt;Google® Docs™&gt;, &lt;Microsoft® Word&gt;)</t>
  </si>
  <si>
    <t>PA205Q04DA</t>
  </si>
  <si>
    <t>Confidence to: Create a multi-media presentation (with sound, pictures, or video)</t>
  </si>
  <si>
    <t>PA205Q05DA</t>
  </si>
  <si>
    <t>Confidence to: Create or edit videos (e.g. &lt;iMovie, Final Cut Pro, InShot&gt;)</t>
  </si>
  <si>
    <t>PA205Q06DA</t>
  </si>
  <si>
    <t>Confidence to: Create or edit music (e.g. &lt;Audacity, GarageBand&gt;)</t>
  </si>
  <si>
    <t>PA205Q07DA</t>
  </si>
  <si>
    <t>Confidence to: Create a computer program (e.g., in &lt;Scratch&gt;, &lt;Python&gt;, &lt;Java&gt;)</t>
  </si>
  <si>
    <t>PA205Q08DA</t>
  </si>
  <si>
    <t>Confidence to: Collect and record data (e.g., using data loggers, &lt;Microsoft® Access™&gt;, &lt;Google® Form&gt;, &lt;Excel&gt;)</t>
  </si>
  <si>
    <t>PA205Q09DA</t>
  </si>
  <si>
    <t>Confidence to: Build or edit a webpage (e.g. using &lt;WordPress&gt;)</t>
  </si>
  <si>
    <t>PA205Q10DA</t>
  </si>
  <si>
    <t>Confidence to: Create shared documents for collaboration with others (e.g. using &lt;Google® Docs™, Dropbox&gt;)</t>
  </si>
  <si>
    <t>PA205Q11DA</t>
  </si>
  <si>
    <t>Confidence to: Use drawing or graphic software and applications</t>
  </si>
  <si>
    <t>PA205Q12DA</t>
  </si>
  <si>
    <t>Confidence to: Explain how my personal data are being collected and shared by any particular app or website</t>
  </si>
  <si>
    <t>PA205Q13DA</t>
  </si>
  <si>
    <t>Confidence to: Assess the quality of information generated by Artificial Intelligence chatbots (e.g. &lt;ChatGPT&gt;, &lt;Google Bard&gt;)</t>
  </si>
  <si>
    <t>PA401Q01DA</t>
  </si>
  <si>
    <t>Disagree/agree: When my child does well I tell them they worked hard.</t>
  </si>
  <si>
    <t>PA401Q02DA</t>
  </si>
  <si>
    <t>Disagree/agree: If my child does well, I tell them how smart they are.</t>
  </si>
  <si>
    <t>PA401Q03DA</t>
  </si>
  <si>
    <t>Disagree/agree: Even if my child does poorly in a subject, I would still believe in and respect my child.</t>
  </si>
  <si>
    <t>PA401Q04DA</t>
  </si>
  <si>
    <t>Disagree/agree: If my child did well, I would be proud of how hard they tried.</t>
  </si>
  <si>
    <t>PA401Q05DA</t>
  </si>
  <si>
    <t>Disagree/agree: If my child did poorly, I would help them understand what they could do differently to succeed.</t>
  </si>
  <si>
    <t>PA007Q01TA</t>
  </si>
  <si>
    <t>Agree/disagree: Most of my child’s school teachers seem competent and dedicated.</t>
  </si>
  <si>
    <t>PA007Q02TA</t>
  </si>
  <si>
    <t>Agree/disagree: Standards of achievement are high in my child’s school.</t>
  </si>
  <si>
    <t>PA007Q23DA</t>
  </si>
  <si>
    <t>Agree/disagree: I am happy with the content taught at my child’s school.</t>
  </si>
  <si>
    <t>PA007Q16DA</t>
  </si>
  <si>
    <t>Agree/disagree: I am happy with the instructional methods used in my child’s school.</t>
  </si>
  <si>
    <t>PA007Q04TA</t>
  </si>
  <si>
    <t>Agree/disagree: I am satisfied with the disciplinary atmosphere in my child’s school.</t>
  </si>
  <si>
    <t>PA007Q05TA</t>
  </si>
  <si>
    <t>Agree/disagree: My child’s progress is carefully monitored by the school.</t>
  </si>
  <si>
    <t>PA007Q06TA</t>
  </si>
  <si>
    <t>Agree/disagree: My child’s school provides regular and useful information on my child’s progress.</t>
  </si>
  <si>
    <t>PA032Q01TA</t>
  </si>
  <si>
    <t>Yes/no: Does anybody in your family (including you) work in a &lt;science-related career&gt;?</t>
  </si>
  <si>
    <t>PA032Q02TA</t>
  </si>
  <si>
    <t>Yes/no: Does your child show an interest in working in a &lt;science-related career&gt;?</t>
  </si>
  <si>
    <t>PA032Q03TA</t>
  </si>
  <si>
    <t>Yes/no: Do you expect your child will go into a &lt;science-related career&gt;?</t>
  </si>
  <si>
    <t>PA032Q04TA</t>
  </si>
  <si>
    <t>Yes/no: Has your child shown interest in studying science after completing &lt;secondary school&gt;?</t>
  </si>
  <si>
    <t>PA032Q05TA</t>
  </si>
  <si>
    <t>Yes/no: Do you expect your child will study science after completing &lt;secondary school&gt;?</t>
  </si>
  <si>
    <t>Variables derived from the School Questionnaire  </t>
  </si>
  <si>
    <t>SC002Q01TA_P</t>
  </si>
  <si>
    <t xml:space="preserve">Percentage of boys enrolled in the school </t>
  </si>
  <si>
    <t xml:space="preserve">Percentage of girls enrolled in the school </t>
  </si>
  <si>
    <t>SC211Q02JA_Q</t>
  </si>
  <si>
    <t xml:space="preserve">Quartile for percentage of students with special needs </t>
  </si>
  <si>
    <t>SC211Q03JA_Q</t>
  </si>
  <si>
    <t xml:space="preserve">Quartile for percentage of students from socioeconomically disadvantaged homes </t>
  </si>
  <si>
    <t>SC211Q06JA_Q</t>
  </si>
  <si>
    <t xml:space="preserve">Quartile for percentage of students who are refugees </t>
  </si>
  <si>
    <t>SC004Q01TA_Q</t>
  </si>
  <si>
    <t>Quartile for number of students in the &lt;national modal grade for 15-years-olds&gt;</t>
  </si>
  <si>
    <t>SC004Q02TA_Q</t>
  </si>
  <si>
    <t>Quartile for number of desktop or laptop computers available for students in the &lt;national modal grade for 15-years-olds&gt; for educational purposes</t>
  </si>
  <si>
    <t>SC004Q03TA_Q</t>
  </si>
  <si>
    <t>Quartile for number of desktop, laptop or computers in SC004Q03TA connected to the Internet</t>
  </si>
  <si>
    <t>SC004Q08DA_Q</t>
  </si>
  <si>
    <t>Quartile for number of tablet devices available for students in the &lt;national modal grade for 15-years-olds&gt; for educational purposes</t>
  </si>
  <si>
    <t>SC004Q09DA_Q</t>
  </si>
  <si>
    <t>Quartile for number of e-book readers available for students in the &lt;national modal grade for 15-years-olds&gt; for educational purposes</t>
  </si>
  <si>
    <t>SC004Q07NA_Q</t>
  </si>
  <si>
    <t>Quartile for number of desktop or laptop computers with internet connection available for teachers</t>
  </si>
  <si>
    <t>CREACTIV</t>
  </si>
  <si>
    <t xml:space="preserve">Creative extra-curricular activities </t>
  </si>
  <si>
    <t>RATCMP1</t>
  </si>
  <si>
    <t>Availability of computers</t>
  </si>
  <si>
    <t>RATTAB</t>
  </si>
  <si>
    <t xml:space="preserve">Availability of tablet devices </t>
  </si>
  <si>
    <t>RATCMP2</t>
  </si>
  <si>
    <t xml:space="preserve">Computers connected to the Internet </t>
  </si>
  <si>
    <t>PROPSUPP</t>
  </si>
  <si>
    <t xml:space="preserve">Proportion of personnel for pedagogical support </t>
  </si>
  <si>
    <t>PROADMIN</t>
  </si>
  <si>
    <t xml:space="preserve">Proportion of school administrative personnel </t>
  </si>
  <si>
    <t>PROMGMT</t>
  </si>
  <si>
    <t xml:space="preserve">Proportion of school management personnel </t>
  </si>
  <si>
    <t>SCHSIZE</t>
  </si>
  <si>
    <t>Quartile for school size</t>
  </si>
  <si>
    <t>SCHLTYPE</t>
  </si>
  <si>
    <t>School type</t>
  </si>
  <si>
    <t>STRATIO</t>
  </si>
  <si>
    <t>Quartile for student-teacher ratio</t>
  </si>
  <si>
    <t>SCRATIO</t>
  </si>
  <si>
    <t xml:space="preserve">Student-science teacher ratio </t>
  </si>
  <si>
    <t>TOTSCIE</t>
  </si>
  <si>
    <t xml:space="preserve">Quartile for total number of science teachers at school </t>
  </si>
  <si>
    <t>TOTSTAFF</t>
  </si>
  <si>
    <t xml:space="preserve">Quartile for number of non-teaching staff at school </t>
  </si>
  <si>
    <t>TOTAT</t>
  </si>
  <si>
    <t xml:space="preserve">Total number of all teachers at school </t>
  </si>
  <si>
    <t>SC016Q01TA_Q</t>
  </si>
  <si>
    <t>Proportion of school funding from government</t>
  </si>
  <si>
    <t>SC016Q02TA_Q</t>
  </si>
  <si>
    <t>Proportion of school funding from student fees or charges paid by parents or guardians</t>
  </si>
  <si>
    <t>SC016Q03TA_Q</t>
  </si>
  <si>
    <t>Proportion of school funding from benefactors, donations, bequests, sponsorships or fundraisings</t>
  </si>
  <si>
    <t>SC016Q04TA_Q</t>
  </si>
  <si>
    <t>Proportion of school funding from other sources</t>
  </si>
  <si>
    <t>SCHSEL</t>
  </si>
  <si>
    <t xml:space="preserve">School selectivity </t>
  </si>
  <si>
    <t>SRESPCUR</t>
  </si>
  <si>
    <t xml:space="preserve">School responsibility for curriculum </t>
  </si>
  <si>
    <t>SRESPRES</t>
  </si>
  <si>
    <t xml:space="preserve">School responsibility for resources </t>
  </si>
  <si>
    <t>ABGSCIE</t>
  </si>
  <si>
    <t xml:space="preserve">Ability grouping for science classes </t>
  </si>
  <si>
    <t>CLSIZE</t>
  </si>
  <si>
    <t>Class size</t>
  </si>
  <si>
    <t>SLSCIZE</t>
  </si>
  <si>
    <t>Science class size</t>
  </si>
  <si>
    <t>PROATCE</t>
  </si>
  <si>
    <t xml:space="preserve">Proportion of all teachers fully certified </t>
  </si>
  <si>
    <t>PROPAT6</t>
  </si>
  <si>
    <t xml:space="preserve">Proportion of all teachers with at least ISCED level 6 bachelor qualification </t>
  </si>
  <si>
    <t>PROPAT7</t>
  </si>
  <si>
    <t xml:space="preserve">Proportion of all teachers with at least ISCED level 7 master qualification </t>
  </si>
  <si>
    <t>PROPAT8</t>
  </si>
  <si>
    <t xml:space="preserve">Proportion of all teachers with ISCED level 8 doctoral qualification </t>
  </si>
  <si>
    <t>PROPSCIE</t>
  </si>
  <si>
    <t xml:space="preserve">Proportion of science teachers at school </t>
  </si>
  <si>
    <t>PROSTCE</t>
  </si>
  <si>
    <t>Proportion of fully certified science teachers</t>
  </si>
  <si>
    <t>PROFEMST</t>
  </si>
  <si>
    <t>Proportion of female science teachers</t>
  </si>
  <si>
    <t>PROWBST</t>
  </si>
  <si>
    <t>Proportion of staff focused on well-being</t>
  </si>
  <si>
    <t>SC064Q01TA_Q</t>
  </si>
  <si>
    <t>Quartile for the proportion of parents that discussed their child’s progress with a teacher on the parents’ or guardians’ own initiative</t>
  </si>
  <si>
    <t>SC064Q02TA_Q</t>
  </si>
  <si>
    <t>Quartile for the proportion of parents that discussed their child’s progress on the initiative of one of their child’s teachers</t>
  </si>
  <si>
    <t>SC064Q03TA_Q</t>
  </si>
  <si>
    <t>Quartile for the proportion of parents that participated in local school government (e.g. parent council or school management committee)</t>
  </si>
  <si>
    <t>SC064Q04NA_Q</t>
  </si>
  <si>
    <t>Quartile for the proportion of parents that volunteered in physical or extra-curricular activities, (e.g. building maintenance, carpentry, gardening or yard work, school play, sports, field trip)</t>
  </si>
  <si>
    <t>SC064Q05WA_Q</t>
  </si>
  <si>
    <t>Quartile for the proportion of parents that discussed their child’s behaviour with a teacher on the parents’ or guardians’ own initiative</t>
  </si>
  <si>
    <t>SC064Q06WA_Q</t>
  </si>
  <si>
    <t>Quartile for the proportion of parents that discussed their child’s behaviour on the initiative of one of their child’s teachers</t>
  </si>
  <si>
    <t>SC064Q07WA_Q</t>
  </si>
  <si>
    <t>Quartile for the proportion of parents that assisted in fundraising for the school</t>
  </si>
  <si>
    <t>Educational leadership</t>
  </si>
  <si>
    <t xml:space="preserve">School encouragement of parent or guardian involvement </t>
  </si>
  <si>
    <t>Availability of learning software</t>
  </si>
  <si>
    <t>Priorities for learning objectives</t>
  </si>
  <si>
    <t>Opportunities for environment-related activities at school</t>
  </si>
  <si>
    <t>Science teacher training</t>
  </si>
  <si>
    <t>Negative school climate</t>
  </si>
  <si>
    <t xml:space="preserve">Shortage of educational staff </t>
  </si>
  <si>
    <t>Shortage of educational material</t>
  </si>
  <si>
    <t>Freedom of choice for studying science</t>
  </si>
  <si>
    <t>Use of SES assessments</t>
  </si>
  <si>
    <t>Use of standardised tests</t>
  </si>
  <si>
    <t>Use of teacher-developed tests</t>
  </si>
  <si>
    <t>Extra-curricular activities at school</t>
  </si>
  <si>
    <t>Delivery of global issues in curriculum</t>
  </si>
  <si>
    <t>Preparedness for digital learning</t>
  </si>
  <si>
    <t>School support for PISA administration</t>
  </si>
  <si>
    <t>Costa Rica</t>
  </si>
  <si>
    <t>France</t>
  </si>
  <si>
    <t>Hong Kong (China)</t>
  </si>
  <si>
    <t>Latvia</t>
  </si>
  <si>
    <t>Malta</t>
  </si>
  <si>
    <t>Moldova</t>
  </si>
  <si>
    <t>Singapore</t>
  </si>
  <si>
    <t>United Kingdom (Scotland)</t>
  </si>
  <si>
    <t>Ireland</t>
  </si>
  <si>
    <t>Netherlands</t>
  </si>
  <si>
    <t>United Kingdom (excl. Scotland)</t>
  </si>
  <si>
    <t>Brunei Darussalam</t>
  </si>
  <si>
    <t>Cyprus*</t>
  </si>
  <si>
    <t>Denmark</t>
  </si>
  <si>
    <t>Estonia</t>
  </si>
  <si>
    <t>Finland</t>
  </si>
  <si>
    <t>Iceland</t>
  </si>
  <si>
    <t>Japan</t>
  </si>
  <si>
    <t>Scotland (United Kingdom)</t>
  </si>
  <si>
    <t>Spain</t>
  </si>
  <si>
    <t>Switzerland</t>
  </si>
  <si>
    <t>Croatia</t>
  </si>
  <si>
    <t>Germany</t>
  </si>
  <si>
    <t>Greece</t>
  </si>
  <si>
    <t>Jordan</t>
  </si>
  <si>
    <t>Kosovo</t>
  </si>
  <si>
    <t>Luxembourg</t>
  </si>
  <si>
    <t>Mongolia</t>
  </si>
  <si>
    <t>Montenegro</t>
  </si>
  <si>
    <t>Norway</t>
  </si>
  <si>
    <t>Poland</t>
  </si>
  <si>
    <t>Slovak Republic</t>
  </si>
  <si>
    <t>Ukrainian regions (17 of 27)*</t>
  </si>
  <si>
    <t>Lithuania</t>
  </si>
  <si>
    <t>Uzbekistan</t>
  </si>
  <si>
    <t>Ecuador</t>
  </si>
  <si>
    <t>Malaysia</t>
  </si>
  <si>
    <t>Italy</t>
  </si>
  <si>
    <t>Philippines</t>
  </si>
  <si>
    <t>SC209Q01DA</t>
  </si>
  <si>
    <t>Yes/no: I have shared information about the PISA test administration with the staff at my school.</t>
  </si>
  <si>
    <t>SC209Q02DA</t>
  </si>
  <si>
    <t>Yes/no: I have shared information about the PISA test administration with the students at my school.</t>
  </si>
  <si>
    <t>SC209Q03DA</t>
  </si>
  <si>
    <t>Yes/no: I have shared information about the PISA test administration with the parents or guardians of students at my school.</t>
  </si>
  <si>
    <t>SC209Q04JA</t>
  </si>
  <si>
    <t>Yes/no: I have spoken to teachers at my school about the importance of the PISA test.</t>
  </si>
  <si>
    <t>SC209Q05JA</t>
  </si>
  <si>
    <t>Yes/no: I have spoken to parents or guardians about the importance of the PISA test.</t>
  </si>
  <si>
    <t>SC209Q06JA</t>
  </si>
  <si>
    <t>Yes/no: I have encouraged the students at my school to do their best during the PISA test.</t>
  </si>
  <si>
    <t>SC172Q01DA</t>
  </si>
  <si>
    <t>Extent a problem in your school: Cheating</t>
  </si>
  <si>
    <t>SC172Q02JA</t>
  </si>
  <si>
    <t>Extent a problem in your school: Profanity</t>
  </si>
  <si>
    <t>SC172Q03JA</t>
  </si>
  <si>
    <t>Extent a problem in your school: Vandalism</t>
  </si>
  <si>
    <t>SC172Q04JA</t>
  </si>
  <si>
    <t>Extent a problem in your school: Theft</t>
  </si>
  <si>
    <t>SC172Q05JA</t>
  </si>
  <si>
    <t>Extent a problem in your school: Intimidation or verbal abuse among students (including texting, emailing, etc.)</t>
  </si>
  <si>
    <t>SC172Q06JA</t>
  </si>
  <si>
    <t>Extent a problem in your school: Physical injury caused by students to other students</t>
  </si>
  <si>
    <t>SC172Q07JA</t>
  </si>
  <si>
    <t>Extent a problem in your school: Intimidation or verbal abuse of teachers or non-teaching staff (including texting, emailing, etc.)</t>
  </si>
  <si>
    <t>SC172Q08DA</t>
  </si>
  <si>
    <t>Extent a problem in your school: Physical injury caused by students to teachers or non-teaching staff</t>
  </si>
  <si>
    <t>SC017Q05NA</t>
  </si>
  <si>
    <t>Instruction hindered by: A lack of educational material (e.g. textbooks, IT equipment, library or laboratory material)</t>
  </si>
  <si>
    <t>SC017Q06NA</t>
  </si>
  <si>
    <t>Instruction hindered by: Inadequate or poor quality educational material (e.g. textbooks, IT equipment, library or laboratory material)</t>
  </si>
  <si>
    <t>SC017Q07NA</t>
  </si>
  <si>
    <t>Instruction hindered by: A lack of physical infrastructure (e.g. building, grounds, heating/cooling, lighting and acoustic systems)</t>
  </si>
  <si>
    <t>SC017Q08NA</t>
  </si>
  <si>
    <t>Instruction hindered by: Inadequate or poor quality physical infrastructure (e.g. building, grounds, heating/cooling, lighting and acoustic systems)</t>
  </si>
  <si>
    <t>SC017Q01NA</t>
  </si>
  <si>
    <t>Instruction hindered by: A lack of teaching staff</t>
  </si>
  <si>
    <t>SC017Q02NA</t>
  </si>
  <si>
    <t>Instruction hindered by: Inadequate or poorly qualified teaching staff</t>
  </si>
  <si>
    <t>SC017Q03NA</t>
  </si>
  <si>
    <t>Instruction hindered by: A lack of assisting staff</t>
  </si>
  <si>
    <t>SC017Q04NA</t>
  </si>
  <si>
    <t>Instruction hindered by: Inadequate or poorly qualified assisting staff</t>
  </si>
  <si>
    <t>SC250Q01DA</t>
  </si>
  <si>
    <t>How often: Growing a school garden</t>
  </si>
  <si>
    <t>SC250Q02DA</t>
  </si>
  <si>
    <t>How often: Participating in environmental student groups</t>
  </si>
  <si>
    <t>SC250Q03DA</t>
  </si>
  <si>
    <t>How often: Whole school or community rubbish collection</t>
  </si>
  <si>
    <t>SC250Q06DA</t>
  </si>
  <si>
    <t>How often: Recycling programs</t>
  </si>
  <si>
    <t>SC250Q08DA</t>
  </si>
  <si>
    <t>How often: Field trips to investigate waste management (e.g., sewage works, landfills)</t>
  </si>
  <si>
    <t>SC250Q09DA</t>
  </si>
  <si>
    <t>How often: Listening to invited guest speakers with special interests in the environment (e.g., biologists, environmental scientists environmental advocates)</t>
  </si>
  <si>
    <t>SC250Q10DA</t>
  </si>
  <si>
    <t>How often: Participating in environmental school groups consisting of staff, students, parents and interested community members for whole school sustainability</t>
  </si>
  <si>
    <t>SC250Q12DA</t>
  </si>
  <si>
    <t>How often: Auditing the biodiversity of school grounds, local parks, and recreation areas</t>
  </si>
  <si>
    <t>SC250Q13DA</t>
  </si>
  <si>
    <t>How often: Celebrating school achievement when reaching set environmental goals</t>
  </si>
  <si>
    <t>SC250Q15DA</t>
  </si>
  <si>
    <t>How often: Sharing knowledge from indigenous peoples from their own country or from other countries</t>
  </si>
  <si>
    <t>SC250Q16DA</t>
  </si>
  <si>
    <t>How often: Environmental &lt;citizen science, community science, volunteer monitoring, public participation in scientific research&gt; projects (e.g. counting and identifying plants and animals in local area)</t>
  </si>
  <si>
    <t>SC250Q17DA</t>
  </si>
  <si>
    <t>How often: Supporting communities who have suffered natural disasters (e.g., storms, wildfires, drought)</t>
  </si>
  <si>
    <t>SC250Q18DA</t>
  </si>
  <si>
    <t>How often: Showcasing environmental achievement and policies in school newsletters, on websites and school displays</t>
  </si>
  <si>
    <t>SC250Q19DA</t>
  </si>
  <si>
    <t>How often: Engaging with a local environmental organisation</t>
  </si>
  <si>
    <t>SC053Q01TA</t>
  </si>
  <si>
    <t>Does school offer this school year: Band, orchestra or choir</t>
  </si>
  <si>
    <t>SC053Q02TA</t>
  </si>
  <si>
    <t>Does school offer this school year: School play or school musical</t>
  </si>
  <si>
    <t>SC053Q03TA</t>
  </si>
  <si>
    <t>Does school offer this school year: School yearbook, newspaper or magazine</t>
  </si>
  <si>
    <t>SC053Q04TA</t>
  </si>
  <si>
    <t>Does school offer this school year: Volunteering or service activities, e.g. [national examples]</t>
  </si>
  <si>
    <t>SC053Q05NA</t>
  </si>
  <si>
    <t>Does school offer this school year: Science club</t>
  </si>
  <si>
    <t>SC053Q06NA</t>
  </si>
  <si>
    <t>Does school offer this school year: Science competitions, e.g. [national examples]</t>
  </si>
  <si>
    <t>SC053Q07TA</t>
  </si>
  <si>
    <t>Does school offer this school year: Chess club</t>
  </si>
  <si>
    <t>SC053Q08TA</t>
  </si>
  <si>
    <t>Does school offer this school year: Club with a focus on computers (e.g. programming or coding)</t>
  </si>
  <si>
    <t>SC053Q09TA</t>
  </si>
  <si>
    <t>Does school offer this school year: Art club or art activities</t>
  </si>
  <si>
    <t>SC053Q10TA</t>
  </si>
  <si>
    <t>Does school offer this school year: Sporting team or sporting activities</t>
  </si>
  <si>
    <t>SC053Q17DA</t>
  </si>
  <si>
    <t>Does school offer this school year: Environmental protection activities</t>
  </si>
  <si>
    <t>SC261Q01DA</t>
  </si>
  <si>
    <t>% devices with access to: Word processor (e.g. &lt;Microsoft® WordTM&gt;)</t>
  </si>
  <si>
    <t>SC261Q02DA</t>
  </si>
  <si>
    <t>% devices with access to: Software for creating a multi-media presentation (e.g. &lt;Microsoft® PowerPointTM&gt;)</t>
  </si>
  <si>
    <t>SC261Q03DA</t>
  </si>
  <si>
    <t>% devices with access to: Software to create and edit videos (e.g., &lt;iMovie&gt;, &lt;Final Cut Pro&gt;, &lt;InShot&gt;)</t>
  </si>
  <si>
    <t>SC261Q04DA</t>
  </si>
  <si>
    <t>% devices with access to: Software to create and edit music (e.g. &lt;Audacity&gt;, &lt;GarageBand&gt;)</t>
  </si>
  <si>
    <t>SC261Q05DA</t>
  </si>
  <si>
    <t>% devices with access to: Software for programming (e.g. &lt;Scratch&gt;, &lt;Python&gt;, &lt;Java&gt;)</t>
  </si>
  <si>
    <t>SC261Q06DA</t>
  </si>
  <si>
    <t>% devices with access to: Software to collect and record data (e.g. data loggers, &lt;Microsoft® Access™&gt;, &lt;Google® Form&gt;, spreadsheets)</t>
  </si>
  <si>
    <t>SC261Q07DA</t>
  </si>
  <si>
    <t>% devices with access to: Software for building or editing webpages (e.g. &lt;WordPress&gt;)</t>
  </si>
  <si>
    <t>SC261Q08DA</t>
  </si>
  <si>
    <t>% devices with access to: Learning management system (e.g. &lt;Moodle, Blackboard, Schoology, Canvas&gt;)</t>
  </si>
  <si>
    <t>SC261Q09DA</t>
  </si>
  <si>
    <t>% devices with access to: Software for online collaborative work (e.g. &lt;Miro, Google Jamboard&gt;)</t>
  </si>
  <si>
    <t>SC261Q10DA</t>
  </si>
  <si>
    <t>% devices with access to: Virtual or augmented reality software</t>
  </si>
  <si>
    <t>SC155Q01HA</t>
  </si>
  <si>
    <t>Disagree/agree: The number of digital devices connected to the Internet is sufficient</t>
  </si>
  <si>
    <t>SC155Q02HA</t>
  </si>
  <si>
    <t>Disagree/agree: The school’s Internet bandwidth or speed is sufficient</t>
  </si>
  <si>
    <t>SC155Q03HA</t>
  </si>
  <si>
    <t>Disagree/agree: The number of digital devices for instruction is sufficient</t>
  </si>
  <si>
    <t>SC155Q04HA</t>
  </si>
  <si>
    <t>Disagree/agree: Digital devices at the school are sufficiently powerful in terms of computing capacity</t>
  </si>
  <si>
    <t>SC155Q05HA</t>
  </si>
  <si>
    <t>Disagree/agree: The availability of adequate software is sufficient</t>
  </si>
  <si>
    <t>SC155Q06HA</t>
  </si>
  <si>
    <t>Disagree/agree: Teachers have the necessary technical and pedagogical skills to integrate digital devices in instruction</t>
  </si>
  <si>
    <t>SC155Q07HA</t>
  </si>
  <si>
    <t>Disagree/agree: Teachers have sufficient time to prepare lessons integrating digital devices</t>
  </si>
  <si>
    <t>SC155Q08HA</t>
  </si>
  <si>
    <t>Disagree/agree: Effective professional resources for teachers to learn how to use digital devices are available</t>
  </si>
  <si>
    <t>SC155Q09HA</t>
  </si>
  <si>
    <t>Disagree/agree: An effective online learning support platform is available</t>
  </si>
  <si>
    <t>SC155Q10HA</t>
  </si>
  <si>
    <t>Disagree/agree: Teachers are provided with incentives to integrate digital devices in their teaching</t>
  </si>
  <si>
    <t>SC155Q12DA</t>
  </si>
  <si>
    <t>Disagree/agree: The curriculum of the school is suited for using &lt;digital devices&gt; effectively</t>
  </si>
  <si>
    <t>SC155Q13DA</t>
  </si>
  <si>
    <t>Disagree/agree: The school has sufficient supporting staff to solve technical problems</t>
  </si>
  <si>
    <t>SC201Q03JA</t>
  </si>
  <si>
    <t>How often you/others in [school management team]: Providing feedback to teachers based on observations of instruction in the classroom</t>
  </si>
  <si>
    <t>SC201Q04JA</t>
  </si>
  <si>
    <t>How often you/others in [school management team]: Taking actions to support co-operation among teachers to develop NEW teaching practices</t>
  </si>
  <si>
    <t>SC201Q05JA</t>
  </si>
  <si>
    <t>How often you/others in [school management team]: Taking actions to ensure that teachers take responsibility for improving their teaching skills</t>
  </si>
  <si>
    <t>SC201Q06JA</t>
  </si>
  <si>
    <t>How often you/others in [school management team]: Taking actions to ensure that teachers feel responsible for their students' learning outcomes</t>
  </si>
  <si>
    <t>SC201Q07JA</t>
  </si>
  <si>
    <t>How often you/others in [school management team]: Providing parents or guardians with information on the school and student performance</t>
  </si>
  <si>
    <t>SC201Q11JA</t>
  </si>
  <si>
    <t>How often you/others in [school management team]: Working on a professional development plan for this school</t>
  </si>
  <si>
    <t>SC201Q12DA</t>
  </si>
  <si>
    <t>How often you/others in [school management team]: Collaborating with principals from other schools on difficult work tasks</t>
  </si>
  <si>
    <t xml:space="preserve"> </t>
  </si>
  <si>
    <t>SC158Q01HA</t>
  </si>
  <si>
    <t>Yes/no: Climate change and global warming</t>
  </si>
  <si>
    <t>SC158Q13DA</t>
  </si>
  <si>
    <t>Yes/no: Global health equity (e.g. access to healthcare)</t>
  </si>
  <si>
    <t>SC158Q04HA</t>
  </si>
  <si>
    <t>Yes/no: Migration (movement of people)</t>
  </si>
  <si>
    <t>SC158Q07HA</t>
  </si>
  <si>
    <t>Yes/no: International conflicts</t>
  </si>
  <si>
    <t>SC158Q08HA</t>
  </si>
  <si>
    <t>Yes/no: Hunger or malnutrition in different parts of the world</t>
  </si>
  <si>
    <t>SC158Q09HA</t>
  </si>
  <si>
    <t>Yes/no: Causes of poverty</t>
  </si>
  <si>
    <t>SC158Q12HA</t>
  </si>
  <si>
    <t>Yes/no: Equality between men and women</t>
  </si>
  <si>
    <t>SC266Q01DA</t>
  </si>
  <si>
    <t>Level of priority: To enhance students’ capacity to learn on their own</t>
  </si>
  <si>
    <t>SC266Q02DA</t>
  </si>
  <si>
    <t>Level of priority: To support students’ capacity to plan, monitor and evaluate their learning</t>
  </si>
  <si>
    <t>SC266Q03DA</t>
  </si>
  <si>
    <t>Level of priority: To teach students when and how they should seek for help in their study</t>
  </si>
  <si>
    <t>SC266Q04DA</t>
  </si>
  <si>
    <t>Level of priority: To teach students how to use the feedback they receive from teachers</t>
  </si>
  <si>
    <t>SC266Q05DA</t>
  </si>
  <si>
    <t>Level of priority: To give students advice on how to manage negative emotions related to learning (e.g. frustration, anxiety, boredom)</t>
  </si>
  <si>
    <t>SC266Q06DA</t>
  </si>
  <si>
    <t>Level of priority: To teach students how to give feedback to each other as part of group work</t>
  </si>
  <si>
    <t>SC266Q07DA</t>
  </si>
  <si>
    <t>Level of priority: To train students to carry out complex projects over multiple days</t>
  </si>
  <si>
    <t>SC406Q01DA</t>
  </si>
  <si>
    <t>Extent of: Students can choose the &lt;school science&gt; course(s) they study.</t>
  </si>
  <si>
    <t>SC406Q02DA</t>
  </si>
  <si>
    <t>Extent of: Students can choose the level of difficulty.</t>
  </si>
  <si>
    <t>SC406Q03DA</t>
  </si>
  <si>
    <t>Extent of: Students can choose the number of &lt;school science&gt; courses or &lt;class periods&gt;.</t>
  </si>
  <si>
    <t>SC406Q04DA</t>
  </si>
  <si>
    <t>Extent of: Students can choose from different teachers teaching the same course(s).</t>
  </si>
  <si>
    <t>SC408Q01DA</t>
  </si>
  <si>
    <t>Yes/no: &lt;School science&gt; content</t>
  </si>
  <si>
    <t>SC408Q02DA</t>
  </si>
  <si>
    <t>Yes/no: &lt;School science&gt; pedagogy/instruction</t>
  </si>
  <si>
    <t>SC408Q03DA</t>
  </si>
  <si>
    <t>Yes/no: &lt;School science&gt; curriculum</t>
  </si>
  <si>
    <t>SC408Q04DA</t>
  </si>
  <si>
    <t>Yes/no: Integrating digital resources into &lt;school science&gt; instruction</t>
  </si>
  <si>
    <t>SC408Q06DA</t>
  </si>
  <si>
    <t>Yes/no: &lt;School science&gt; assessment</t>
  </si>
  <si>
    <t>SC408Q07DA</t>
  </si>
  <si>
    <t>Yes/no: Addressing individual students' needs (e.g. differentiated learning, differentiated instruction)</t>
  </si>
  <si>
    <t>SC197Q01DA</t>
  </si>
  <si>
    <t>Yes/no: Results are posted publicly in aggregate (e.g. in the media)</t>
  </si>
  <si>
    <t>SC197Q02DA</t>
  </si>
  <si>
    <t>Yes/no: Results are tracked over time by an administrative authority</t>
  </si>
  <si>
    <t>SC197Q03DA</t>
  </si>
  <si>
    <t>Yes/no: Results are provided directly to parents or guardians</t>
  </si>
  <si>
    <t>SC197Q04DA</t>
  </si>
  <si>
    <t>Yes/no: Results are used to identify aspects of instruction or the curriculum that could be improved</t>
  </si>
  <si>
    <t>SC197Q05DA</t>
  </si>
  <si>
    <t>Yes/no: Results are compared to the results of other schools</t>
  </si>
  <si>
    <t>SC197Q06DA</t>
  </si>
  <si>
    <t>Yes/no: Results are compared to &lt;district or national&gt; results</t>
  </si>
  <si>
    <t>SC035Q01NA</t>
  </si>
  <si>
    <t>How student tests are used: [Standardised tests]: To guide students' learning</t>
  </si>
  <si>
    <t>SC035Q02TA</t>
  </si>
  <si>
    <t>How student tests are used: [Standardised tests]: To inform parents or guardians about their child's progress</t>
  </si>
  <si>
    <t>SC035Q03TA</t>
  </si>
  <si>
    <t>How student tests are used: [Standardised tests]: To make decisions about students' retention or promotion</t>
  </si>
  <si>
    <t>SC035Q04TA</t>
  </si>
  <si>
    <t>How student tests are used: [Standardised tests]: To group students for instructional purposes</t>
  </si>
  <si>
    <t>SC035Q05TA</t>
  </si>
  <si>
    <t>How student tests are used: [Standardised tests]: To compare the school to [district or national] performance</t>
  </si>
  <si>
    <t>SC035Q06TA</t>
  </si>
  <si>
    <t>How student tests are used: [Standardised tests]: To monitor the school's progress from year to year</t>
  </si>
  <si>
    <t>SC035Q07TA</t>
  </si>
  <si>
    <t>How student tests are used: [Standardised tests]: To make judgements about teachers' effectiveness</t>
  </si>
  <si>
    <t>SC035Q08TA</t>
  </si>
  <si>
    <t>How student tests are used: [Standardised tests]: To identify aspects of instruction or the curriculum that could be</t>
  </si>
  <si>
    <t>SC035Q09NA</t>
  </si>
  <si>
    <t>How student tests are used: [Standardised tests]: To adapt teaching to the students' needs</t>
  </si>
  <si>
    <t>SC035Q10TA</t>
  </si>
  <si>
    <t>How student tests are used: [Standardised tests]: To compare the school with other schools</t>
  </si>
  <si>
    <t>SC035Q11NA</t>
  </si>
  <si>
    <t>How student tests are used: [Standardised tests]: To award certificates to students</t>
  </si>
  <si>
    <t>How student tests are used: Teacher-developed tests: To guide students' learning</t>
  </si>
  <si>
    <t>How student tests are used: Teacher-developed tests: To inform parents or guardians about their child's progress</t>
  </si>
  <si>
    <t>How student tests are used: Teacher-developed tests: To make decisions about students' retention or promotion</t>
  </si>
  <si>
    <t>How student tests are used: Teacher-developed tests: To group students for instructional purposes</t>
  </si>
  <si>
    <t>How student tests are used: Teacher-developed tests: To compare the school to [district or national] performance</t>
  </si>
  <si>
    <t>How student tests are used: Teacher-developed tests: To monitor the school's progress from year to year</t>
  </si>
  <si>
    <t>How student tests are used: Teacher-developed tests: To make judgements about teachers' effectiveness</t>
  </si>
  <si>
    <t>How student tests are used: Teacher-developed tests: To identify aspects of instruction or the curriculum that could</t>
  </si>
  <si>
    <t>How student tests are used: Teacher-developed tests: To adapt teaching to the students' needs</t>
  </si>
  <si>
    <t>How student tests are used: Teacher-developed tests: To compare the school with other schools</t>
  </si>
  <si>
    <t>How student tests are used: Teacher-developed tests: To award certificates to students</t>
  </si>
  <si>
    <t>SC192Q01JA</t>
  </si>
  <si>
    <t>Last school year, how often has school staff: Invited parents or guardians to volunteer for school activities</t>
  </si>
  <si>
    <t>SC192Q02JA</t>
  </si>
  <si>
    <t>Last school year, how often has school staff: Initiated communications with parents or guardians about school programmes</t>
  </si>
  <si>
    <t>SC192Q03JA</t>
  </si>
  <si>
    <t>Last school year, how often has school staff: Initiated communications with parents or guardians about their child's progress</t>
  </si>
  <si>
    <t>SC192Q04JA</t>
  </si>
  <si>
    <t>Last school year, how often has school staff: Included parents or guardians in making school decisions</t>
  </si>
  <si>
    <t>SC192Q05JA</t>
  </si>
  <si>
    <t>Last school year, how often has school staff: Provided information to parents or guardians about how to help students with homework and other curriculum-related activities</t>
  </si>
  <si>
    <t>SC192Q07DA</t>
  </si>
  <si>
    <t>Provided information to parents or guardians about how to help students improve their skills in science</t>
  </si>
  <si>
    <t>Variables derived from the Teacher Questionnaire  </t>
  </si>
  <si>
    <t>TC007Q01NA_Q</t>
  </si>
  <si>
    <t>Quartile for number of years working as a teacher in this school</t>
  </si>
  <si>
    <t>TC007Q02NA_Q</t>
  </si>
  <si>
    <t>Quartile for number of years working as a teacher in total</t>
  </si>
  <si>
    <t>TC216Q01JA_Q</t>
  </si>
  <si>
    <t>Quartile for number of hours a week spent teaching</t>
  </si>
  <si>
    <t>TC216Q02JA_Q</t>
  </si>
  <si>
    <t>Quartile for number of hours a week spent on individual planning or preparation of lessons either at school or out of school</t>
  </si>
  <si>
    <t>TC216Q03JA_Q</t>
  </si>
  <si>
    <t>Quartile for number of hours a week spent teamwork and dialogue with colleagues within this school</t>
  </si>
  <si>
    <t>TC216Q04JA_Q</t>
  </si>
  <si>
    <t>Quartile for number of hours a week spent marking/correcting of student work</t>
  </si>
  <si>
    <t>TC216Q05JA_Q</t>
  </si>
  <si>
    <t>Quartile for number of hours a week spent counselling students (including student supervision, mentoring, virtual counselling, career guidance and behaviour guidance)</t>
  </si>
  <si>
    <t>TC216Q06JA_Q</t>
  </si>
  <si>
    <t>Quartile for number of hours a week spent on general administrative work (including communication, paperwork and other clerical duties)</t>
  </si>
  <si>
    <t>TC216Q07JA_Q</t>
  </si>
  <si>
    <t>Quartile for number of hours a week spent in communication and co-operation with parents or guardians</t>
  </si>
  <si>
    <t>TC216Q08JA_Q</t>
  </si>
  <si>
    <t>Quartile for number of hours a week spent on extracurricular activities (e.g. sports and cultural activities after school)</t>
  </si>
  <si>
    <t>TCISCED</t>
  </si>
  <si>
    <t xml:space="preserve">Higher educational level attained </t>
  </si>
  <si>
    <t>EMPLSTAT4</t>
  </si>
  <si>
    <t>Employment status (4-point scale)</t>
  </si>
  <si>
    <t>EMPLSTATd4</t>
  </si>
  <si>
    <t>Employment status (dichotomous)</t>
  </si>
  <si>
    <t>PROPWORK_Q</t>
  </si>
  <si>
    <t xml:space="preserve">Quartile for the proportion of working years at this school </t>
  </si>
  <si>
    <t>TCWKLOAD_Q</t>
  </si>
  <si>
    <t>Quartile for weekly teacher workload</t>
  </si>
  <si>
    <t>OTT2</t>
  </si>
  <si>
    <t>Originally trained teacher, broad definition</t>
  </si>
  <si>
    <t>NTEACH1 - 13</t>
  </si>
  <si>
    <t>Trained to teach certain subjects</t>
  </si>
  <si>
    <t>STTMG1 - 13</t>
  </si>
  <si>
    <t>Subject-specific overlap between initial education and teaching the modal grade</t>
  </si>
  <si>
    <t>TC045Q1 - 23</t>
  </si>
  <si>
    <t>Content overlap initial education and professional development</t>
  </si>
  <si>
    <t>ICTSCIETC</t>
  </si>
  <si>
    <t>Use of digital resources for Science</t>
  </si>
  <si>
    <t>Learning about cooperation with parents/guardians</t>
  </si>
  <si>
    <t>Need for professional development</t>
  </si>
  <si>
    <t>Positive leadership perceptions</t>
  </si>
  <si>
    <t xml:space="preserve">Exchange and co-ordination for teaching </t>
  </si>
  <si>
    <t xml:space="preserve">Teacher use of ICT </t>
  </si>
  <si>
    <t>Teacher’s self-efficacy inmaintaining positive relationships with students</t>
  </si>
  <si>
    <t>Teacher’s self-efficacy in instructional settings</t>
  </si>
  <si>
    <t xml:space="preserve">Teacher’s self-efficacy in classroom management </t>
  </si>
  <si>
    <t>Teachers' enjoyment of broad science</t>
  </si>
  <si>
    <t>Teachers' positive perceptions of digitial resources</t>
  </si>
  <si>
    <t>Science activities with students</t>
  </si>
  <si>
    <t>Use of formative assessments</t>
  </si>
  <si>
    <t>Teachers' encouragement of students</t>
  </si>
  <si>
    <t xml:space="preserve">Teachers' self-efficacy related to teaching science content </t>
  </si>
  <si>
    <t>Teachers' confidence in explaining science content</t>
  </si>
  <si>
    <t>Digital resource use in science teaching</t>
  </si>
  <si>
    <t>Disciplinary climate in science</t>
  </si>
  <si>
    <t>Teachers' beliefs concerning learning growth</t>
  </si>
  <si>
    <t xml:space="preserve">Science teacher collaboration </t>
  </si>
  <si>
    <t>Parents/guardians' involvement in science learning</t>
  </si>
  <si>
    <t>Teachers' beliefs about the nature of science</t>
  </si>
  <si>
    <t>Teachers' participation in environment-related activities</t>
  </si>
  <si>
    <t>Teachers' environmental awareness</t>
  </si>
  <si>
    <t>ISCED Level 8 </t>
  </si>
  <si>
    <t>Assign this score if “Yes” to item TC210Q07JA </t>
  </si>
  <si>
    <t>ISCED level 7 </t>
  </si>
  <si>
    <t>Assign this score if “No” to item TC210Q07JA and “Yes” to item TC210Q06JA </t>
  </si>
  <si>
    <t>ISCED Level 6 </t>
  </si>
  <si>
    <t>Assign this score if “No” to item TC210Q07JA and TC210Q06JA and “Yes” to item TC210Q05JA </t>
  </si>
  <si>
    <t>ISCED Level 5 </t>
  </si>
  <si>
    <t>Assign this score if “No” to item TC210Q07JA and TC210Q06JA and TC210Q05JA and “Yes” to item TC210Q04JA </t>
  </si>
  <si>
    <t>ISCED Level 4 </t>
  </si>
  <si>
    <t>Assign this score if “No” to item TC210Q07JA and TC210Q06JA and TC210Q05JA and TC210Q04JA and “Yes” to item TC210Q03JA </t>
  </si>
  <si>
    <t>ISCED Level 3.4 </t>
  </si>
  <si>
    <t>Assign this score if “No” to item TC210Q07JA and TC210Q06JA and TC210Q05JA and TC210Q04JA and TC210Q03JA and “Yes” to item TC210Q02JA </t>
  </si>
  <si>
    <t>ISCED Level 3.3 </t>
  </si>
  <si>
    <t>Assign this score if “No” to item TC210Q07JA and TC210Q06JA and TC210Q05JA and TC210Q04JA and TC210Q03JA and TC210Q02JA and “Yes” to item TC210Q01JA </t>
  </si>
  <si>
    <t>Less than ISCED Level 3.3 </t>
  </si>
  <si>
    <t>Assign this score if “No” to items 1-7 in this question </t>
  </si>
  <si>
    <t>TC046Q04NA</t>
  </si>
  <si>
    <t>How often: Exchange teaching materials with colleagues</t>
  </si>
  <si>
    <t>TC046Q05NA</t>
  </si>
  <si>
    <t>How often: Engage in discussions about the learning development of specific students</t>
  </si>
  <si>
    <t>TC046Q06NA</t>
  </si>
  <si>
    <t>How often: Work with other teachers in my school to ensure common standards in evaluations for assessing student progress</t>
  </si>
  <si>
    <t>TC046Q07NA</t>
  </si>
  <si>
    <t>How often: Attend team conferences</t>
  </si>
  <si>
    <t>TC046Q08DA</t>
  </si>
  <si>
    <t>How often: Share good practices about teaching with &lt;digital resources&gt;</t>
  </si>
  <si>
    <t>TC185Q01HA</t>
  </si>
  <si>
    <t>Degree you need professional development in: Knowledge and understanding of my subject field(s)</t>
  </si>
  <si>
    <t>TC185Q02HA</t>
  </si>
  <si>
    <t>Degree you need professional development in: Pedagogical competencies in teaching my subject field(s)</t>
  </si>
  <si>
    <t>TC185Q04HA</t>
  </si>
  <si>
    <t>Degree you need professional development in: Student assessment practices</t>
  </si>
  <si>
    <t>TC185Q05HA</t>
  </si>
  <si>
    <t>Degree you need professional development in: ICT (information and communication technology) skills for teaching</t>
  </si>
  <si>
    <t>TC185Q06HA</t>
  </si>
  <si>
    <t>Degree you need professional development in: Student behaviour and classroom management</t>
  </si>
  <si>
    <t>TC185Q08HA</t>
  </si>
  <si>
    <t>Degree you need professional development in: Approaches to individualised learning</t>
  </si>
  <si>
    <t>TC185Q09HA</t>
  </si>
  <si>
    <t>Degree you need professional development in: Teaching students with special needs</t>
  </si>
  <si>
    <t>TC185Q10HA</t>
  </si>
  <si>
    <t>Degree you need professional development in: Teaching in a multicultural or multilingual setting</t>
  </si>
  <si>
    <t>TC185Q14HA</t>
  </si>
  <si>
    <t>Degree you need professional development in: Use of evaluation results</t>
  </si>
  <si>
    <t>TC185Q15HA</t>
  </si>
  <si>
    <t>Degree you need professional development in: Teacher-parent co-operation</t>
  </si>
  <si>
    <t>TC185Q18HA</t>
  </si>
  <si>
    <t>Degree you need professional development in: Teaching about equity and diversity</t>
  </si>
  <si>
    <t>TC185Q21DA</t>
  </si>
  <si>
    <t>Degree you need professional development in: Teaching self-regulated learning skills</t>
  </si>
  <si>
    <t>TC185Q22DA</t>
  </si>
  <si>
    <t>Degree you need professional development in: Education for &lt;sustainable development / environmental science&gt;</t>
  </si>
  <si>
    <t>TC185Q23DA</t>
  </si>
  <si>
    <t>Degree you need professional development in: Teaching of critical thinking skills</t>
  </si>
  <si>
    <t>TC185Q24DA</t>
  </si>
  <si>
    <t>Degree you need professional development in: Artificial Intelligence chatbots (e.g. &lt;ChatGPT&gt;, &lt;Google Bard&gt;)</t>
  </si>
  <si>
    <t>TC199Q04HA</t>
  </si>
  <si>
    <t>In your teaching, extent you can: Control disruptive behaviour in the classroom</t>
  </si>
  <si>
    <t>TC199Q06HA</t>
  </si>
  <si>
    <t>In your teaching, extent you can: Make my expectations about student behaviour clear</t>
  </si>
  <si>
    <t>TC199Q08HA</t>
  </si>
  <si>
    <t>In your teaching, extent you can: Get students to follow classroom rules</t>
  </si>
  <si>
    <t>TC199Q09HA</t>
  </si>
  <si>
    <t>In your teaching, extent you can: Calm a student who is disruptive or noisy</t>
  </si>
  <si>
    <t>TC199Q03HA</t>
  </si>
  <si>
    <t>In your teaching, extent you can: Craft good questions for my students</t>
  </si>
  <si>
    <t>TC199Q10HA</t>
  </si>
  <si>
    <t>In your teaching, extent you can: Use a variety of assessment strategies</t>
  </si>
  <si>
    <t>TC199Q11HA</t>
  </si>
  <si>
    <t>In your teaching, extent you can: Provide an alternative explanation for example when students are confused</t>
  </si>
  <si>
    <t>TC199Q12HA</t>
  </si>
  <si>
    <t>In your teaching, extent you can: Implement alternative instructional strategies in my classroom</t>
  </si>
  <si>
    <t>TC199Q13DA</t>
  </si>
  <si>
    <t>In your teaching, extent you can: Teach students how to learn more effectively on their own</t>
  </si>
  <si>
    <t>TC199Q14DA</t>
  </si>
  <si>
    <t>In your teaching, extent you can: ITeach students how to learn more effectively with &lt;digital resources&gt;</t>
  </si>
  <si>
    <t>TC199Q01HA</t>
  </si>
  <si>
    <t>In your teaching, extent you can: Get students to believe they can do well in school work</t>
  </si>
  <si>
    <t>TC199Q02HA</t>
  </si>
  <si>
    <t>In your teaching, extent you can: Help my students value learning</t>
  </si>
  <si>
    <t>TC199Q05HA</t>
  </si>
  <si>
    <t>In your teaching, extent you can: Motivate students who show low interest in school work</t>
  </si>
  <si>
    <t>TC199Q07HA</t>
  </si>
  <si>
    <t>In your teaching, extent you can: Help students think critically</t>
  </si>
  <si>
    <t>TC220Q02JA</t>
  </si>
  <si>
    <t>How often: Use [digital resources] to design tasks</t>
  </si>
  <si>
    <t>TC220Q04JA</t>
  </si>
  <si>
    <t>How often: Use [digital resources] to explore NEW teaching methods</t>
  </si>
  <si>
    <t>TC220Q06JA</t>
  </si>
  <si>
    <t>How often: Use [digital resources] to enable student collaboration</t>
  </si>
  <si>
    <t>TC220Q07JA</t>
  </si>
  <si>
    <t>How often: Use [digital resources] to provide feedback to students</t>
  </si>
  <si>
    <t>TC220Q10JA</t>
  </si>
  <si>
    <t>How often: Use online tools or computer-based testing to assess students' learning</t>
  </si>
  <si>
    <t>TC220Q11JA</t>
  </si>
  <si>
    <t>How often: Use [digital resources] to share ideas or resources with colleagues</t>
  </si>
  <si>
    <t>TC220Q14DA</t>
  </si>
  <si>
    <t>How often: Use digital learning games (e.g. &lt;Atlantis Remixed&gt;, &lt;Duolingo®&gt;) as teaching materials</t>
  </si>
  <si>
    <t>TC220Q15DA</t>
  </si>
  <si>
    <t>How often: Use Artificial Intelligence chatbots (e.g. &lt;ChatGPT&gt;, &lt;Google Bard&gt;) to prepare lessons</t>
  </si>
  <si>
    <t>TC033Q04NA</t>
  </si>
  <si>
    <t>Extent of confidence: Design experiments and hands-on activities for &lt;inquiry-based learning&gt;</t>
  </si>
  <si>
    <t>TC033Q05NA</t>
  </si>
  <si>
    <t>Extent of confidence: Assign tailored tasks to the weakest as well as to the best students</t>
  </si>
  <si>
    <t>TC033Q06NA</t>
  </si>
  <si>
    <t>Extent of confidence: Use a variety of assessment strategies</t>
  </si>
  <si>
    <t>TC033Q08NA</t>
  </si>
  <si>
    <t>Extent of confidence: Facilitate a discussion among students on how to interpret experimental findings</t>
  </si>
  <si>
    <t>TC409Q01DA</t>
  </si>
  <si>
    <t>Extent of learning: During teacher training as a specific topic</t>
  </si>
  <si>
    <t>TC409Q02DA</t>
  </si>
  <si>
    <t>Extent of learning: During teacher training when it was integrated within teaching topics</t>
  </si>
  <si>
    <t>TC409Q03DA</t>
  </si>
  <si>
    <t>Extent of learning: During professional development workshops</t>
  </si>
  <si>
    <t>TC409Q04DA</t>
  </si>
  <si>
    <t>Extent of learning: During my daily teaching practice</t>
  </si>
  <si>
    <t>TC409Q05DA</t>
  </si>
  <si>
    <t>Extent of learning: During discussions with more experienced teaching colleagues</t>
  </si>
  <si>
    <t>TC407Q01DA</t>
  </si>
  <si>
    <t>Disagree/agree: My &lt;leadership team&gt; always explains their decisions.</t>
  </si>
  <si>
    <t>TC407Q02DA</t>
  </si>
  <si>
    <t>Disagree/agree: The &lt;leadership team&gt; always puts teaching and learning at the forefront of their decisions.</t>
  </si>
  <si>
    <t>TC407Q03DA</t>
  </si>
  <si>
    <t>Disagree/agree: I feel supported in my teaching and learning by my &lt;leadership team&gt;.</t>
  </si>
  <si>
    <t>TC407Q04DA</t>
  </si>
  <si>
    <t>Disagree/agree: My &lt;leadership team&gt; has defined their shared expectations of staff and students.</t>
  </si>
  <si>
    <t>TC407Q05DA</t>
  </si>
  <si>
    <t>Disagree/agree: My &lt;leadership team&gt; uses resources strategically to build teaching and learning capabilities.</t>
  </si>
  <si>
    <t>TC407Q06DA</t>
  </si>
  <si>
    <t>Disagree/agree: My &lt;leadership team&gt; promotes a positive school learning environment.</t>
  </si>
  <si>
    <t>TC407Q07DA</t>
  </si>
  <si>
    <t>Disagree/agree: My &lt;leadership team&gt; both participates and encourages teachers to develop their leadership skills and knowledge.</t>
  </si>
  <si>
    <t>TC419Q01DA</t>
  </si>
  <si>
    <t>Disagree/agree: I enjoy learning &lt;broad science&gt; topics.</t>
  </si>
  <si>
    <t>TC419Q02DA</t>
  </si>
  <si>
    <t>Disagree/agree: I enjoy teaching &lt;broad science&gt; topics.</t>
  </si>
  <si>
    <t>TC419Q03DA</t>
  </si>
  <si>
    <t>Disagree/agree: I like reading about &lt;broad science&gt;.</t>
  </si>
  <si>
    <t>TC419Q05DA</t>
  </si>
  <si>
    <t>TC426Q01DA</t>
  </si>
  <si>
    <t>Disagree/agree: I &lt;Digital resources&gt; increase student engagement.</t>
  </si>
  <si>
    <t>TC426Q02DA</t>
  </si>
  <si>
    <t>Disagree/agree: I &lt;Digital resources&gt; let students access more sources of information.</t>
  </si>
  <si>
    <t>TC426Q03DA</t>
  </si>
  <si>
    <t>Disagree/agree: I &lt;Digital resources&gt; promote collaboration among students.</t>
  </si>
  <si>
    <t>TC426Q04DA</t>
  </si>
  <si>
    <t>Disagree/agree: I &lt;Digital resources&gt; improve communication with the students.</t>
  </si>
  <si>
    <t>TC426Q05DA</t>
  </si>
  <si>
    <t>Disagree/agree: I &lt;Digital resources&gt; are useful to monitor students’ learning and reasoning processes.</t>
  </si>
  <si>
    <t>TC426Q06DA</t>
  </si>
  <si>
    <t>Disagree/agree: I &lt;Digital resources&gt; help better assess students’ skills.</t>
  </si>
  <si>
    <t>TC426Q09DA</t>
  </si>
  <si>
    <t>Disagree/agree: I &lt;Digital resources&gt; help students grasp complex concepts through multimedia presentations (e.g. simulations, virtual reality).</t>
  </si>
  <si>
    <t>TC408Q01DA</t>
  </si>
  <si>
    <t>How often: Take students on an excursion to visit museums that include science related displays (e.g. natural history, space)</t>
  </si>
  <si>
    <t>TC408Q03DA</t>
  </si>
  <si>
    <t>How often: Organise visits with scientists to work with students</t>
  </si>
  <si>
    <t>TC408Q04DA</t>
  </si>
  <si>
    <t>How often: Work with students to grow a school garden</t>
  </si>
  <si>
    <t>TC408Q05DA</t>
  </si>
  <si>
    <t>How often: Take students to visit zoos, aquariums, or other wildlife centres</t>
  </si>
  <si>
    <t>TC408Q06DA</t>
  </si>
  <si>
    <t>How often: Run a science club outside of set class times</t>
  </si>
  <si>
    <t>TC415Q03DA</t>
  </si>
  <si>
    <t>How often: I have individual students answer questions in front of the class.</t>
  </si>
  <si>
    <t>TC415Q04DA</t>
  </si>
  <si>
    <t>How often: I provide written feedback on student work in addition to a &lt;mark, i.e. numeric score or letter grade&gt;.</t>
  </si>
  <si>
    <t>TC415Q05DA</t>
  </si>
  <si>
    <t>How often: I let students judge their own progress.</t>
  </si>
  <si>
    <t>TC415Q06DA</t>
  </si>
  <si>
    <t>How often: I observe students when working on particular tasks and provide immediate feedback.</t>
  </si>
  <si>
    <t>TC415Q07DA</t>
  </si>
  <si>
    <t>How often: I collect data from classroom assignments or homework.</t>
  </si>
  <si>
    <t>TC415Q08DA</t>
  </si>
  <si>
    <t>How often: I let students assess each other’s work.</t>
  </si>
  <si>
    <t>TC415Q09DA</t>
  </si>
  <si>
    <t>How often: I carry out assessments at the beginning of a topic to evaluate prior learning.</t>
  </si>
  <si>
    <t>TC415Q10DA</t>
  </si>
  <si>
    <t>How often: I give students short written assessments whilst teaching a topic.</t>
  </si>
  <si>
    <t>TC415Q11DA</t>
  </si>
  <si>
    <t>How often: I ask my students to write reflections about their learning at the end of each lesson.</t>
  </si>
  <si>
    <t>TC417Q01DA</t>
  </si>
  <si>
    <t>How often: Tell students that making mistakes is part of the learning process</t>
  </si>
  <si>
    <t>TC417Q03DA</t>
  </si>
  <si>
    <t>How often: Praise students who put in the effort to reach a goal</t>
  </si>
  <si>
    <t>TC417Q04DA</t>
  </si>
  <si>
    <t>How often: Ask students to develop learning goals for science</t>
  </si>
  <si>
    <t>TC417Q06DA</t>
  </si>
  <si>
    <t>How often: Allow students to skip a task if you feel they do not have the ability to undertake it</t>
  </si>
  <si>
    <t>TC417Q07DA</t>
  </si>
  <si>
    <t>How often: Build the confidence of all students in the class regardless of abilities</t>
  </si>
  <si>
    <t>TC417Q09DA</t>
  </si>
  <si>
    <t>How often: Give feedback on student’s strengths in science</t>
  </si>
  <si>
    <t>TC417Q10DA</t>
  </si>
  <si>
    <t>How often: Tell students in which areas they can still improve</t>
  </si>
  <si>
    <t>TC417Q11DA</t>
  </si>
  <si>
    <t>How often: Provide feedback on how students can improve their performance</t>
  </si>
  <si>
    <t>TC034Q01NA</t>
  </si>
  <si>
    <t>How often: Explain a complex scientific concept to a fellow teacher</t>
  </si>
  <si>
    <t>TC034Q06NA</t>
  </si>
  <si>
    <t>How often: Explain the links between biology, physics and chemistry</t>
  </si>
  <si>
    <t>TC034Q09DA</t>
  </si>
  <si>
    <t>How often: Explain the causes of climate change</t>
  </si>
  <si>
    <t>TC034Q10DA</t>
  </si>
  <si>
    <t>How often: Explain the effects of climate change</t>
  </si>
  <si>
    <t>TC428Q01DA</t>
  </si>
  <si>
    <t>How often: Use &lt;digital resources&gt; to make students observe a natural system or phenomenon</t>
  </si>
  <si>
    <t>TC428Q04DA</t>
  </si>
  <si>
    <t>How often: Use &lt;digital resources&gt; to collect, record, and analyse data</t>
  </si>
  <si>
    <t>TC428Q05DA</t>
  </si>
  <si>
    <t>How often: Use &lt;digital resources&gt; for simulations and modelling (e.g. &lt;GeoGebra&gt;, &lt;NetLogo&gt;)</t>
  </si>
  <si>
    <t>TC428Q07DA</t>
  </si>
  <si>
    <t>How often: Use &lt;digital resources&gt; for coding or algorithm activities (e.g. &lt;Scratch&gt;, etc.)</t>
  </si>
  <si>
    <t>TC414Q01DA</t>
  </si>
  <si>
    <t>How often: Many students don’t listen to what I say.</t>
  </si>
  <si>
    <t>TC414Q02DA</t>
  </si>
  <si>
    <t>TC414Q03DA</t>
  </si>
  <si>
    <t>How often: I have to wait a long time for students to quiet down.</t>
  </si>
  <si>
    <t>TC414Q04DA</t>
  </si>
  <si>
    <t>TC414Q05DA</t>
  </si>
  <si>
    <t>How often: Students don’t start working for a long time after the lesson begins.</t>
  </si>
  <si>
    <t>TC414Q06DA</t>
  </si>
  <si>
    <t>How often: Students get distracted by using &lt;digital resources&gt; (e.g. smartphones, web sites, apps).</t>
  </si>
  <si>
    <t>TC414Q08DA</t>
  </si>
  <si>
    <t>How often: Students use scientific equipment inappropriately.</t>
  </si>
  <si>
    <t>TC414Q09DA</t>
  </si>
  <si>
    <t>How often: A student's misbehaviour prevents the student from doing practical work</t>
  </si>
  <si>
    <t>TC418Q03DA</t>
  </si>
  <si>
    <t>Disagree/agree: My students can all reach their goals with the right amount of support.</t>
  </si>
  <si>
    <t>TC418Q05DA</t>
  </si>
  <si>
    <t>Disagree/agree: My students can all succeed.</t>
  </si>
  <si>
    <t>TC418Q07DA</t>
  </si>
  <si>
    <t>Disagree/agree: My students feel comfortable taking risks.</t>
  </si>
  <si>
    <t>TC418Q08DA</t>
  </si>
  <si>
    <t>Disagree/agree: My students are very supportive of each other.</t>
  </si>
  <si>
    <t>TC411Q04DA</t>
  </si>
  <si>
    <t>How often: We discuss the achievement requirements for &lt;school science&gt; when setting tests.</t>
  </si>
  <si>
    <t>TC411Q13DA</t>
  </si>
  <si>
    <t>How often: We exchange tasks for lessons and homework that cover a range of different levels of difficulty.</t>
  </si>
  <si>
    <t>TC411Q14DA</t>
  </si>
  <si>
    <t>How often: I prepare a selection of teaching units with my fellow &lt;school science&gt; teachers.</t>
  </si>
  <si>
    <t>TC411Q15DA</t>
  </si>
  <si>
    <t>How often: We discuss ways to teach learning strategies and techniques to our students.</t>
  </si>
  <si>
    <t>TC411Q20DA</t>
  </si>
  <si>
    <t>How often: We discuss ways to better identify students' individual strengths and weaknesses.</t>
  </si>
  <si>
    <t>TC411Q21DA</t>
  </si>
  <si>
    <t>How often: We observe each other’s classes to improve the quality of our teaching</t>
  </si>
  <si>
    <t>TC411Q22DA</t>
  </si>
  <si>
    <t>How often: We demonstrate the use of scientific equipment to each other</t>
  </si>
  <si>
    <t>TC411Q24DA</t>
  </si>
  <si>
    <t>How often: We discuss how to teach environmental issues</t>
  </si>
  <si>
    <t>TC411Q25DA</t>
  </si>
  <si>
    <t>How often: We discuss the teaching of scientific practices</t>
  </si>
  <si>
    <t>TC410Q02DA</t>
  </si>
  <si>
    <t>How often: Providing general assistance to the class during science-based excursions and when science experts visit the school</t>
  </si>
  <si>
    <t>TC410Q03DA</t>
  </si>
  <si>
    <t>How often: Discussing their child’s science academic performance with you</t>
  </si>
  <si>
    <t>TC410Q05DA</t>
  </si>
  <si>
    <t>How often: Discussing how they can support their child’s future career in science with you</t>
  </si>
  <si>
    <t>TC410Q06DA</t>
  </si>
  <si>
    <t>How often: Discussing how to help their child with their science work at home with you</t>
  </si>
  <si>
    <t>TC410Q07DA</t>
  </si>
  <si>
    <t>How often: Discussing concerns with science curriculum content</t>
  </si>
  <si>
    <t>TC410Q08DA</t>
  </si>
  <si>
    <t>How often: Attending formal parent or guardian teacher interviews</t>
  </si>
  <si>
    <t>TC420Q02DA</t>
  </si>
  <si>
    <t>TC420Q03DA</t>
  </si>
  <si>
    <t>Disagree/agree: It is good to try experiments more than once to make sure of your findings.</t>
  </si>
  <si>
    <t>TC420Q05DA</t>
  </si>
  <si>
    <t>Disagree/agree: It is good to have a hypothesis or question before starting an experiment.</t>
  </si>
  <si>
    <t>TC420Q06DA</t>
  </si>
  <si>
    <t>Disagree/agree: &lt;Broad science&gt; uses models to help develop theories about the world</t>
  </si>
  <si>
    <t>TC420Q10DA</t>
  </si>
  <si>
    <t>TC420Q11DA</t>
  </si>
  <si>
    <t>Disagree/agree: In &lt;broad science&gt;, there can be more than one way for scientists to test their ideas.</t>
  </si>
  <si>
    <t>TC420Q12DA</t>
  </si>
  <si>
    <t>TC420Q15DA</t>
  </si>
  <si>
    <t>Disagree/agree: It is important for scientists to have other scientists in their field of expertise to support the findings of their work.</t>
  </si>
  <si>
    <t>TC424Q01DA</t>
  </si>
  <si>
    <t>How often: Joined a peaceful march or rally related to an environmental issue</t>
  </si>
  <si>
    <t>TC424Q03DA</t>
  </si>
  <si>
    <t>How often: Posted concerns about an environmental issue on social media</t>
  </si>
  <si>
    <t>TC424Q06DA</t>
  </si>
  <si>
    <t>How often: Made purchases based on how sustainable the products are</t>
  </si>
  <si>
    <t>TC424Q12DA</t>
  </si>
  <si>
    <t>How often: Stopped eating certain foods to minimize some impacts on the environment</t>
  </si>
  <si>
    <t>TC424Q14DA</t>
  </si>
  <si>
    <t>How often: Discussed with friends and family how to have a positive impact on the environment</t>
  </si>
  <si>
    <t>TC421Q01DA</t>
  </si>
  <si>
    <t>How informed: The increase of greenhouse gases in the atmosphere</t>
  </si>
  <si>
    <t>TC421Q02DA</t>
  </si>
  <si>
    <t>How informed: The effects of sea levels rise</t>
  </si>
  <si>
    <t>TC421Q03DA</t>
  </si>
  <si>
    <t>How informed: The use of genetically modified organisms (&lt;GMO&gt;)</t>
  </si>
  <si>
    <t>TC421Q04DA</t>
  </si>
  <si>
    <t>How informed: Nuclear waste</t>
  </si>
  <si>
    <t>TC421Q05DA</t>
  </si>
  <si>
    <t>How informed: The consequences of clearing forests for other land use</t>
  </si>
  <si>
    <t>TC421Q06DA</t>
  </si>
  <si>
    <t>How informed: Air pollution</t>
  </si>
  <si>
    <t>TC421Q07DA</t>
  </si>
  <si>
    <t>How informed: Energy shortages</t>
  </si>
  <si>
    <t>TC421Q08DA</t>
  </si>
  <si>
    <t>How informed: Extinction of plants and animals</t>
  </si>
  <si>
    <t>TC421Q09DA</t>
  </si>
  <si>
    <t>How informed: Loss of biodiversity</t>
  </si>
  <si>
    <t>TC421Q10DA</t>
  </si>
  <si>
    <t>How informed: Water shortages</t>
  </si>
  <si>
    <t>TC421Q11DA</t>
  </si>
  <si>
    <t>How informed: Water pollution</t>
  </si>
  <si>
    <t>TC421Q12DA</t>
  </si>
  <si>
    <t>How informed: Effects of plastic pollution</t>
  </si>
  <si>
    <t>TC421Q13DA</t>
  </si>
  <si>
    <t>How informed: Causes of food waste</t>
  </si>
  <si>
    <t>TC421Q14DA</t>
  </si>
  <si>
    <t>How informed: Advantages of renewable energy</t>
  </si>
  <si>
    <t>PT1ENG</t>
  </si>
  <si>
    <t>English language proficiency parent/guardian 1</t>
  </si>
  <si>
    <t>PT2ENG</t>
  </si>
  <si>
    <t>English language proficiency parent/guardian 2</t>
  </si>
  <si>
    <t>LANGNFL</t>
  </si>
  <si>
    <t>ENLRNAGE</t>
  </si>
  <si>
    <t>Starting age for English studies</t>
  </si>
  <si>
    <t>LANGLESS</t>
  </si>
  <si>
    <t>Number of lessons in foreign languages</t>
  </si>
  <si>
    <t>SUBJSENG</t>
  </si>
  <si>
    <t>Number of subjects taught in English</t>
  </si>
  <si>
    <t>Heritage language proficiency</t>
  </si>
  <si>
    <t>Anxiety towards English language learning</t>
  </si>
  <si>
    <t>Expectations to use English in the future</t>
  </si>
  <si>
    <t xml:space="preserve">Cronbach's alpha for the IRT scales in the FLA Student Questionnaire </t>
  </si>
  <si>
    <t xml:space="preserve">Number of items with international parameters for the IRT scales in the FLA Student Questionnaire </t>
  </si>
  <si>
    <t xml:space="preserve">Number of trend items with international parameters for the trend IRT scales in the FLA Student Questionnaire </t>
  </si>
  <si>
    <t xml:space="preserve">Countries/economies for which the scale scores were suppressed for the IRT scales in the FLA Student Questionnaire </t>
  </si>
  <si>
    <t>Belgium (Flemish)</t>
  </si>
  <si>
    <t>Czechia</t>
  </si>
  <si>
    <t>Portugal</t>
  </si>
  <si>
    <t>Sweden</t>
  </si>
  <si>
    <t xml:space="preserve">Groups that did not administer the IRT scales in the FLA Student Questionnaire </t>
  </si>
  <si>
    <t>Israel - Haredi*</t>
  </si>
  <si>
    <t>ST480FLQ01DA</t>
  </si>
  <si>
    <t>How confident: Speak with friends or family</t>
  </si>
  <si>
    <t>ST480FLQ02DA</t>
  </si>
  <si>
    <t>How confident: Understand what people say to each other</t>
  </si>
  <si>
    <t>ST480FLQ04DA</t>
  </si>
  <si>
    <t>How confident: Ask for practical information (e.g. directions to or time and place of a festival)</t>
  </si>
  <si>
    <t>ST480FLQ05DA</t>
  </si>
  <si>
    <t>How confident: Read about an event (e.g. a festival or a sport match) from a website or newspaper</t>
  </si>
  <si>
    <t>ST480FLQ06DA</t>
  </si>
  <si>
    <t>How confident: Write a message (e.g. chat, email or letter) to friends or family</t>
  </si>
  <si>
    <t>ST247FLQ02DA</t>
  </si>
  <si>
    <t>Disagree/agree: I am afraid to make grammar mistakes when speaking &lt;English²&gt;.</t>
  </si>
  <si>
    <t>ST247FLQ03DA</t>
  </si>
  <si>
    <t>Disagree/agree: I get nervous when Disagree/agree: I have to speak &lt;English²&gt;</t>
  </si>
  <si>
    <t>ST247FLQ05DA</t>
  </si>
  <si>
    <t>Disagree/agree: I get nervous when Disagree/agree: I am listening to someone speaking &lt;English²&gt;.</t>
  </si>
  <si>
    <t>ST247FLQ06DA</t>
  </si>
  <si>
    <t>Disagree/agree: I get nervous when trying to understand a text in &lt;English²&gt;.</t>
  </si>
  <si>
    <t>ST247FLQ07DA</t>
  </si>
  <si>
    <t>Disagree/agree: I get tense when Disagree/agree: I have to write in &lt;English²&gt;.</t>
  </si>
  <si>
    <t>ST247FLQ08DA</t>
  </si>
  <si>
    <t>Disagree/agree: I worry that my &lt;English²&gt; pronunciation is wrong.</t>
  </si>
  <si>
    <t>ST247FLQ09DA</t>
  </si>
  <si>
    <t>Disagree/agree: I worry that Disagree/agree: I use the wrong words when speaking &lt;English²&gt;.</t>
  </si>
  <si>
    <t>ST135FLQ02DA</t>
  </si>
  <si>
    <t>How likely to: Interact with locals in &lt;English²&gt; while travelling</t>
  </si>
  <si>
    <t>ST135FLQ03DA</t>
  </si>
  <si>
    <t>How likely to: Use &lt;English²&gt; to communicate with people from all over the world</t>
  </si>
  <si>
    <t>ST135FLQ05DA</t>
  </si>
  <si>
    <t>How likely to: Write and publish a text in &lt;English²&gt; (e.g. a post on social media or a newspaper article)</t>
  </si>
  <si>
    <t>ST135FLQ06DA</t>
  </si>
  <si>
    <t>How likely to: Move abroad to work or study in &lt;English²&gt;</t>
  </si>
  <si>
    <t>ST135FLQ07DA</t>
  </si>
  <si>
    <t>How likely to: Speak &lt;English²&gt; fluently with international friends or colleagues</t>
  </si>
  <si>
    <t>ST135FLQ08DA</t>
  </si>
  <si>
    <t>How likely to: Read books or magazines in &lt;English²&gt; about a topic you are passionate about</t>
  </si>
  <si>
    <t>ENCLSIZE</t>
  </si>
  <si>
    <t xml:space="preserve">English class size at school </t>
  </si>
  <si>
    <t>NHOMLANG</t>
  </si>
  <si>
    <t>Number of home languages</t>
  </si>
  <si>
    <t>Family support for English learning</t>
  </si>
  <si>
    <t>Parental use of English at work</t>
  </si>
  <si>
    <t>Parental satisfaction with English learning at school</t>
  </si>
  <si>
    <t>Parental perception of the importance of learning English</t>
  </si>
  <si>
    <t>Parental perceptions of own reading proficiency in English</t>
  </si>
  <si>
    <t xml:space="preserve">Cronbach's alpha for the IRT scales in the FLA Parent Questionnaire </t>
  </si>
  <si>
    <t xml:space="preserve">Number of items with international parameters for the IRT scales in the FLA Parent Questionnaire </t>
  </si>
  <si>
    <t xml:space="preserve">Number of trend items with international parameters for the trend IRT scales in the FLA Parent Questionnaire </t>
  </si>
  <si>
    <t>PA230FLQ01DA</t>
  </si>
  <si>
    <t>How often: Help my child with &lt;English¹&gt; homework</t>
  </si>
  <si>
    <t>PA230FLQ04DA</t>
  </si>
  <si>
    <t>How often: Watch movies, programmes or online videos in &lt;English²&gt; with my child (e.g. on television, online streaming services, &lt;YouTube®&gt;)</t>
  </si>
  <si>
    <t>PA230FLQ10DA</t>
  </si>
  <si>
    <t>How often: Talk to my child in &lt;English²&gt;</t>
  </si>
  <si>
    <t>PA230FLQ11DA</t>
  </si>
  <si>
    <t>How often: Help my child prepare for &lt;English¹&gt; school tests</t>
  </si>
  <si>
    <t>PA230FLQ13DA</t>
  </si>
  <si>
    <t>How often: Watch something in &lt;English²&gt; on a screen (with or without subtitles) together with my child</t>
  </si>
  <si>
    <t>PA236FLQ03DA</t>
  </si>
  <si>
    <t>I am satisfied with how &lt;English¹&gt; is taught at my child's school.</t>
  </si>
  <si>
    <t>PA236FLQ06DA</t>
  </si>
  <si>
    <t>I am satisfied with the amount of time my child spends learning &lt;English¹&gt; at school.</t>
  </si>
  <si>
    <t>PA236FLQ08DA</t>
  </si>
  <si>
    <t>I am satisfied with the quality of &lt;English¹&gt; lessons my child receives at school.</t>
  </si>
  <si>
    <t>PA295FLQ02DA</t>
  </si>
  <si>
    <t>Importance of English: For getting a good job</t>
  </si>
  <si>
    <t>PA295FLQ03DA</t>
  </si>
  <si>
    <t>Importance of English: For further education</t>
  </si>
  <si>
    <t>PA295FLQ06DA</t>
  </si>
  <si>
    <t>Importance of English: For using computers and other technical devices</t>
  </si>
  <si>
    <t>PA295FLQ07DA</t>
  </si>
  <si>
    <t>Importance of English: For personal development (e.g. courses for personal interest, reading for knowledge or pleasure)</t>
  </si>
  <si>
    <t>PA295FLQ08DA</t>
  </si>
  <si>
    <t>Importance of English: For communicating with people from different cultures</t>
  </si>
  <si>
    <t>PA225FLQ02DA</t>
  </si>
  <si>
    <t>Extent can (or could): Give a short description of very familiar topics (e.g. yourself, your family).</t>
  </si>
  <si>
    <t>PA225FLQ03DA</t>
  </si>
  <si>
    <t>Extent can (or could): Give a description of everyday topics (e.g. your hobbies, your work).</t>
  </si>
  <si>
    <t>PA225FLQ04DA</t>
  </si>
  <si>
    <t>Extent can (or could): Give a description of events and personal experiences (e.g. about your plans, a trip you took).</t>
  </si>
  <si>
    <t>PA225FLQ05DA</t>
  </si>
  <si>
    <t>Extent can (or could): Give an opinion on a current issue (e.g. on climate change, use of technology).</t>
  </si>
  <si>
    <t>PA225FLQ06DA</t>
  </si>
  <si>
    <t>Extent can (or could): Summarise ideas about a complex subject (e.g. in an oral summary or presentation)</t>
  </si>
  <si>
    <t>PA228FLQ01DA</t>
  </si>
  <si>
    <t>Extent can (or could): Understand words commonly used in everyday life (e.g. common street signs, posters, menus).</t>
  </si>
  <si>
    <t>PA228FLQ03DA</t>
  </si>
  <si>
    <t>Extent can (or could): Understand short simple texts with predictable information and on familiar subjects (e.g. invitations, basic instructions).</t>
  </si>
  <si>
    <t>PA228FLQ04DA</t>
  </si>
  <si>
    <t>Extent can (or could): Understand the main points in texts describing events and feelings (e.g. short news articles, personal emails).</t>
  </si>
  <si>
    <t>PA228FLQ05DA</t>
  </si>
  <si>
    <t>Extent can (or could): Understand longer texts in which the writers express their points of view (e.g. news articles, reports).</t>
  </si>
  <si>
    <t>PA228FLQ06DA</t>
  </si>
  <si>
    <t>Extent can (or could): Understand detailed information in longer and more complex texts related to your personal interests (e.g. books, subject specific articles).</t>
  </si>
  <si>
    <t>PA264FLQ01DA</t>
  </si>
  <si>
    <t>How often: Speak &lt;English²&gt; (e.g. giving presentations, participating in conversations).</t>
  </si>
  <si>
    <t>PA264FLQ02DA</t>
  </si>
  <si>
    <t>How often: Write in &lt;English²&gt; (e.g. writing emails, drafting reports).</t>
  </si>
  <si>
    <t>PA264FLQ03DA</t>
  </si>
  <si>
    <t>How often: Listen to spoken &lt;English²&gt; (e.g. videos, presentations, conversations).</t>
  </si>
  <si>
    <t>PA264FLQ04DA</t>
  </si>
  <si>
    <t>How often: Read in &lt;English²&gt; (e.g. reading emails or technical documents).</t>
  </si>
  <si>
    <t>TC007Q03DA_Q</t>
  </si>
  <si>
    <t>Quartile for number of year(s) in total working as a teacher of &lt;modern foreign languages&gt; other than &lt;English&gt;</t>
  </si>
  <si>
    <t>TC007Q04DA_Q</t>
  </si>
  <si>
    <t>Quartile for number of year(s) in total working as an &lt;English&gt; teacher</t>
  </si>
  <si>
    <t>TC007Q05DA_Q</t>
  </si>
  <si>
    <t>Quartile for number of years in total working as an&lt;English&gt; teacher in &lt;national modal grade for 15-year-olds&gt;</t>
  </si>
  <si>
    <t>Teacher self-efficacy for using English and motivating students in the classroom</t>
  </si>
  <si>
    <t xml:space="preserve">Teacher use of formative assessment in English lessons </t>
  </si>
  <si>
    <t>Job satisfaction among English teachers</t>
  </si>
  <si>
    <t>Teacher use of English outside the classroom</t>
  </si>
  <si>
    <t xml:space="preserve">Cronbach's alpha for the IRT scales in the FLA Teacher Questionnaire </t>
  </si>
  <si>
    <t xml:space="preserve">Number of items with international parameters for the IRT scales in the FLA Teacher Questionnaire </t>
  </si>
  <si>
    <t xml:space="preserve">Number of trend items with international parameters for the trend IRT scales in the FLA Teacher Questionnaire </t>
  </si>
  <si>
    <t xml:space="preserve">Countries/economies for which the scale scores were suppressed for the IRT scales in the FLA Teacher Questionnaire </t>
  </si>
  <si>
    <t>TC114FLQ03DA</t>
  </si>
  <si>
    <t>Disagree/agree: All in all, I am satisfied with my job.</t>
  </si>
  <si>
    <t>TC114FLQ05DA</t>
  </si>
  <si>
    <t>Disagree/agree: I enjoy teaching &lt;English¹&gt;.</t>
  </si>
  <si>
    <t>TC114FLQ06DA</t>
  </si>
  <si>
    <t>Disagree/agree: The teaching of the &lt;English²&gt; language is valued in society.</t>
  </si>
  <si>
    <t>TC114FLQ07DA</t>
  </si>
  <si>
    <t>Disagree/agree: The teaching of &lt;foreign languages²&gt; is valued in society.</t>
  </si>
  <si>
    <t>TC114FLQ08DA</t>
  </si>
  <si>
    <t>Disagree/agree: If I could choose again, I would still choose to become an &lt;English¹&gt; teacher.</t>
  </si>
  <si>
    <t>TC114FLQ10DA</t>
  </si>
  <si>
    <t>Disagree/agree: My students value learning &lt;foreign languages²&gt;.</t>
  </si>
  <si>
    <t>TC115FLQ02DA</t>
  </si>
  <si>
    <t>To what extent can: Help students communicate in &lt;English²&gt;</t>
  </si>
  <si>
    <t>TC115FLQ04DA</t>
  </si>
  <si>
    <t>To what extent can: Help students overcome their anxiety towards communicating in &lt;English²&gt;</t>
  </si>
  <si>
    <t>TC115FLQ05DA</t>
  </si>
  <si>
    <t>To what extent can: Get students to show an interest in &lt;English²&gt;</t>
  </si>
  <si>
    <t>TC115FLQ06DA</t>
  </si>
  <si>
    <t>To what extent can: Make students comfortable using &lt;English²&gt;</t>
  </si>
  <si>
    <t>TC115FLQ07DA</t>
  </si>
  <si>
    <t>To what extent can: Help students develop a positive attitude towards &lt;English²&gt;</t>
  </si>
  <si>
    <t>TC190FLQ01DA</t>
  </si>
  <si>
    <t>To what extent can: Explain tasks in &lt;English²&gt;</t>
  </si>
  <si>
    <t>TC190FLQ02DA</t>
  </si>
  <si>
    <t>To what extent can: Explain grammatical rules in &lt;English²&gt;</t>
  </si>
  <si>
    <t>TC190FLQ03DA</t>
  </si>
  <si>
    <t>To what extent can: Give students oral feedback in &lt;English²&gt;</t>
  </si>
  <si>
    <t>TC190FLQ05DA</t>
  </si>
  <si>
    <t>To what extent can: Tell students in &lt;English²&gt; what they have to do</t>
  </si>
  <si>
    <t>TC190FLQ07DA</t>
  </si>
  <si>
    <t>To what extent can: Respond in &lt;English²&gt; to students' questions on the lesson's contents</t>
  </si>
  <si>
    <t>TC190FLQ08DA</t>
  </si>
  <si>
    <t>To what extent can: Manage students' behaviour in &lt;English²&gt;</t>
  </si>
  <si>
    <t>TC111FLQ01DA</t>
  </si>
  <si>
    <t>How often use English for: Face-to-face communication with my friends in my country</t>
  </si>
  <si>
    <t>TC111FLQ02DA</t>
  </si>
  <si>
    <t>How often use English for: Face-to-face communication during a stay abroad</t>
  </si>
  <si>
    <t>TC111FLQ04DA</t>
  </si>
  <si>
    <t>How often use English for: Face-to-face communication with other people in my country</t>
  </si>
  <si>
    <t>TC111FLQ05DA</t>
  </si>
  <si>
    <t>How often use English for: Face-to-face communication during a tourist visit to another country</t>
  </si>
  <si>
    <t>TC111FLQ06DA</t>
  </si>
  <si>
    <t>How often use English for: Remote spoken interaction (e.g. by phone or conference call)</t>
  </si>
  <si>
    <t>TC111FLQ07DA</t>
  </si>
  <si>
    <t>How often use English for: Written communication (e.g. by mail or online chat)</t>
  </si>
  <si>
    <t>TC302FLQ01DA</t>
  </si>
  <si>
    <t>How often in assessment: I give students feedback on their strengths.</t>
  </si>
  <si>
    <t>TC302FLQ02DA</t>
  </si>
  <si>
    <t>How often in assessment: I tell students which areas they can improve on.</t>
  </si>
  <si>
    <t>TC302FLQ04DA</t>
  </si>
  <si>
    <t>How often in assessment: I ask students to give feedback on each other's work.</t>
  </si>
  <si>
    <t>TC302FLQ05DA</t>
  </si>
  <si>
    <t>How often in assessment: I ask students to evaluate their own abilities and performance.</t>
  </si>
  <si>
    <t>TC302FLQ06DA</t>
  </si>
  <si>
    <t>How often in assessment: I ask students to set their own learning goals.</t>
  </si>
  <si>
    <t>TC302FLQ07DA</t>
  </si>
  <si>
    <t>How often in assessment: I discuss with students individual action plans to improve their learning.</t>
  </si>
  <si>
    <t>INDEX</t>
  </si>
  <si>
    <t>ItemID</t>
  </si>
  <si>
    <t>Tau</t>
  </si>
  <si>
    <t>Location</t>
  </si>
  <si>
    <t>Step1</t>
  </si>
  <si>
    <t>Step2</t>
  </si>
  <si>
    <t>Step3</t>
  </si>
  <si>
    <t>Step4</t>
  </si>
  <si>
    <t>Step5</t>
  </si>
  <si>
    <t>isoalpha3</t>
  </si>
  <si>
    <t>language</t>
  </si>
  <si>
    <t>ST250Q04JA_down</t>
  </si>
  <si>
    <t>ST250Q25DA_up</t>
  </si>
  <si>
    <t>ST250Q01JA_R</t>
  </si>
  <si>
    <t>ST250Q01JA_R_DOWN1</t>
  </si>
  <si>
    <t>ST250Q01JA_R_DOWN2</t>
  </si>
  <si>
    <t>ARE</t>
  </si>
  <si>
    <t>ST250Q02JA_R</t>
  </si>
  <si>
    <t>ST250Q02JA_R_DOWN2</t>
  </si>
  <si>
    <t>CHN</t>
  </si>
  <si>
    <t>ST250Q02JA_R_UP1</t>
  </si>
  <si>
    <t>ST250Q03JA_R</t>
  </si>
  <si>
    <t>ST250Q03JA_R_DOWN2</t>
  </si>
  <si>
    <t>MEX</t>
  </si>
  <si>
    <t>ST250Q03JA_R_UP2</t>
  </si>
  <si>
    <t>ST250Q04JA_R</t>
  </si>
  <si>
    <t>ST250Q04JA_R_DOWN1</t>
  </si>
  <si>
    <t>ST250Q04JA_R_DOWN2</t>
  </si>
  <si>
    <t>ST250Q05JA_R</t>
  </si>
  <si>
    <t>ST250Q05JA_R_DOWN2</t>
  </si>
  <si>
    <t>ST250Q05JA_R_UP2</t>
  </si>
  <si>
    <t>ST250Q08DA_R</t>
  </si>
  <si>
    <t>ST250Q09DA_R</t>
  </si>
  <si>
    <t>ST250Q09DA_R_DOWN1</t>
  </si>
  <si>
    <t>ST250Q09DA_R_DOWN2</t>
  </si>
  <si>
    <t>ST250Q10DA_R</t>
  </si>
  <si>
    <t>ST250Q11DA_R</t>
  </si>
  <si>
    <t>ST250Q12DA_R</t>
  </si>
  <si>
    <t>ST250Q13DA_R</t>
  </si>
  <si>
    <t>ST250Q13DA_R_DOWN1</t>
  </si>
  <si>
    <t>ST250Q13DA_R_DOWN2</t>
  </si>
  <si>
    <t>ST250Q14DA_R</t>
  </si>
  <si>
    <t>ST250Q14DA_R_DOWN1</t>
  </si>
  <si>
    <t>PRY</t>
  </si>
  <si>
    <t>ST250Q14DA_R_DOWN2</t>
  </si>
  <si>
    <t>ST250Q14DA_R_UP1</t>
  </si>
  <si>
    <t>ST250Q15DA_R</t>
  </si>
  <si>
    <t>ST250Q15DA_R_DOWN1</t>
  </si>
  <si>
    <t>ST250Q16DA_R</t>
  </si>
  <si>
    <t>ST250Q16DA_R_DOWN1</t>
  </si>
  <si>
    <t>ST250Q16DA_R_DOWN2</t>
  </si>
  <si>
    <t>ST250Q18DA_R</t>
  </si>
  <si>
    <t>ST250Q18DA_R_DOWN1</t>
  </si>
  <si>
    <t>ST250Q18DA_R_DOWN2</t>
  </si>
  <si>
    <t>ST250Q18DA_R_UP1</t>
  </si>
  <si>
    <t>ST250Q18DA_R_UP2</t>
  </si>
  <si>
    <t>ST250Q19DA_R</t>
  </si>
  <si>
    <t>ST250Q19DA_R_DOWN1</t>
  </si>
  <si>
    <t>ST250Q19DA_R_UP1</t>
  </si>
  <si>
    <t>EGY</t>
  </si>
  <si>
    <t>ar-EG</t>
  </si>
  <si>
    <t>ST250Q19DA_R_UP2</t>
  </si>
  <si>
    <t>ST250Q20DA_R</t>
  </si>
  <si>
    <t>ST250Q20DA_R_DOWN2</t>
  </si>
  <si>
    <t>ST250Q21DA_R</t>
  </si>
  <si>
    <t>ST250Q21DA_R_DOWN2</t>
  </si>
  <si>
    <t>ST250Q21DA_R_UP1</t>
  </si>
  <si>
    <t>ST250Q21DA_R_UP2</t>
  </si>
  <si>
    <t>ST250Q22DA_R</t>
  </si>
  <si>
    <t>ST250Q22DA_R_DOWN1</t>
  </si>
  <si>
    <t>ST250Q22DA_R_DOWN2</t>
  </si>
  <si>
    <t>ST250Q22DA_R_UP1</t>
  </si>
  <si>
    <t>ST250Q22DA_R_UP2</t>
  </si>
  <si>
    <t>KSV</t>
  </si>
  <si>
    <t>ST250Q23DA_R</t>
  </si>
  <si>
    <t>ST250Q24DA_R</t>
  </si>
  <si>
    <t>ST250Q24DA_R_DOWN1</t>
  </si>
  <si>
    <t>TAP</t>
  </si>
  <si>
    <t>ST250Q24DA_R_UP1</t>
  </si>
  <si>
    <t>ST250Q25DA_R</t>
  </si>
  <si>
    <t>ST250Q25DA_R_UP1</t>
  </si>
  <si>
    <t>ST250Q25DA_R_UP2</t>
  </si>
  <si>
    <t>ST250Q26DA_R</t>
  </si>
  <si>
    <t>ST250Q26DA_R_DOWN2</t>
  </si>
  <si>
    <t>ISR</t>
  </si>
  <si>
    <t>ST250Q26DA_R_UP2</t>
  </si>
  <si>
    <t>ST250Q27DA_R</t>
  </si>
  <si>
    <t>ST250Q27DA_R_UP1</t>
  </si>
  <si>
    <t>ARG</t>
  </si>
  <si>
    <t>ST250Q27DA_R_UP2</t>
  </si>
  <si>
    <t>ST250Q28DA_R</t>
  </si>
  <si>
    <t>ST250Q28DA_R_UP1</t>
  </si>
  <si>
    <t>ST250Q28DA_R_UP2</t>
  </si>
  <si>
    <t>ST251Q01JA_R</t>
  </si>
  <si>
    <t>ST251Q01JA_R_DOWN1</t>
  </si>
  <si>
    <t>ST251Q01JA_R_UP1</t>
  </si>
  <si>
    <t>ST251Q01JA_R_UP2</t>
  </si>
  <si>
    <t>ST251Q03JA_R</t>
  </si>
  <si>
    <t>ST251Q04JA_R</t>
  </si>
  <si>
    <t>ST251Q04JA_R_DOWN1</t>
  </si>
  <si>
    <t>ST251Q04JA_R_DOWN2</t>
  </si>
  <si>
    <t>ST251Q06JA_R</t>
  </si>
  <si>
    <t>ST251Q06JA_R_DOWN1</t>
  </si>
  <si>
    <t>ST251Q06JA_R_DOWN2</t>
  </si>
  <si>
    <t>ST251Q06JA_R_UP2</t>
  </si>
  <si>
    <t>ST251Q07JA_R</t>
  </si>
  <si>
    <t>ST251Q07JA_R_DOWN1</t>
  </si>
  <si>
    <t>ST251Q07JA_R_DOWN2</t>
  </si>
  <si>
    <t>ST251Q07JA_R_UP2</t>
  </si>
  <si>
    <t>ARM</t>
  </si>
  <si>
    <t>ST251Q08JA_RALB</t>
  </si>
  <si>
    <t>ST251Q08JA_RAUS</t>
  </si>
  <si>
    <t>ST251Q08JA_RAZE</t>
  </si>
  <si>
    <t>ST251Q08JA_RBRN</t>
  </si>
  <si>
    <t>ST251Q08JA_RCAN</t>
  </si>
  <si>
    <t>ST251Q08JA_RCHE</t>
  </si>
  <si>
    <t>ST251Q08JA_RCHL</t>
  </si>
  <si>
    <t>ST251Q08JA_RCHN</t>
  </si>
  <si>
    <t>ST251Q08JA_RCOL</t>
  </si>
  <si>
    <t>ST251Q08JA_RDNK</t>
  </si>
  <si>
    <t>ST251Q08JA_RDOM</t>
  </si>
  <si>
    <t>ST251Q08JA_RECU</t>
  </si>
  <si>
    <t>ST251Q08JA_REGY</t>
  </si>
  <si>
    <t>ST251Q08JA_RESP</t>
  </si>
  <si>
    <t>ST251Q08JA_RGRC</t>
  </si>
  <si>
    <t>ST251Q08JA_RGTM</t>
  </si>
  <si>
    <t>ST251Q08JA_RHKG</t>
  </si>
  <si>
    <t>ST251Q08JA_RHUN</t>
  </si>
  <si>
    <t>ST251Q08JA_RIDN</t>
  </si>
  <si>
    <t>ST251Q08JA_RIRL</t>
  </si>
  <si>
    <t>ST251Q08JA_RISL</t>
  </si>
  <si>
    <t>ST251Q08JA_RJOR</t>
  </si>
  <si>
    <t>ST251Q08JA_RJPN</t>
  </si>
  <si>
    <t>ST251Q08JA_RKAZ</t>
  </si>
  <si>
    <t>ST251Q08JA_RKEN</t>
  </si>
  <si>
    <t>ST251Q08JA_RKGZ</t>
  </si>
  <si>
    <t>ST251Q08JA_RKHM</t>
  </si>
  <si>
    <t>ST251Q08JA_RKOR</t>
  </si>
  <si>
    <t>ST251Q08JA_RLBN</t>
  </si>
  <si>
    <t>ST251Q08JA_RLUX</t>
  </si>
  <si>
    <t>ST251Q08JA_RLVA</t>
  </si>
  <si>
    <t>ST251Q08JA_RMAC</t>
  </si>
  <si>
    <t>ST251Q08JA_RMAR</t>
  </si>
  <si>
    <t>ST251Q08JA_RMKD</t>
  </si>
  <si>
    <t>ST251Q08JA_RMLT</t>
  </si>
  <si>
    <t>ST251Q08JA_RMNG</t>
  </si>
  <si>
    <t>ST251Q08JA_RMUS</t>
  </si>
  <si>
    <t>ST251Q08JA_RMYS</t>
  </si>
  <si>
    <t>ST251Q08JA_RNLD</t>
  </si>
  <si>
    <t>ST251Q08JA_RNOR</t>
  </si>
  <si>
    <t>ST251Q08JA_RNZL</t>
  </si>
  <si>
    <t>ST251Q08JA_RPER</t>
  </si>
  <si>
    <t>ST251Q08JA_RPHL</t>
  </si>
  <si>
    <t>ST251Q08JA_RPOL</t>
  </si>
  <si>
    <t>ST251Q08JA_RPRT</t>
  </si>
  <si>
    <t>ST251Q08JA_RPSE</t>
  </si>
  <si>
    <t>ST251Q08JA_RQAT</t>
  </si>
  <si>
    <t>ST251Q08JA_RQBL</t>
  </si>
  <si>
    <t>ST251Q08JA_RQBR</t>
  </si>
  <si>
    <t>ST251Q08JA_RQCY</t>
  </si>
  <si>
    <t>ST251Q08JA_RQKI</t>
  </si>
  <si>
    <t>ST251Q08JA_RQSC</t>
  </si>
  <si>
    <t>ST251Q08JA_RQTJ</t>
  </si>
  <si>
    <t>ST251Q08JA_RRWA</t>
  </si>
  <si>
    <t>ST251Q08JA_RSAU</t>
  </si>
  <si>
    <t>ST251Q08JA_RSRB</t>
  </si>
  <si>
    <t>ST251Q08JA_RSVN</t>
  </si>
  <si>
    <t>ST251Q08JA_RSWE</t>
  </si>
  <si>
    <t>ST251Q08JA_RTHA</t>
  </si>
  <si>
    <t>ST251Q08JA_RTUR</t>
  </si>
  <si>
    <t>ST251Q08JA_RUKR</t>
  </si>
  <si>
    <t>ST251Q08JA_RURY</t>
  </si>
  <si>
    <t>ST251Q08JA_RVNM</t>
  </si>
  <si>
    <t>ST251Q08JA_RZMB</t>
  </si>
  <si>
    <t>ST251Q09JA_RALB</t>
  </si>
  <si>
    <t>ST251Q09JA_RAUS</t>
  </si>
  <si>
    <t>ST251Q09JA_RBRN</t>
  </si>
  <si>
    <t>ST251Q09JA_RCAN</t>
  </si>
  <si>
    <t>ST251Q09JA_RCHE</t>
  </si>
  <si>
    <t>ST251Q09JA_RCHL</t>
  </si>
  <si>
    <t>ST251Q09JA_RCHN</t>
  </si>
  <si>
    <t>ST251Q09JA_RECU</t>
  </si>
  <si>
    <t>ST251Q09JA_REGY</t>
  </si>
  <si>
    <t>ST251Q09JA_RESP</t>
  </si>
  <si>
    <t>ST251Q09JA_RGRC</t>
  </si>
  <si>
    <t>ST251Q09JA_RHKG</t>
  </si>
  <si>
    <t>ST251Q09JA_RHUN</t>
  </si>
  <si>
    <t>ST251Q09JA_RIDN</t>
  </si>
  <si>
    <t>ST251Q09JA_RISL</t>
  </si>
  <si>
    <t>ST251Q09JA_RJOR</t>
  </si>
  <si>
    <t>ST251Q09JA_RJPN</t>
  </si>
  <si>
    <t>ST251Q09JA_RKEN</t>
  </si>
  <si>
    <t>ST251Q09JA_RKGZ</t>
  </si>
  <si>
    <t>ST251Q09JA_RKHM</t>
  </si>
  <si>
    <t>ST251Q09JA_RKOR</t>
  </si>
  <si>
    <t>ST251Q09JA_RLUX</t>
  </si>
  <si>
    <t>ST251Q09JA_RLVA</t>
  </si>
  <si>
    <t>ST251Q09JA_RMAC</t>
  </si>
  <si>
    <t>ST251Q09JA_RMAR</t>
  </si>
  <si>
    <t>ST251Q09JA_RMKD</t>
  </si>
  <si>
    <t>ST251Q09JA_RMNG</t>
  </si>
  <si>
    <t>ST251Q09JA_RMUS</t>
  </si>
  <si>
    <t>ST251Q09JA_RMYS</t>
  </si>
  <si>
    <t>ST251Q09JA_RNLD</t>
  </si>
  <si>
    <t>ST251Q09JA_RNZL</t>
  </si>
  <si>
    <t>ST251Q09JA_RPER</t>
  </si>
  <si>
    <t>ST251Q09JA_RPHL</t>
  </si>
  <si>
    <t>ST251Q09JA_RPOL</t>
  </si>
  <si>
    <t>ST251Q09JA_RPSE</t>
  </si>
  <si>
    <t>ST251Q09JA_RQAT</t>
  </si>
  <si>
    <t>ST251Q09JA_RQCY</t>
  </si>
  <si>
    <t>ST251Q09JA_RQKI</t>
  </si>
  <si>
    <t>ST251Q09JA_RQSC</t>
  </si>
  <si>
    <t>ST251Q09JA_RRWA</t>
  </si>
  <si>
    <t>ST251Q09JA_RSRB</t>
  </si>
  <si>
    <t>ST251Q09JA_RSVN</t>
  </si>
  <si>
    <t>ST251Q09JA_RTHA</t>
  </si>
  <si>
    <t>ST251Q09JA_RTUR</t>
  </si>
  <si>
    <t>ST251Q09JA_RUKR</t>
  </si>
  <si>
    <t>ST251Q09JA_RVNM</t>
  </si>
  <si>
    <t>ST251Q09JA_RZMB</t>
  </si>
  <si>
    <t>ST254Q01JA_R</t>
  </si>
  <si>
    <t>ST254Q02JA_R</t>
  </si>
  <si>
    <t>ST254Q03JA_R</t>
  </si>
  <si>
    <t>ST254Q04JA_R</t>
  </si>
  <si>
    <t>ST254Q04JA_R_UP1</t>
  </si>
  <si>
    <t>ST254Q05JA_R</t>
  </si>
  <si>
    <t>ST255Q01JA_R</t>
  </si>
  <si>
    <t>PA008Q05TA_UP</t>
  </si>
  <si>
    <t>PA032Q05TA_DOWN</t>
  </si>
  <si>
    <t>ROU</t>
  </si>
  <si>
    <t>PA007Q07TA</t>
  </si>
  <si>
    <t>TC185Q09HA_down</t>
  </si>
  <si>
    <t>TC417Q04DA_down</t>
  </si>
  <si>
    <t>TC409Q04DA_down</t>
  </si>
  <si>
    <t>TC408Q03DA_up</t>
  </si>
  <si>
    <t>TC408Q06DA_down</t>
  </si>
  <si>
    <t>TC408Q06DA_up</t>
  </si>
  <si>
    <t>TC415Q03DA_down</t>
  </si>
  <si>
    <t>TC415Q09DA_up</t>
  </si>
  <si>
    <t>ISOlang</t>
  </si>
  <si>
    <t>ISOcnt</t>
  </si>
  <si>
    <t>Country name</t>
  </si>
  <si>
    <t>Language name</t>
  </si>
  <si>
    <t>Code</t>
  </si>
  <si>
    <t>FAKE_Code</t>
  </si>
  <si>
    <t>Name</t>
  </si>
  <si>
    <t>OECD</t>
  </si>
  <si>
    <t>OECD2</t>
  </si>
  <si>
    <t>ar</t>
  </si>
  <si>
    <t>AE</t>
  </si>
  <si>
    <t>United Arab Emirates</t>
  </si>
  <si>
    <t>Arabic</t>
  </si>
  <si>
    <t>United Arab Emirates - Arabic</t>
  </si>
  <si>
    <t>EG</t>
  </si>
  <si>
    <t>Egypt</t>
  </si>
  <si>
    <t>Egypt - Arabic</t>
  </si>
  <si>
    <t>IL</t>
  </si>
  <si>
    <t>Israel</t>
  </si>
  <si>
    <t>Israel - Arabic*</t>
  </si>
  <si>
    <t>JO</t>
  </si>
  <si>
    <t>Jordan - Arabic</t>
  </si>
  <si>
    <t>MA</t>
  </si>
  <si>
    <t>Morocco</t>
  </si>
  <si>
    <t>Morocco - Arabic</t>
  </si>
  <si>
    <t>PS</t>
  </si>
  <si>
    <t>Palestine</t>
  </si>
  <si>
    <t>Palestinian Authority - Arabic*</t>
  </si>
  <si>
    <t>QA</t>
  </si>
  <si>
    <t>Qatar</t>
  </si>
  <si>
    <t>Qatar - Arabic</t>
  </si>
  <si>
    <t>SA</t>
  </si>
  <si>
    <t>SaudI Arabia</t>
  </si>
  <si>
    <t>Saudi Arabia - Arabic</t>
  </si>
  <si>
    <t>az</t>
  </si>
  <si>
    <t>GE</t>
  </si>
  <si>
    <t>Georgia</t>
  </si>
  <si>
    <t>Azerbaijani</t>
  </si>
  <si>
    <t>Georgia - Azerbaijani</t>
  </si>
  <si>
    <t>QZ</t>
  </si>
  <si>
    <t>Azerbaijan</t>
  </si>
  <si>
    <t>Azerbaijan - Azerbaijani</t>
  </si>
  <si>
    <t>bg</t>
  </si>
  <si>
    <t>BG</t>
  </si>
  <si>
    <t>Bulgaria</t>
  </si>
  <si>
    <t>Bulgarian</t>
  </si>
  <si>
    <t>Bulgaria - Bulgarian</t>
  </si>
  <si>
    <t>ca</t>
  </si>
  <si>
    <t>ES</t>
  </si>
  <si>
    <t>Catalan</t>
  </si>
  <si>
    <t>Spain - Catalan</t>
  </si>
  <si>
    <t>Spain - Valencian</t>
  </si>
  <si>
    <t>ckb</t>
  </si>
  <si>
    <t>Arab_IQ</t>
  </si>
  <si>
    <t>Kurdistan Region Iraq</t>
  </si>
  <si>
    <t>Sorani</t>
  </si>
  <si>
    <t>cnr</t>
  </si>
  <si>
    <t>ME</t>
  </si>
  <si>
    <t>Montenegrin</t>
  </si>
  <si>
    <t>Montenegro - Montenegrin</t>
  </si>
  <si>
    <t>cs</t>
  </si>
  <si>
    <t>CZ</t>
  </si>
  <si>
    <t>Czech Republic</t>
  </si>
  <si>
    <t>Czech</t>
  </si>
  <si>
    <t>Czechia - Czech</t>
  </si>
  <si>
    <t>cy</t>
  </si>
  <si>
    <t>GB</t>
  </si>
  <si>
    <t>United Kingdom</t>
  </si>
  <si>
    <t>Welsh</t>
  </si>
  <si>
    <t>United Kingdom - Welsh</t>
  </si>
  <si>
    <t>QUK</t>
  </si>
  <si>
    <t>da</t>
  </si>
  <si>
    <t>DK</t>
  </si>
  <si>
    <t>Danish</t>
  </si>
  <si>
    <t>de</t>
  </si>
  <si>
    <t>AT</t>
  </si>
  <si>
    <t>Austria</t>
  </si>
  <si>
    <t>German</t>
  </si>
  <si>
    <t>Austria - German</t>
  </si>
  <si>
    <t>BE</t>
  </si>
  <si>
    <t>Belgium</t>
  </si>
  <si>
    <t>CH</t>
  </si>
  <si>
    <t>Switzerland - German</t>
  </si>
  <si>
    <t>DE</t>
  </si>
  <si>
    <t>IT</t>
  </si>
  <si>
    <t>Italy - German</t>
  </si>
  <si>
    <t>LU</t>
  </si>
  <si>
    <t>Luxembourg - German</t>
  </si>
  <si>
    <t>el</t>
  </si>
  <si>
    <t>CY</t>
  </si>
  <si>
    <t>Cyprus</t>
  </si>
  <si>
    <t>Modern Greek</t>
  </si>
  <si>
    <t>Cyprus - Modern Greek*</t>
  </si>
  <si>
    <t>GR</t>
  </si>
  <si>
    <t>Greece - Modern Greek</t>
  </si>
  <si>
    <t>en</t>
  </si>
  <si>
    <t>English</t>
  </si>
  <si>
    <t>United Arab Emirates - English</t>
  </si>
  <si>
    <t>AU</t>
  </si>
  <si>
    <t>Australia</t>
  </si>
  <si>
    <t>Australia - English</t>
  </si>
  <si>
    <t>BN</t>
  </si>
  <si>
    <t>Brunei</t>
  </si>
  <si>
    <t>Brunei Darussalam - English</t>
  </si>
  <si>
    <t>CA</t>
  </si>
  <si>
    <t>Canada</t>
  </si>
  <si>
    <t>Cyprus - English*</t>
  </si>
  <si>
    <t>United Kingdom Scotland only - English</t>
  </si>
  <si>
    <t>United Kingdom ex Scotland - English</t>
  </si>
  <si>
    <t>HK</t>
  </si>
  <si>
    <t>Hong Kong</t>
  </si>
  <si>
    <t>Hong Kong (China) - English</t>
  </si>
  <si>
    <t>IE</t>
  </si>
  <si>
    <t>Ireland - English</t>
  </si>
  <si>
    <t>IQ</t>
  </si>
  <si>
    <t>Iraq</t>
  </si>
  <si>
    <t>en-IQ</t>
  </si>
  <si>
    <t>KE</t>
  </si>
  <si>
    <t>Kenya</t>
  </si>
  <si>
    <t>LB</t>
  </si>
  <si>
    <t>Lebanon</t>
  </si>
  <si>
    <t>Lebanon - English*</t>
  </si>
  <si>
    <t>Luxembourg - English</t>
  </si>
  <si>
    <t>MO</t>
  </si>
  <si>
    <t>Macao</t>
  </si>
  <si>
    <t>Macao (China) - English</t>
  </si>
  <si>
    <t>MT</t>
  </si>
  <si>
    <t>Malta - English</t>
  </si>
  <si>
    <t>MU</t>
  </si>
  <si>
    <t>Mauritius</t>
  </si>
  <si>
    <t>MY</t>
  </si>
  <si>
    <t>Malaysia - English</t>
  </si>
  <si>
    <t>NZ</t>
  </si>
  <si>
    <t>New Zealand</t>
  </si>
  <si>
    <t>New Zealand - English</t>
  </si>
  <si>
    <t>PH</t>
  </si>
  <si>
    <t>Philippines - English</t>
  </si>
  <si>
    <t>Palestinian Authority - English*</t>
  </si>
  <si>
    <t>Qatar - English</t>
  </si>
  <si>
    <t>RW</t>
  </si>
  <si>
    <t>Rwanda</t>
  </si>
  <si>
    <t>Saudi Arabia - English</t>
  </si>
  <si>
    <t>SG</t>
  </si>
  <si>
    <t>Singapore - English</t>
  </si>
  <si>
    <t>US</t>
  </si>
  <si>
    <t>United States</t>
  </si>
  <si>
    <t>ZM</t>
  </si>
  <si>
    <t>Zambia</t>
  </si>
  <si>
    <t>es</t>
  </si>
  <si>
    <t>AR</t>
  </si>
  <si>
    <t>Argentina</t>
  </si>
  <si>
    <t>Spanish</t>
  </si>
  <si>
    <t>Argentina - Spanish</t>
  </si>
  <si>
    <t>CL</t>
  </si>
  <si>
    <t>Chile</t>
  </si>
  <si>
    <t>Chile - Spanish</t>
  </si>
  <si>
    <t>CO</t>
  </si>
  <si>
    <t>Colombia</t>
  </si>
  <si>
    <t>Colombia - Spanish</t>
  </si>
  <si>
    <t>CR</t>
  </si>
  <si>
    <t>DO</t>
  </si>
  <si>
    <t>Dominican Republic</t>
  </si>
  <si>
    <t>Dominican Republic - Spanish</t>
  </si>
  <si>
    <t>EC</t>
  </si>
  <si>
    <t>Ecuador - Spanish</t>
  </si>
  <si>
    <t>Spain - Spanish</t>
  </si>
  <si>
    <t>GT</t>
  </si>
  <si>
    <t>Guatemala</t>
  </si>
  <si>
    <t>Guatemala - Spanish</t>
  </si>
  <si>
    <t>MX</t>
  </si>
  <si>
    <t>Mexico</t>
  </si>
  <si>
    <t>Mexico - Spanish</t>
  </si>
  <si>
    <t>PE</t>
  </si>
  <si>
    <t>Peru</t>
  </si>
  <si>
    <t>Peru - Spanish</t>
  </si>
  <si>
    <t>PY</t>
  </si>
  <si>
    <t>Paraguay</t>
  </si>
  <si>
    <t>Paraguay - Spanish</t>
  </si>
  <si>
    <t>SV</t>
  </si>
  <si>
    <t>El Salvador</t>
  </si>
  <si>
    <t>El Salvador - Spanish</t>
  </si>
  <si>
    <t>UY</t>
  </si>
  <si>
    <t>Uruguay</t>
  </si>
  <si>
    <t>Uruguay - Spanish</t>
  </si>
  <si>
    <t>et</t>
  </si>
  <si>
    <t>EE</t>
  </si>
  <si>
    <t>Estonian</t>
  </si>
  <si>
    <t>Estonia - Estonian</t>
  </si>
  <si>
    <t>eu</t>
  </si>
  <si>
    <t>Basque</t>
  </si>
  <si>
    <t>Spain - Basque</t>
  </si>
  <si>
    <t>fi</t>
  </si>
  <si>
    <t>FI</t>
  </si>
  <si>
    <t>Finnish</t>
  </si>
  <si>
    <t>Finland - Finnish</t>
  </si>
  <si>
    <t>fo</t>
  </si>
  <si>
    <t>Faroese</t>
  </si>
  <si>
    <t>fr</t>
  </si>
  <si>
    <t>French</t>
  </si>
  <si>
    <t>Switzerland - French</t>
  </si>
  <si>
    <t>FR</t>
  </si>
  <si>
    <t>France - French</t>
  </si>
  <si>
    <t>Lebanon - French*</t>
  </si>
  <si>
    <t>Luxembourg - French</t>
  </si>
  <si>
    <t>ga</t>
  </si>
  <si>
    <t>Irish</t>
  </si>
  <si>
    <t>Ireland - Irish Gaeilge</t>
  </si>
  <si>
    <t>gl</t>
  </si>
  <si>
    <t>Galician</t>
  </si>
  <si>
    <t>Spain - Galician</t>
  </si>
  <si>
    <t>he</t>
  </si>
  <si>
    <t>Hebrew</t>
  </si>
  <si>
    <t>Israel - Hebrew*</t>
  </si>
  <si>
    <t>hr</t>
  </si>
  <si>
    <t>HR</t>
  </si>
  <si>
    <t>Croatian</t>
  </si>
  <si>
    <t>Croatia - Croatian</t>
  </si>
  <si>
    <t>hu</t>
  </si>
  <si>
    <t>HU</t>
  </si>
  <si>
    <t>Hungary</t>
  </si>
  <si>
    <t>Hungarian</t>
  </si>
  <si>
    <t>Hungary - Hungarian</t>
  </si>
  <si>
    <t>RO</t>
  </si>
  <si>
    <t>Romania</t>
  </si>
  <si>
    <t>Romania - Hungarian</t>
  </si>
  <si>
    <t>SK</t>
  </si>
  <si>
    <t>Slovak Republic - Hungarian</t>
  </si>
  <si>
    <t>hy</t>
  </si>
  <si>
    <t>AM</t>
  </si>
  <si>
    <t>Armenia</t>
  </si>
  <si>
    <t>Armenian</t>
  </si>
  <si>
    <t>Armenia - Armenian</t>
  </si>
  <si>
    <t>id</t>
  </si>
  <si>
    <t>ID</t>
  </si>
  <si>
    <t>Indonesia</t>
  </si>
  <si>
    <t>Indonesian</t>
  </si>
  <si>
    <t>Indonesia - Indonesian</t>
  </si>
  <si>
    <t>is</t>
  </si>
  <si>
    <t>IS</t>
  </si>
  <si>
    <t>Icelandic</t>
  </si>
  <si>
    <t>Iceland - Icelandic</t>
  </si>
  <si>
    <t>it</t>
  </si>
  <si>
    <t>Italian</t>
  </si>
  <si>
    <t>Switzerland - Italian</t>
  </si>
  <si>
    <t>Italy - Italian</t>
  </si>
  <si>
    <t>ja</t>
  </si>
  <si>
    <t>JP</t>
  </si>
  <si>
    <t>Japanese</t>
  </si>
  <si>
    <t>kaa</t>
  </si>
  <si>
    <t>UZ</t>
  </si>
  <si>
    <t>Karakalpak</t>
  </si>
  <si>
    <t>Uzbekistan - Karakalpak</t>
  </si>
  <si>
    <t>ka</t>
  </si>
  <si>
    <t>Georgian</t>
  </si>
  <si>
    <t>Georgia - Georgian</t>
  </si>
  <si>
    <t>kk</t>
  </si>
  <si>
    <t>KZ</t>
  </si>
  <si>
    <t>Kazakhstan</t>
  </si>
  <si>
    <t>Kazakh</t>
  </si>
  <si>
    <t>Kazakhstan - Kazakh</t>
  </si>
  <si>
    <t>MN</t>
  </si>
  <si>
    <t>Mongolia - Kazakh</t>
  </si>
  <si>
    <t>km</t>
  </si>
  <si>
    <t>KH</t>
  </si>
  <si>
    <t>Cambodia</t>
  </si>
  <si>
    <t>Khmer</t>
  </si>
  <si>
    <t>kmr</t>
  </si>
  <si>
    <t>Bahdini</t>
  </si>
  <si>
    <t>ko</t>
  </si>
  <si>
    <t>KR</t>
  </si>
  <si>
    <t>Korea</t>
  </si>
  <si>
    <t>Korean</t>
  </si>
  <si>
    <t>Korea - Korean</t>
  </si>
  <si>
    <t>ky</t>
  </si>
  <si>
    <t>KG</t>
  </si>
  <si>
    <t>Kyrgyzstan</t>
  </si>
  <si>
    <t>Kyrgyz</t>
  </si>
  <si>
    <t>Kyrgyzstan - Kyrgyz / Kirghiz</t>
  </si>
  <si>
    <t>lt</t>
  </si>
  <si>
    <t>LT</t>
  </si>
  <si>
    <t>Lithuanian</t>
  </si>
  <si>
    <t>Lithuania - Lithuanian</t>
  </si>
  <si>
    <t>lv</t>
  </si>
  <si>
    <t>LV</t>
  </si>
  <si>
    <t>Latvian</t>
  </si>
  <si>
    <t>Latvia - Latvian</t>
  </si>
  <si>
    <t>mk</t>
  </si>
  <si>
    <t>MK</t>
  </si>
  <si>
    <t>Macedonia</t>
  </si>
  <si>
    <t>Macedonian</t>
  </si>
  <si>
    <t>Macedonia - Macedonian</t>
  </si>
  <si>
    <t>mn</t>
  </si>
  <si>
    <t>Mongolian</t>
  </si>
  <si>
    <t>Mongolia - Mongolian</t>
  </si>
  <si>
    <t>ms</t>
  </si>
  <si>
    <t>Malay</t>
  </si>
  <si>
    <t>Brunei Darussalam - Malay</t>
  </si>
  <si>
    <t>Malaysia - Malay</t>
  </si>
  <si>
    <t>nb</t>
  </si>
  <si>
    <t>NO</t>
  </si>
  <si>
    <t>Norwegian Bokmål</t>
  </si>
  <si>
    <t>nl</t>
  </si>
  <si>
    <t>Dutch</t>
  </si>
  <si>
    <t>Belgium (Flemish Community) - Dutch</t>
  </si>
  <si>
    <t>NL</t>
  </si>
  <si>
    <t>Netherlands - Dutch</t>
  </si>
  <si>
    <t>nn</t>
  </si>
  <si>
    <t>Nynorsk</t>
  </si>
  <si>
    <t>pl</t>
  </si>
  <si>
    <t>Polish</t>
  </si>
  <si>
    <t>Lithuania - Polish</t>
  </si>
  <si>
    <t>PL</t>
  </si>
  <si>
    <t>Poland - Polish</t>
  </si>
  <si>
    <t>pt</t>
  </si>
  <si>
    <t>BR</t>
  </si>
  <si>
    <t>Brazil</t>
  </si>
  <si>
    <t>Portuguese</t>
  </si>
  <si>
    <t>Brazil - Portuguese</t>
  </si>
  <si>
    <t>Macao (China) - Portuguese</t>
  </si>
  <si>
    <t>PT</t>
  </si>
  <si>
    <t>Portugal - Portuguese</t>
  </si>
  <si>
    <t>ro</t>
  </si>
  <si>
    <t>MD</t>
  </si>
  <si>
    <t>Romanian</t>
  </si>
  <si>
    <t>Moldova - Romanian</t>
  </si>
  <si>
    <t>Romania - Romanian</t>
  </si>
  <si>
    <t>ru</t>
  </si>
  <si>
    <t>Russian</t>
  </si>
  <si>
    <t>Estonia - Russian</t>
  </si>
  <si>
    <t>Georgia - Russian</t>
  </si>
  <si>
    <t>Kyrgyzstan - Russian</t>
  </si>
  <si>
    <t>Kazakhstan - Russian</t>
  </si>
  <si>
    <t>Lithuania - Russian</t>
  </si>
  <si>
    <t>Moldova - Russian</t>
  </si>
  <si>
    <t>Azerbaijan - Russian</t>
  </si>
  <si>
    <t>TJ</t>
  </si>
  <si>
    <t>Tajikistan</t>
  </si>
  <si>
    <t>Uzbekistan - Russian</t>
  </si>
  <si>
    <t>sk</t>
  </si>
  <si>
    <t>Slovak</t>
  </si>
  <si>
    <t>Slovak Republic - Slovak</t>
  </si>
  <si>
    <t>sl</t>
  </si>
  <si>
    <t>SI</t>
  </si>
  <si>
    <t>Slovenia</t>
  </si>
  <si>
    <t>Slovenian</t>
  </si>
  <si>
    <t>Slovenia - Slovenian</t>
  </si>
  <si>
    <t>sq</t>
  </si>
  <si>
    <t>AL</t>
  </si>
  <si>
    <t>Albania</t>
  </si>
  <si>
    <t>Albanian</t>
  </si>
  <si>
    <t>Albania - Albanian</t>
  </si>
  <si>
    <t>Montenegro - Albanian</t>
  </si>
  <si>
    <t>Macedonia - Albanian</t>
  </si>
  <si>
    <t>XK</t>
  </si>
  <si>
    <t>Kosovo - Albanian*</t>
  </si>
  <si>
    <t>sr</t>
  </si>
  <si>
    <t>RS</t>
  </si>
  <si>
    <t>Serbia</t>
  </si>
  <si>
    <t>Serbian</t>
  </si>
  <si>
    <t>Serbia - Serbian</t>
  </si>
  <si>
    <t>sv</t>
  </si>
  <si>
    <t>Swedish</t>
  </si>
  <si>
    <t>Finland - Swedish</t>
  </si>
  <si>
    <t>SE</t>
  </si>
  <si>
    <t>tg</t>
  </si>
  <si>
    <t>Tajik</t>
  </si>
  <si>
    <t>th</t>
  </si>
  <si>
    <t>TH</t>
  </si>
  <si>
    <t>Thailand</t>
  </si>
  <si>
    <t>Thai</t>
  </si>
  <si>
    <t>Thailand - Thai</t>
  </si>
  <si>
    <t>tr</t>
  </si>
  <si>
    <t>TR</t>
  </si>
  <si>
    <t>Turkey</t>
  </si>
  <si>
    <t>Turkish</t>
  </si>
  <si>
    <t>Turkey - Turkish</t>
  </si>
  <si>
    <t>uk</t>
  </si>
  <si>
    <t>UA</t>
  </si>
  <si>
    <t>Ukraine</t>
  </si>
  <si>
    <t>Ukrainian</t>
  </si>
  <si>
    <t>Ukrainian regions (17 of 27) - Ukrainian*</t>
  </si>
  <si>
    <t>UKR</t>
  </si>
  <si>
    <t>uz</t>
  </si>
  <si>
    <t>Uzbek</t>
  </si>
  <si>
    <t>Kyrgyzstan - Uzbekistani</t>
  </si>
  <si>
    <t>Uzbekistan - Uzbekistani</t>
  </si>
  <si>
    <t>vi</t>
  </si>
  <si>
    <t>VN</t>
  </si>
  <si>
    <t>Viet Nam</t>
  </si>
  <si>
    <t>Vietnamese</t>
  </si>
  <si>
    <t>Viet Nam - Vietnamese</t>
  </si>
  <si>
    <t>zh</t>
  </si>
  <si>
    <t>CN</t>
  </si>
  <si>
    <t>China</t>
  </si>
  <si>
    <t>Chinese</t>
  </si>
  <si>
    <t>B-S-J-G (China) - Chinese*</t>
  </si>
  <si>
    <t>Hong Kong (China) - Chinese</t>
  </si>
  <si>
    <t>Macao (China) - Chinese</t>
  </si>
  <si>
    <t>TW</t>
  </si>
  <si>
    <t>Chinese Taipei</t>
  </si>
  <si>
    <t>Chinese Taipei - Chinese</t>
  </si>
  <si>
    <t>BGR</t>
  </si>
  <si>
    <t>CRI</t>
  </si>
  <si>
    <t>GEO</t>
  </si>
  <si>
    <t>Israel*</t>
  </si>
  <si>
    <t>Kosovo*</t>
  </si>
  <si>
    <t>Lebanon*</t>
  </si>
  <si>
    <t>Macao (China)</t>
  </si>
  <si>
    <t>MDA</t>
  </si>
  <si>
    <t>North Macedonia</t>
  </si>
  <si>
    <t>MNE</t>
  </si>
  <si>
    <t>Palestinian Authority*</t>
  </si>
  <si>
    <t>Belgium (Flemish Community)</t>
  </si>
  <si>
    <t>Belgium (French Community)</t>
  </si>
  <si>
    <t>B-S-J-Z (China)*</t>
  </si>
  <si>
    <t>QEG</t>
  </si>
  <si>
    <t>Cairo (Egypt)</t>
  </si>
  <si>
    <t>Kurdistan Region (Iraq)*</t>
  </si>
  <si>
    <t>United Kingdom Scotland only</t>
  </si>
  <si>
    <t>Dushanbe (Tajikistan)</t>
  </si>
  <si>
    <t>Saudi Arabia</t>
  </si>
  <si>
    <t>Türkiye</t>
  </si>
  <si>
    <t>USA</t>
  </si>
  <si>
    <t>UZB</t>
  </si>
  <si>
    <t>United Kingdom ex Scotland</t>
  </si>
  <si>
    <t>fake_iso</t>
  </si>
  <si>
    <t>fake_lang</t>
  </si>
  <si>
    <t>BAA</t>
  </si>
  <si>
    <t>SAA</t>
  </si>
  <si>
    <t>lt-SA</t>
  </si>
  <si>
    <t>FBA</t>
  </si>
  <si>
    <t>HBA</t>
  </si>
  <si>
    <t>RBA</t>
  </si>
  <si>
    <t>ECA</t>
  </si>
  <si>
    <t>lt-EC</t>
  </si>
  <si>
    <t>FCA</t>
  </si>
  <si>
    <t>LCA</t>
  </si>
  <si>
    <t>lt-LC</t>
  </si>
  <si>
    <t>XAA</t>
  </si>
  <si>
    <t>EAA</t>
  </si>
  <si>
    <t>sg-EA</t>
  </si>
  <si>
    <t>FAA</t>
  </si>
  <si>
    <t>TAA</t>
  </si>
  <si>
    <t>ca-ES-Valencia</t>
  </si>
  <si>
    <t>THO</t>
  </si>
  <si>
    <t>gc-TH</t>
  </si>
  <si>
    <t>WBA</t>
  </si>
  <si>
    <t>tp-WB</t>
  </si>
  <si>
    <t>NAA</t>
  </si>
  <si>
    <t>yk-NA</t>
  </si>
  <si>
    <t>JCA</t>
  </si>
  <si>
    <t>ns-JC</t>
  </si>
  <si>
    <t>PAA</t>
  </si>
  <si>
    <t>ir-PA</t>
  </si>
  <si>
    <t>DAA</t>
  </si>
  <si>
    <t>HCA</t>
  </si>
  <si>
    <t>JAA</t>
  </si>
  <si>
    <t>OAA</t>
  </si>
  <si>
    <t>GBA</t>
  </si>
  <si>
    <t>OBA</t>
  </si>
  <si>
    <t>ICA</t>
  </si>
  <si>
    <t>xp-IC</t>
  </si>
  <si>
    <t>YAA</t>
  </si>
  <si>
    <t>PWJ</t>
  </si>
  <si>
    <t>HAA</t>
  </si>
  <si>
    <t>IAA</t>
  </si>
  <si>
    <t>ta-IA</t>
  </si>
  <si>
    <t>ta-IC</t>
  </si>
  <si>
    <t>YDZ</t>
  </si>
  <si>
    <t>ta-JC</t>
  </si>
  <si>
    <t>ZAA</t>
  </si>
  <si>
    <t>DBA</t>
  </si>
  <si>
    <t>ta-TH</t>
  </si>
  <si>
    <t>SKX</t>
  </si>
  <si>
    <t>ta-SK</t>
  </si>
  <si>
    <t>MBA</t>
  </si>
  <si>
    <t>QBA</t>
  </si>
  <si>
    <t>VBA</t>
  </si>
  <si>
    <t>ta-VB</t>
  </si>
  <si>
    <t>EKH</t>
  </si>
  <si>
    <t>ta-EK</t>
  </si>
  <si>
    <t>YBA</t>
  </si>
  <si>
    <t>TIO</t>
  </si>
  <si>
    <t>BCA</t>
  </si>
  <si>
    <t>ta-BC</t>
  </si>
  <si>
    <t>ta-EC</t>
  </si>
  <si>
    <t>UYL</t>
  </si>
  <si>
    <t>ta-UY</t>
  </si>
  <si>
    <t>ta-LC</t>
  </si>
  <si>
    <t>MCA</t>
  </si>
  <si>
    <t>DHN</t>
  </si>
  <si>
    <t>ENX</t>
  </si>
  <si>
    <t>ta-EN</t>
  </si>
  <si>
    <t>IMJ</t>
  </si>
  <si>
    <t>MBQ</t>
  </si>
  <si>
    <t>fp-MB</t>
  </si>
  <si>
    <t>LAA</t>
  </si>
  <si>
    <t>fp-LA</t>
  </si>
  <si>
    <t>MAA</t>
  </si>
  <si>
    <t>fp-MA</t>
  </si>
  <si>
    <t>QAA</t>
  </si>
  <si>
    <t>RAA</t>
  </si>
  <si>
    <t>fp-RA</t>
  </si>
  <si>
    <t>GOZ</t>
  </si>
  <si>
    <t>fp-GO</t>
  </si>
  <si>
    <t>TBA</t>
  </si>
  <si>
    <t>fp-TB</t>
  </si>
  <si>
    <t>NKY</t>
  </si>
  <si>
    <t>fp-NK</t>
  </si>
  <si>
    <t>WSJ</t>
  </si>
  <si>
    <t>fp-WS</t>
  </si>
  <si>
    <t>VWF</t>
  </si>
  <si>
    <t>fp-VW</t>
  </si>
  <si>
    <t>IYS</t>
  </si>
  <si>
    <t>UAA</t>
  </si>
  <si>
    <t>VAA</t>
  </si>
  <si>
    <t>rj-PA</t>
  </si>
  <si>
    <t>sl-IA</t>
  </si>
  <si>
    <t>WAA</t>
  </si>
  <si>
    <t>sl-WA</t>
  </si>
  <si>
    <t>ABA</t>
  </si>
  <si>
    <t>kj-AB</t>
  </si>
  <si>
    <t>BBA</t>
  </si>
  <si>
    <t>KCA</t>
  </si>
  <si>
    <t>NCA</t>
  </si>
  <si>
    <t>sp-NC</t>
  </si>
  <si>
    <t>CAA</t>
  </si>
  <si>
    <t>ah-CA</t>
  </si>
  <si>
    <t>CBA</t>
  </si>
  <si>
    <t>yo-CB</t>
  </si>
  <si>
    <t>EBA</t>
  </si>
  <si>
    <t>TXM</t>
  </si>
  <si>
    <t>TCA</t>
  </si>
  <si>
    <t>xr-TC</t>
  </si>
  <si>
    <t>IBA</t>
  </si>
  <si>
    <t>cb-IB</t>
  </si>
  <si>
    <t>XBA</t>
  </si>
  <si>
    <t>SXQ</t>
  </si>
  <si>
    <t>wr-SX</t>
  </si>
  <si>
    <t>gv-TH</t>
  </si>
  <si>
    <t>KBA</t>
  </si>
  <si>
    <t>JBA</t>
  </si>
  <si>
    <t>xn-JB</t>
  </si>
  <si>
    <t>NBA</t>
  </si>
  <si>
    <t>re-NB</t>
  </si>
  <si>
    <t>PBA</t>
  </si>
  <si>
    <t>wx-PB</t>
  </si>
  <si>
    <t>UBA</t>
  </si>
  <si>
    <t>vu-UB</t>
  </si>
  <si>
    <t>ACA</t>
  </si>
  <si>
    <t>tw-AC</t>
  </si>
  <si>
    <t>GCA</t>
  </si>
  <si>
    <t>ZBA</t>
  </si>
  <si>
    <t>hq-AC</t>
  </si>
  <si>
    <t>yl-NB</t>
  </si>
  <si>
    <t>CCA</t>
  </si>
  <si>
    <t>GAA</t>
  </si>
  <si>
    <t>dc-GA</t>
  </si>
  <si>
    <t>DCA</t>
  </si>
  <si>
    <t>dc-DC</t>
  </si>
  <si>
    <t>SBA</t>
  </si>
  <si>
    <t>dw-SB</t>
  </si>
  <si>
    <t>kr-JB</t>
  </si>
  <si>
    <t>kr-IB</t>
  </si>
  <si>
    <t>kr-NB</t>
  </si>
  <si>
    <t>kr-SB</t>
  </si>
  <si>
    <t>kr-EA</t>
  </si>
  <si>
    <t>FPC</t>
  </si>
  <si>
    <t>kr-FP</t>
  </si>
  <si>
    <t>kr-TC</t>
  </si>
  <si>
    <t>uh-NC</t>
  </si>
  <si>
    <t>OCA</t>
  </si>
  <si>
    <t>AAA</t>
  </si>
  <si>
    <t>tn-AA</t>
  </si>
  <si>
    <t>tn-WB</t>
  </si>
  <si>
    <t>tn-UB</t>
  </si>
  <si>
    <t>LBA</t>
  </si>
  <si>
    <t>tn-LB</t>
  </si>
  <si>
    <t>LZY</t>
  </si>
  <si>
    <t>bs-LZ</t>
  </si>
  <si>
    <t>PCA</t>
  </si>
  <si>
    <t>rd-PC</t>
  </si>
  <si>
    <t>la-FP</t>
  </si>
  <si>
    <t>CCP</t>
  </si>
  <si>
    <t>uv-CC</t>
  </si>
  <si>
    <t>RCA</t>
  </si>
  <si>
    <t>SCA</t>
  </si>
  <si>
    <t>dg-JB</t>
  </si>
  <si>
    <t>dg-TC</t>
  </si>
  <si>
    <t>UCA</t>
  </si>
  <si>
    <t>ur-UC</t>
  </si>
  <si>
    <t>KAA</t>
  </si>
  <si>
    <t>QCA</t>
  </si>
  <si>
    <t>zi-HA</t>
  </si>
  <si>
    <t>a</t>
  </si>
  <si>
    <t>Note. "a" indicates that the group did not administer the scale.</t>
  </si>
  <si>
    <t>Belgium (French Community) - German</t>
  </si>
  <si>
    <t>Belgium (French Community) - French</t>
  </si>
  <si>
    <t>c</t>
  </si>
  <si>
    <t>Note. "m" indicates data are not available.</t>
  </si>
  <si>
    <t>Note. "c" indicates there were too few observations to provide reliable estimates.</t>
  </si>
  <si>
    <t>Table 22.A.158</t>
  </si>
  <si>
    <t>Questionnaire Trend Items Parameters</t>
  </si>
  <si>
    <t>Questionnaire Trend Items Pararmeters</t>
  </si>
  <si>
    <t>Parameters used for scaling in PISA 2025</t>
  </si>
  <si>
    <t>Instrument</t>
  </si>
  <si>
    <t>Item ID</t>
  </si>
  <si>
    <t>Slope</t>
  </si>
  <si>
    <t/>
  </si>
  <si>
    <t>SC035Q01NA_A</t>
  </si>
  <si>
    <t>SC035Q02TA_A</t>
  </si>
  <si>
    <t>SC035Q03TA_A</t>
  </si>
  <si>
    <t>SC035Q04TA_A</t>
  </si>
  <si>
    <t>SC035Q05TA_A</t>
  </si>
  <si>
    <t>SC035Q06TA_A</t>
  </si>
  <si>
    <t>SC035Q07TA_A</t>
  </si>
  <si>
    <t>SC035Q08TA_A</t>
  </si>
  <si>
    <t>SC035Q09NA_A</t>
  </si>
  <si>
    <t>SC035Q10TA_A</t>
  </si>
  <si>
    <t>SC035Q11NA_A</t>
  </si>
  <si>
    <t>SC035Q01NA_B</t>
  </si>
  <si>
    <t>SC035Q02TA_B</t>
  </si>
  <si>
    <t>SC035Q03TA_B</t>
  </si>
  <si>
    <t>SC035Q04TA_B</t>
  </si>
  <si>
    <t>SC035Q05TA_B</t>
  </si>
  <si>
    <t>SC035Q06TA_B</t>
  </si>
  <si>
    <t>SC035Q07TA_B</t>
  </si>
  <si>
    <t>SC035Q08TA_B</t>
  </si>
  <si>
    <t>SC035Q09NA_B</t>
  </si>
  <si>
    <t>SC035Q10TA_B</t>
  </si>
  <si>
    <t>SC035Q11NA_B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</si>
</sst>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Arial Narrow"/>
      <family val="2"/>
    </font>
    <font>
      <i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FFFFFF"/>
      <name val="Calibri"/>
      <family val="2"/>
    </font>
    <font>
      <u/>
      <sz val="11"/>
      <color rgb="FFFFFFFF"/>
      <name val="Calibri"/>
      <family val="2"/>
    </font>
    <font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0" fontId="11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9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1" fillId="0" borderId="0"/>
  </cellStyleXfs>
  <cellXfs count="178">
    <xf numFmtId="0" fontId="0" fillId="0" borderId="0" xfId="0"/>
    <xf numFmtId="0" fontId="13" fillId="0" borderId="0" xfId="0" applyFont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0" xfId="0" applyAlignment="1">
      <alignment horizontal="center"/>
    </xf>
    <xf numFmtId="0" fontId="13" fillId="2" borderId="1" xfId="0" applyFont="1" applyFill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2" xfId="0" applyNumberFormat="1" applyBorder="1" applyAlignment="1">
      <alignment horizontal="right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2" fontId="0" fillId="0" borderId="0" xfId="0" applyNumberFormat="1" applyAlignment="1">
      <alignment horizontal="center"/>
    </xf>
    <xf numFmtId="0" fontId="8" fillId="0" borderId="0" xfId="5"/>
    <xf numFmtId="0" fontId="7" fillId="0" borderId="0" xfId="5" applyFont="1"/>
    <xf numFmtId="0" fontId="0" fillId="0" borderId="0" xfId="6" applyFont="1"/>
    <xf numFmtId="0" fontId="19" fillId="0" borderId="0" xfId="7"/>
    <xf numFmtId="2" fontId="13" fillId="0" borderId="0" xfId="0" applyNumberFormat="1" applyFont="1" applyAlignment="1">
      <alignment horizontal="right"/>
    </xf>
    <xf numFmtId="1" fontId="0" fillId="0" borderId="0" xfId="0" applyNumberFormat="1"/>
    <xf numFmtId="0" fontId="6" fillId="0" borderId="0" xfId="8" applyFont="1"/>
    <xf numFmtId="0" fontId="5" fillId="0" borderId="0" xfId="8" applyFont="1"/>
    <xf numFmtId="0" fontId="5" fillId="0" borderId="0" xfId="5" applyFont="1"/>
    <xf numFmtId="0" fontId="4" fillId="0" borderId="0" xfId="9" applyFont="1"/>
    <xf numFmtId="165" fontId="4" fillId="0" borderId="0" xfId="9" applyNumberFormat="1" applyFont="1"/>
    <xf numFmtId="0" fontId="17" fillId="0" borderId="0" xfId="0" applyFont="1" applyAlignment="1">
      <alignment horizontal="center"/>
    </xf>
    <xf numFmtId="0" fontId="17" fillId="0" borderId="3" xfId="0" applyFont="1" applyBorder="1"/>
    <xf numFmtId="0" fontId="17" fillId="0" borderId="0" xfId="0" applyFont="1"/>
    <xf numFmtId="0" fontId="17" fillId="0" borderId="2" xfId="0" applyFont="1" applyBorder="1"/>
    <xf numFmtId="0" fontId="2" fillId="0" borderId="0" xfId="5" applyFont="1"/>
    <xf numFmtId="0" fontId="28" fillId="0" borderId="0" xfId="0" applyFont="1"/>
    <xf numFmtId="0" fontId="29" fillId="0" borderId="0" xfId="0" applyFont="1"/>
    <xf numFmtId="0" fontId="24" fillId="0" borderId="0" xfId="0" applyFont="1" applyProtection="1">
      <protection locked="0"/>
    </xf>
    <xf numFmtId="0" fontId="0" fillId="0" borderId="0" xfId="0" applyProtection="1">
      <protection locked="0"/>
    </xf>
    <xf numFmtId="0" fontId="13" fillId="0" borderId="0" xfId="0" applyFont="1" applyProtection="1">
      <protection locked="0"/>
    </xf>
    <xf numFmtId="0" fontId="10" fillId="2" borderId="1" xfId="0" applyFont="1" applyFill="1" applyBorder="1" applyAlignment="1" applyProtection="1">
      <alignment vertical="top"/>
      <protection locked="0"/>
    </xf>
    <xf numFmtId="0" fontId="10" fillId="2" borderId="1" xfId="0" applyFont="1" applyFill="1" applyBorder="1" applyAlignment="1" applyProtection="1">
      <alignment horizontal="right" wrapText="1"/>
      <protection locked="0"/>
    </xf>
    <xf numFmtId="0" fontId="14" fillId="0" borderId="1" xfId="0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1" fillId="0" borderId="0" xfId="1" applyProtection="1">
      <protection locked="0"/>
    </xf>
    <xf numFmtId="0" fontId="10" fillId="2" borderId="1" xfId="0" applyFont="1" applyFill="1" applyBorder="1" applyProtection="1">
      <protection locked="0"/>
    </xf>
    <xf numFmtId="0" fontId="23" fillId="2" borderId="1" xfId="0" applyFont="1" applyFill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/>
      <protection locked="0"/>
    </xf>
    <xf numFmtId="2" fontId="17" fillId="0" borderId="0" xfId="0" applyNumberFormat="1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17" fillId="0" borderId="1" xfId="0" applyNumberFormat="1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center"/>
      <protection locked="0"/>
    </xf>
    <xf numFmtId="2" fontId="17" fillId="0" borderId="2" xfId="0" applyNumberFormat="1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12" fillId="0" borderId="0" xfId="4" applyProtection="1">
      <protection locked="0"/>
    </xf>
    <xf numFmtId="2" fontId="12" fillId="0" borderId="0" xfId="4" applyNumberFormat="1" applyAlignment="1" applyProtection="1">
      <alignment horizontal="center"/>
      <protection locked="0"/>
    </xf>
    <xf numFmtId="2" fontId="10" fillId="0" borderId="1" xfId="0" applyNumberFormat="1" applyFon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2" fontId="15" fillId="0" borderId="0" xfId="2" applyNumberFormat="1" applyFont="1" applyAlignment="1" applyProtection="1">
      <alignment horizontal="right" vertical="center"/>
      <protection locked="0"/>
    </xf>
    <xf numFmtId="2" fontId="15" fillId="0" borderId="0" xfId="3" applyNumberFormat="1" applyFont="1" applyAlignment="1" applyProtection="1">
      <alignment horizontal="right" vertical="center"/>
      <protection locked="0"/>
    </xf>
    <xf numFmtId="0" fontId="14" fillId="0" borderId="0" xfId="0" applyFont="1" applyProtection="1"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0" fontId="13" fillId="2" borderId="1" xfId="0" applyFont="1" applyFill="1" applyBorder="1" applyProtection="1">
      <protection locked="0"/>
    </xf>
    <xf numFmtId="0" fontId="13" fillId="0" borderId="1" xfId="0" applyFont="1" applyBorder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6" fillId="0" borderId="2" xfId="0" applyFont="1" applyBorder="1" applyProtection="1">
      <protection locked="0"/>
    </xf>
    <xf numFmtId="0" fontId="10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right"/>
      <protection locked="0"/>
    </xf>
    <xf numFmtId="2" fontId="11" fillId="0" borderId="0" xfId="1" applyNumberForma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right"/>
      <protection locked="0"/>
    </xf>
    <xf numFmtId="2" fontId="0" fillId="0" borderId="2" xfId="0" applyNumberFormat="1" applyBorder="1" applyProtection="1">
      <protection locked="0"/>
    </xf>
    <xf numFmtId="0" fontId="13" fillId="2" borderId="1" xfId="0" applyFont="1" applyFill="1" applyBorder="1" applyAlignment="1" applyProtection="1">
      <alignment horizontal="right"/>
      <protection locked="0"/>
    </xf>
    <xf numFmtId="0" fontId="18" fillId="0" borderId="2" xfId="0" applyFont="1" applyBorder="1" applyProtection="1">
      <protection locked="0"/>
    </xf>
    <xf numFmtId="0" fontId="25" fillId="0" borderId="0" xfId="1" applyFont="1" applyProtection="1">
      <protection locked="0"/>
    </xf>
    <xf numFmtId="1" fontId="13" fillId="2" borderId="1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1" fontId="0" fillId="0" borderId="2" xfId="0" applyNumberFormat="1" applyBorder="1" applyProtection="1">
      <protection locked="0"/>
    </xf>
    <xf numFmtId="0" fontId="22" fillId="0" borderId="0" xfId="0" applyFont="1" applyAlignment="1" applyProtection="1">
      <alignment wrapText="1"/>
      <protection locked="0"/>
    </xf>
    <xf numFmtId="2" fontId="13" fillId="2" borderId="1" xfId="0" applyNumberFormat="1" applyFont="1" applyFill="1" applyBorder="1" applyProtection="1">
      <protection locked="0"/>
    </xf>
    <xf numFmtId="0" fontId="2" fillId="0" borderId="0" xfId="5" applyFont="1" applyProtection="1">
      <protection locked="0"/>
    </xf>
    <xf numFmtId="0" fontId="26" fillId="0" borderId="0" xfId="0" applyFont="1" applyProtection="1">
      <protection locked="0"/>
    </xf>
    <xf numFmtId="2" fontId="12" fillId="0" borderId="0" xfId="0" applyNumberFormat="1" applyFont="1" applyAlignment="1" applyProtection="1">
      <alignment horizontal="right"/>
      <protection locked="0"/>
    </xf>
    <xf numFmtId="0" fontId="2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21" fillId="3" borderId="1" xfId="0" applyFont="1" applyFill="1" applyBorder="1" applyProtection="1">
      <protection locked="0"/>
    </xf>
    <xf numFmtId="2" fontId="21" fillId="3" borderId="1" xfId="0" applyNumberFormat="1" applyFont="1" applyFill="1" applyBorder="1" applyAlignment="1" applyProtection="1">
      <alignment horizontal="right"/>
      <protection locked="0"/>
    </xf>
    <xf numFmtId="2" fontId="0" fillId="0" borderId="2" xfId="0" applyNumberForma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2" fontId="24" fillId="0" borderId="0" xfId="0" applyNumberFormat="1" applyFont="1" applyAlignment="1" applyProtection="1">
      <alignment horizontal="right"/>
      <protection locked="0"/>
    </xf>
    <xf numFmtId="0" fontId="24" fillId="0" borderId="0" xfId="0" applyFont="1" applyAlignment="1" applyProtection="1">
      <alignment horizontal="right"/>
      <protection locked="0"/>
    </xf>
    <xf numFmtId="0" fontId="12" fillId="0" borderId="0" xfId="0" applyFont="1" applyAlignment="1" applyProtection="1">
      <alignment horizontal="right"/>
      <protection locked="0"/>
    </xf>
    <xf numFmtId="0" fontId="21" fillId="3" borderId="1" xfId="0" applyFont="1" applyFill="1" applyBorder="1" applyAlignment="1" applyProtection="1">
      <alignment horizontal="right"/>
      <protection locked="0"/>
    </xf>
    <xf numFmtId="0" fontId="13" fillId="0" borderId="0" xfId="6" applyFont="1" applyProtection="1">
      <protection locked="0"/>
    </xf>
    <xf numFmtId="0" fontId="13" fillId="2" borderId="1" xfId="6" applyFont="1" applyFill="1" applyBorder="1" applyProtection="1">
      <protection locked="0"/>
    </xf>
    <xf numFmtId="0" fontId="16" fillId="0" borderId="1" xfId="6" applyFont="1" applyBorder="1" applyProtection="1">
      <protection locked="0"/>
    </xf>
    <xf numFmtId="0" fontId="13" fillId="0" borderId="1" xfId="6" applyFont="1" applyBorder="1" applyProtection="1">
      <protection locked="0"/>
    </xf>
    <xf numFmtId="0" fontId="0" fillId="0" borderId="3" xfId="6" applyFont="1" applyBorder="1" applyProtection="1">
      <protection locked="0"/>
    </xf>
    <xf numFmtId="0" fontId="0" fillId="0" borderId="0" xfId="6" applyFont="1" applyProtection="1">
      <protection locked="0"/>
    </xf>
    <xf numFmtId="0" fontId="0" fillId="0" borderId="0" xfId="6" applyFont="1" applyAlignment="1" applyProtection="1">
      <alignment wrapText="1"/>
      <protection locked="0"/>
    </xf>
    <xf numFmtId="0" fontId="0" fillId="0" borderId="2" xfId="6" applyFont="1" applyBorder="1" applyProtection="1">
      <protection locked="0"/>
    </xf>
    <xf numFmtId="2" fontId="13" fillId="2" borderId="1" xfId="0" applyNumberFormat="1" applyFont="1" applyFill="1" applyBorder="1" applyAlignment="1" applyProtection="1">
      <alignment horizontal="right"/>
      <protection locked="0"/>
    </xf>
    <xf numFmtId="0" fontId="3" fillId="0" borderId="0" xfId="7" applyFont="1" applyProtection="1">
      <protection locked="0"/>
    </xf>
    <xf numFmtId="0" fontId="10" fillId="0" borderId="0" xfId="5" applyFont="1" applyProtection="1">
      <protection locked="0"/>
    </xf>
    <xf numFmtId="0" fontId="2" fillId="0" borderId="0" xfId="10" applyFont="1" applyProtection="1">
      <protection locked="0"/>
    </xf>
    <xf numFmtId="0" fontId="2" fillId="0" borderId="2" xfId="10" applyFont="1" applyBorder="1" applyProtection="1">
      <protection locked="0"/>
    </xf>
    <xf numFmtId="0" fontId="24" fillId="0" borderId="0" xfId="6" applyFont="1" applyProtection="1">
      <protection locked="0"/>
    </xf>
    <xf numFmtId="0" fontId="0" fillId="0" borderId="1" xfId="6" applyFont="1" applyBorder="1" applyProtection="1">
      <protection locked="0"/>
    </xf>
    <xf numFmtId="2" fontId="13" fillId="2" borderId="1" xfId="0" applyNumberFormat="1" applyFont="1" applyFill="1" applyBorder="1" applyAlignment="1" applyProtection="1">
      <alignment horizontal="center"/>
      <protection locked="0"/>
    </xf>
    <xf numFmtId="0" fontId="2" fillId="0" borderId="1" xfId="10" applyFont="1" applyBorder="1" applyProtection="1">
      <protection locked="0"/>
    </xf>
    <xf numFmtId="0" fontId="8" fillId="0" borderId="0" xfId="5" applyProtection="1">
      <protection locked="0"/>
    </xf>
    <xf numFmtId="165" fontId="24" fillId="0" borderId="0" xfId="8" applyNumberFormat="1" applyFont="1" applyProtection="1">
      <protection locked="0"/>
    </xf>
    <xf numFmtId="165" fontId="2" fillId="0" borderId="0" xfId="8" applyNumberFormat="1" applyFont="1" applyProtection="1">
      <protection locked="0"/>
    </xf>
    <xf numFmtId="165" fontId="0" fillId="0" borderId="0" xfId="0" applyNumberFormat="1" applyProtection="1">
      <protection locked="0"/>
    </xf>
    <xf numFmtId="0" fontId="24" fillId="0" borderId="0" xfId="8" applyFont="1" applyProtection="1">
      <protection locked="0"/>
    </xf>
    <xf numFmtId="0" fontId="2" fillId="0" borderId="0" xfId="8" applyFont="1" applyProtection="1">
      <protection locked="0"/>
    </xf>
    <xf numFmtId="0" fontId="24" fillId="0" borderId="0" xfId="9" applyFont="1" applyProtection="1">
      <protection locked="0"/>
    </xf>
    <xf numFmtId="0" fontId="20" fillId="0" borderId="2" xfId="7" applyFont="1" applyBorder="1" applyProtection="1">
      <protection locked="0"/>
    </xf>
    <xf numFmtId="0" fontId="27" fillId="0" borderId="2" xfId="7" applyFont="1" applyBorder="1" applyProtection="1">
      <protection locked="0"/>
    </xf>
    <xf numFmtId="2" fontId="19" fillId="0" borderId="0" xfId="7" applyNumberFormat="1" applyProtection="1">
      <protection locked="0"/>
    </xf>
    <xf numFmtId="0" fontId="19" fillId="0" borderId="0" xfId="7" applyProtection="1">
      <protection locked="0"/>
    </xf>
    <xf numFmtId="2" fontId="19" fillId="0" borderId="2" xfId="7" applyNumberFormat="1" applyBorder="1" applyProtection="1">
      <protection locked="0"/>
    </xf>
    <xf numFmtId="0" fontId="19" fillId="0" borderId="2" xfId="7" applyBorder="1" applyProtection="1">
      <protection locked="0"/>
    </xf>
    <xf numFmtId="0" fontId="3" fillId="0" borderId="2" xfId="7" applyFont="1" applyBorder="1" applyProtection="1">
      <protection locked="0"/>
    </xf>
    <xf numFmtId="2" fontId="2" fillId="0" borderId="2" xfId="0" applyNumberFormat="1" applyFont="1" applyBorder="1" applyProtection="1">
      <protection locked="0"/>
    </xf>
    <xf numFmtId="0" fontId="22" fillId="0" borderId="0" xfId="0" applyFont="1" applyProtection="1">
      <protection locked="0"/>
    </xf>
    <xf numFmtId="0" fontId="2" fillId="0" borderId="0" xfId="9" applyFont="1" applyProtection="1">
      <protection locked="0"/>
    </xf>
    <xf numFmtId="165" fontId="2" fillId="0" borderId="0" xfId="9" applyNumberFormat="1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7" applyFont="1"/>
    <xf numFmtId="0" fontId="16" fillId="0" borderId="0" xfId="0" applyFont="1" applyProtection="1">
      <protection locked="0"/>
    </xf>
    <xf numFmtId="0" fontId="16" fillId="0" borderId="0" xfId="0" applyFont="1"/>
    <xf numFmtId="0" fontId="2" fillId="0" borderId="0" xfId="8" applyFont="1"/>
    <xf numFmtId="0" fontId="11" fillId="0" borderId="0" xfId="1"/>
    <xf numFmtId="0" fontId="3" fillId="0" borderId="0" xfId="11"/>
    <xf numFmtId="0" fontId="10" fillId="0" borderId="0" xfId="12" applyFont="1" applyProtection="1">
      <protection locked="0"/>
    </xf>
    <xf numFmtId="0" fontId="10" fillId="0" borderId="0" xfId="11" applyFont="1"/>
    <xf numFmtId="0" fontId="10" fillId="0" borderId="0" xfId="11" applyFont="1" applyAlignment="1">
      <alignment horizontal="center"/>
    </xf>
    <xf numFmtId="0" fontId="3" fillId="0" borderId="0" xfId="11" applyAlignment="1">
      <alignment horizontal="center"/>
    </xf>
    <xf numFmtId="0" fontId="3" fillId="0" borderId="4" xfId="11" applyBorder="1"/>
    <xf numFmtId="2" fontId="3" fillId="0" borderId="0" xfId="11" applyNumberFormat="1"/>
    <xf numFmtId="2" fontId="3" fillId="0" borderId="5" xfId="11" applyNumberFormat="1" applyBorder="1"/>
    <xf numFmtId="2" fontId="3" fillId="0" borderId="4" xfId="11" applyNumberFormat="1" applyBorder="1"/>
    <xf numFmtId="165" fontId="3" fillId="0" borderId="4" xfId="11" applyNumberFormat="1" applyBorder="1"/>
    <xf numFmtId="0" fontId="3" fillId="0" borderId="2" xfId="11" applyBorder="1"/>
    <xf numFmtId="0" fontId="3" fillId="0" borderId="6" xfId="11" applyBorder="1"/>
    <xf numFmtId="2" fontId="3" fillId="0" borderId="2" xfId="11" applyNumberFormat="1" applyBorder="1"/>
    <xf numFmtId="2" fontId="3" fillId="0" borderId="7" xfId="11" applyNumberFormat="1" applyBorder="1"/>
    <xf numFmtId="2" fontId="3" fillId="0" borderId="6" xfId="11" applyNumberFormat="1" applyBorder="1"/>
    <xf numFmtId="0" fontId="3" fillId="0" borderId="12" xfId="11" applyBorder="1"/>
    <xf numFmtId="165" fontId="3" fillId="0" borderId="12" xfId="11" applyNumberFormat="1" applyBorder="1"/>
    <xf numFmtId="0" fontId="3" fillId="0" borderId="11" xfId="11" applyBorder="1"/>
    <xf numFmtId="0" fontId="10" fillId="4" borderId="8" xfId="11" applyFont="1" applyFill="1" applyBorder="1"/>
    <xf numFmtId="0" fontId="10" fillId="4" borderId="10" xfId="11" applyFont="1" applyFill="1" applyBorder="1"/>
    <xf numFmtId="0" fontId="10" fillId="4" borderId="6" xfId="11" applyFont="1" applyFill="1" applyBorder="1"/>
    <xf numFmtId="0" fontId="10" fillId="4" borderId="11" xfId="11" applyFont="1" applyFill="1" applyBorder="1"/>
    <xf numFmtId="0" fontId="10" fillId="4" borderId="2" xfId="11" applyFont="1" applyFill="1" applyBorder="1"/>
    <xf numFmtId="165" fontId="10" fillId="4" borderId="2" xfId="11" applyNumberFormat="1" applyFont="1" applyFill="1" applyBorder="1"/>
    <xf numFmtId="165" fontId="10" fillId="4" borderId="7" xfId="11" applyNumberFormat="1" applyFont="1" applyFill="1" applyBorder="1"/>
    <xf numFmtId="0" fontId="10" fillId="0" borderId="0" xfId="11" applyFont="1" applyAlignment="1">
      <alignment horizontal="center"/>
    </xf>
    <xf numFmtId="0" fontId="3" fillId="0" borderId="0" xfId="11" applyAlignment="1">
      <alignment horizontal="center"/>
    </xf>
    <xf numFmtId="0" fontId="10" fillId="4" borderId="3" xfId="11" applyFont="1" applyFill="1" applyBorder="1" applyAlignment="1">
      <alignment horizontal="center"/>
    </xf>
    <xf numFmtId="0" fontId="3" fillId="4" borderId="3" xfId="11" applyFill="1" applyBorder="1" applyAlignment="1">
      <alignment horizontal="center"/>
    </xf>
    <xf numFmtId="0" fontId="3" fillId="4" borderId="9" xfId="11" applyFill="1" applyBorder="1" applyAlignment="1">
      <alignment horizontal="center"/>
    </xf>
    <xf numFmtId="0" fontId="10" fillId="4" borderId="8" xfId="11" applyFont="1" applyFill="1" applyBorder="1" applyAlignment="1">
      <alignment horizontal="center"/>
    </xf>
    <xf numFmtId="0" fontId="22" fillId="0" borderId="0" xfId="0" applyFont="1" applyProtection="1">
      <protection locked="0"/>
    </xf>
    <xf numFmtId="0" fontId="0" fillId="0" borderId="0" xfId="0" applyProtection="1">
      <protection locked="0"/>
    </xf>
    <xf numFmtId="0" fontId="22" fillId="0" borderId="0" xfId="0" applyFont="1" applyAlignment="1" applyProtection="1">
      <alignment wrapText="1"/>
      <protection locked="0"/>
    </xf>
    <xf numFmtId="0" fontId="22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wrapText="1"/>
      <protection locked="0"/>
    </xf>
  </cellXfs>
  <cellStyles count="13">
    <cellStyle name="Hyperlink" xfId="1" builtinId="8"/>
    <cellStyle name="Normal" xfId="0" builtinId="0"/>
    <cellStyle name="Normal 2" xfId="4" xr:uid="{00000000-0005-0000-0000-000004000000}"/>
    <cellStyle name="Normal 2 2" xfId="6" xr:uid="{00000000-0005-0000-0000-000006000000}"/>
    <cellStyle name="Normal 3" xfId="5" xr:uid="{00000000-0005-0000-0000-000005000000}"/>
    <cellStyle name="Normal 3 2" xfId="12" xr:uid="{795CD573-387C-4AFF-98F3-C21B63FD13C1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7" xfId="10" xr:uid="{00000000-0005-0000-0000-00000A000000}"/>
    <cellStyle name="Normal 8" xfId="11" xr:uid="{CCDB7384-5AFA-4936-A86C-54F645D9C80F}"/>
    <cellStyle name="style1566320242532" xfId="3" xr:uid="{00000000-0005-0000-0000-000003000000}"/>
    <cellStyle name="style1566320242688" xfId="2" xr:uid="{00000000-0005-0000-0000-00000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customXml" Target="../customXml/item3.xml"/><Relationship Id="rId172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customXml" Target="../customXml/item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59"/>
  <sheetViews>
    <sheetView tabSelected="1" workbookViewId="0"/>
  </sheetViews>
  <sheetFormatPr defaultColWidth="8.7109375" defaultRowHeight="15" x14ac:dyDescent="0.25"/>
  <cols>
    <col min="1" max="1" width="18" customWidth="1"/>
    <col min="2" max="2" width="90" customWidth="1"/>
    <col min="4" max="5" width="8.7109375" customWidth="1"/>
  </cols>
  <sheetData>
    <row r="1" spans="1:2" x14ac:dyDescent="0.25">
      <c r="A1" s="30" t="s">
        <v>0</v>
      </c>
      <c r="B1" s="30" t="s">
        <v>1</v>
      </c>
    </row>
    <row r="2" spans="1:2" x14ac:dyDescent="0.25">
      <c r="A2" s="31" t="s">
        <v>2</v>
      </c>
      <c r="B2" t="s">
        <v>3</v>
      </c>
    </row>
    <row r="3" spans="1:2" x14ac:dyDescent="0.25">
      <c r="A3" s="31" t="s">
        <v>4</v>
      </c>
      <c r="B3" t="s">
        <v>5</v>
      </c>
    </row>
    <row r="4" spans="1:2" x14ac:dyDescent="0.25">
      <c r="A4" s="31" t="s">
        <v>6</v>
      </c>
      <c r="B4" t="s">
        <v>7</v>
      </c>
    </row>
    <row r="5" spans="1:2" x14ac:dyDescent="0.25">
      <c r="A5" s="31" t="s">
        <v>8</v>
      </c>
      <c r="B5" t="s">
        <v>9</v>
      </c>
    </row>
    <row r="6" spans="1:2" x14ac:dyDescent="0.25">
      <c r="A6" s="31" t="s">
        <v>10</v>
      </c>
      <c r="B6" t="s">
        <v>11</v>
      </c>
    </row>
    <row r="7" spans="1:2" x14ac:dyDescent="0.25">
      <c r="A7" s="31" t="s">
        <v>12</v>
      </c>
      <c r="B7" t="s">
        <v>13</v>
      </c>
    </row>
    <row r="8" spans="1:2" x14ac:dyDescent="0.25">
      <c r="A8" s="31" t="s">
        <v>14</v>
      </c>
      <c r="B8" t="s">
        <v>15</v>
      </c>
    </row>
    <row r="9" spans="1:2" x14ac:dyDescent="0.25">
      <c r="A9" s="31" t="s">
        <v>16</v>
      </c>
      <c r="B9" t="s">
        <v>17</v>
      </c>
    </row>
    <row r="10" spans="1:2" x14ac:dyDescent="0.25">
      <c r="A10" s="31" t="s">
        <v>18</v>
      </c>
      <c r="B10" t="s">
        <v>19</v>
      </c>
    </row>
    <row r="11" spans="1:2" x14ac:dyDescent="0.25">
      <c r="A11" s="31" t="s">
        <v>20</v>
      </c>
      <c r="B11" t="s">
        <v>21</v>
      </c>
    </row>
    <row r="12" spans="1:2" x14ac:dyDescent="0.25">
      <c r="A12" s="31" t="s">
        <v>22</v>
      </c>
      <c r="B12" t="s">
        <v>23</v>
      </c>
    </row>
    <row r="13" spans="1:2" x14ac:dyDescent="0.25">
      <c r="A13" s="31" t="s">
        <v>24</v>
      </c>
      <c r="B13" t="s">
        <v>25</v>
      </c>
    </row>
    <row r="14" spans="1:2" x14ac:dyDescent="0.25">
      <c r="A14" s="31" t="s">
        <v>26</v>
      </c>
      <c r="B14" t="s">
        <v>27</v>
      </c>
    </row>
    <row r="15" spans="1:2" x14ac:dyDescent="0.25">
      <c r="A15" s="31" t="s">
        <v>28</v>
      </c>
      <c r="B15" t="s">
        <v>29</v>
      </c>
    </row>
    <row r="16" spans="1:2" x14ac:dyDescent="0.25">
      <c r="A16" s="31" t="s">
        <v>30</v>
      </c>
      <c r="B16" t="s">
        <v>31</v>
      </c>
    </row>
    <row r="17" spans="1:2" x14ac:dyDescent="0.25">
      <c r="A17" s="31" t="s">
        <v>32</v>
      </c>
      <c r="B17" t="s">
        <v>33</v>
      </c>
    </row>
    <row r="18" spans="1:2" x14ac:dyDescent="0.25">
      <c r="A18" s="31" t="s">
        <v>34</v>
      </c>
      <c r="B18" t="s">
        <v>35</v>
      </c>
    </row>
    <row r="19" spans="1:2" x14ac:dyDescent="0.25">
      <c r="A19" s="31" t="s">
        <v>36</v>
      </c>
      <c r="B19" t="s">
        <v>37</v>
      </c>
    </row>
    <row r="20" spans="1:2" x14ac:dyDescent="0.25">
      <c r="A20" s="31" t="s">
        <v>38</v>
      </c>
      <c r="B20" t="s">
        <v>39</v>
      </c>
    </row>
    <row r="21" spans="1:2" x14ac:dyDescent="0.25">
      <c r="A21" s="31" t="s">
        <v>40</v>
      </c>
      <c r="B21" t="s">
        <v>41</v>
      </c>
    </row>
    <row r="22" spans="1:2" x14ac:dyDescent="0.25">
      <c r="A22" s="31" t="s">
        <v>42</v>
      </c>
      <c r="B22" t="s">
        <v>43</v>
      </c>
    </row>
    <row r="23" spans="1:2" x14ac:dyDescent="0.25">
      <c r="A23" s="31" t="s">
        <v>44</v>
      </c>
      <c r="B23" t="s">
        <v>45</v>
      </c>
    </row>
    <row r="24" spans="1:2" x14ac:dyDescent="0.25">
      <c r="A24" s="31" t="s">
        <v>46</v>
      </c>
      <c r="B24" t="s">
        <v>47</v>
      </c>
    </row>
    <row r="25" spans="1:2" x14ac:dyDescent="0.25">
      <c r="A25" s="31" t="s">
        <v>48</v>
      </c>
      <c r="B25" t="s">
        <v>49</v>
      </c>
    </row>
    <row r="26" spans="1:2" x14ac:dyDescent="0.25">
      <c r="A26" s="31" t="s">
        <v>50</v>
      </c>
      <c r="B26" t="s">
        <v>51</v>
      </c>
    </row>
    <row r="27" spans="1:2" x14ac:dyDescent="0.25">
      <c r="A27" s="31" t="s">
        <v>52</v>
      </c>
      <c r="B27" t="s">
        <v>53</v>
      </c>
    </row>
    <row r="28" spans="1:2" x14ac:dyDescent="0.25">
      <c r="A28" s="31" t="s">
        <v>54</v>
      </c>
      <c r="B28" t="s">
        <v>55</v>
      </c>
    </row>
    <row r="29" spans="1:2" x14ac:dyDescent="0.25">
      <c r="A29" s="31" t="s">
        <v>56</v>
      </c>
      <c r="B29" t="s">
        <v>57</v>
      </c>
    </row>
    <row r="30" spans="1:2" x14ac:dyDescent="0.25">
      <c r="A30" s="31" t="s">
        <v>58</v>
      </c>
      <c r="B30" t="s">
        <v>59</v>
      </c>
    </row>
    <row r="31" spans="1:2" x14ac:dyDescent="0.25">
      <c r="A31" s="31" t="s">
        <v>60</v>
      </c>
      <c r="B31" t="s">
        <v>61</v>
      </c>
    </row>
    <row r="32" spans="1:2" x14ac:dyDescent="0.25">
      <c r="A32" s="31" t="s">
        <v>62</v>
      </c>
      <c r="B32" t="s">
        <v>63</v>
      </c>
    </row>
    <row r="33" spans="1:2" x14ac:dyDescent="0.25">
      <c r="A33" s="31" t="s">
        <v>64</v>
      </c>
      <c r="B33" t="s">
        <v>65</v>
      </c>
    </row>
    <row r="34" spans="1:2" x14ac:dyDescent="0.25">
      <c r="A34" s="31" t="s">
        <v>66</v>
      </c>
      <c r="B34" t="s">
        <v>67</v>
      </c>
    </row>
    <row r="35" spans="1:2" x14ac:dyDescent="0.25">
      <c r="A35" s="31" t="s">
        <v>68</v>
      </c>
      <c r="B35" t="s">
        <v>69</v>
      </c>
    </row>
    <row r="36" spans="1:2" x14ac:dyDescent="0.25">
      <c r="A36" s="31" t="s">
        <v>70</v>
      </c>
      <c r="B36" t="s">
        <v>71</v>
      </c>
    </row>
    <row r="37" spans="1:2" x14ac:dyDescent="0.25">
      <c r="A37" s="31" t="s">
        <v>72</v>
      </c>
      <c r="B37" t="s">
        <v>73</v>
      </c>
    </row>
    <row r="38" spans="1:2" x14ac:dyDescent="0.25">
      <c r="A38" s="31" t="s">
        <v>74</v>
      </c>
      <c r="B38" t="s">
        <v>75</v>
      </c>
    </row>
    <row r="39" spans="1:2" x14ac:dyDescent="0.25">
      <c r="A39" s="31" t="s">
        <v>76</v>
      </c>
      <c r="B39" t="s">
        <v>77</v>
      </c>
    </row>
    <row r="40" spans="1:2" x14ac:dyDescent="0.25">
      <c r="A40" s="31" t="s">
        <v>78</v>
      </c>
      <c r="B40" t="s">
        <v>79</v>
      </c>
    </row>
    <row r="41" spans="1:2" x14ac:dyDescent="0.25">
      <c r="A41" s="31" t="s">
        <v>80</v>
      </c>
      <c r="B41" t="s">
        <v>81</v>
      </c>
    </row>
    <row r="42" spans="1:2" x14ac:dyDescent="0.25">
      <c r="A42" s="31" t="s">
        <v>82</v>
      </c>
      <c r="B42" t="s">
        <v>83</v>
      </c>
    </row>
    <row r="43" spans="1:2" x14ac:dyDescent="0.25">
      <c r="A43" s="31" t="s">
        <v>84</v>
      </c>
      <c r="B43" t="s">
        <v>85</v>
      </c>
    </row>
    <row r="44" spans="1:2" x14ac:dyDescent="0.25">
      <c r="A44" s="31" t="s">
        <v>86</v>
      </c>
      <c r="B44" t="s">
        <v>87</v>
      </c>
    </row>
    <row r="45" spans="1:2" x14ac:dyDescent="0.25">
      <c r="A45" s="31" t="s">
        <v>88</v>
      </c>
      <c r="B45" t="s">
        <v>89</v>
      </c>
    </row>
    <row r="46" spans="1:2" x14ac:dyDescent="0.25">
      <c r="A46" s="31" t="s">
        <v>90</v>
      </c>
      <c r="B46" t="s">
        <v>91</v>
      </c>
    </row>
    <row r="47" spans="1:2" x14ac:dyDescent="0.25">
      <c r="A47" s="31" t="s">
        <v>92</v>
      </c>
      <c r="B47" t="s">
        <v>93</v>
      </c>
    </row>
    <row r="48" spans="1:2" x14ac:dyDescent="0.25">
      <c r="A48" s="31" t="s">
        <v>94</v>
      </c>
      <c r="B48" t="s">
        <v>95</v>
      </c>
    </row>
    <row r="49" spans="1:2" x14ac:dyDescent="0.25">
      <c r="A49" s="31" t="s">
        <v>96</v>
      </c>
      <c r="B49" t="s">
        <v>97</v>
      </c>
    </row>
    <row r="50" spans="1:2" x14ac:dyDescent="0.25">
      <c r="A50" s="31" t="s">
        <v>98</v>
      </c>
      <c r="B50" t="s">
        <v>99</v>
      </c>
    </row>
    <row r="51" spans="1:2" x14ac:dyDescent="0.25">
      <c r="A51" s="31" t="s">
        <v>100</v>
      </c>
      <c r="B51" t="s">
        <v>101</v>
      </c>
    </row>
    <row r="52" spans="1:2" x14ac:dyDescent="0.25">
      <c r="A52" s="31" t="s">
        <v>102</v>
      </c>
      <c r="B52" t="s">
        <v>103</v>
      </c>
    </row>
    <row r="53" spans="1:2" x14ac:dyDescent="0.25">
      <c r="A53" s="31" t="s">
        <v>104</v>
      </c>
      <c r="B53" t="s">
        <v>105</v>
      </c>
    </row>
    <row r="54" spans="1:2" x14ac:dyDescent="0.25">
      <c r="A54" s="31" t="s">
        <v>106</v>
      </c>
      <c r="B54" t="s">
        <v>107</v>
      </c>
    </row>
    <row r="55" spans="1:2" x14ac:dyDescent="0.25">
      <c r="A55" s="31" t="s">
        <v>108</v>
      </c>
      <c r="B55" t="s">
        <v>109</v>
      </c>
    </row>
    <row r="56" spans="1:2" x14ac:dyDescent="0.25">
      <c r="A56" s="31" t="s">
        <v>110</v>
      </c>
      <c r="B56" t="s">
        <v>111</v>
      </c>
    </row>
    <row r="57" spans="1:2" x14ac:dyDescent="0.25">
      <c r="A57" s="31" t="s">
        <v>112</v>
      </c>
      <c r="B57" t="s">
        <v>113</v>
      </c>
    </row>
    <row r="58" spans="1:2" x14ac:dyDescent="0.25">
      <c r="A58" s="31" t="s">
        <v>114</v>
      </c>
      <c r="B58" t="s">
        <v>115</v>
      </c>
    </row>
    <row r="59" spans="1:2" x14ac:dyDescent="0.25">
      <c r="A59" s="31" t="s">
        <v>116</v>
      </c>
      <c r="B59" t="s">
        <v>117</v>
      </c>
    </row>
    <row r="60" spans="1:2" x14ac:dyDescent="0.25">
      <c r="A60" s="31" t="s">
        <v>118</v>
      </c>
      <c r="B60" t="s">
        <v>119</v>
      </c>
    </row>
    <row r="61" spans="1:2" x14ac:dyDescent="0.25">
      <c r="A61" s="31" t="s">
        <v>120</v>
      </c>
      <c r="B61" t="s">
        <v>121</v>
      </c>
    </row>
    <row r="62" spans="1:2" x14ac:dyDescent="0.25">
      <c r="A62" s="31" t="s">
        <v>122</v>
      </c>
      <c r="B62" t="s">
        <v>123</v>
      </c>
    </row>
    <row r="63" spans="1:2" x14ac:dyDescent="0.25">
      <c r="A63" s="31" t="s">
        <v>124</v>
      </c>
      <c r="B63" t="s">
        <v>125</v>
      </c>
    </row>
    <row r="64" spans="1:2" x14ac:dyDescent="0.25">
      <c r="A64" s="31" t="s">
        <v>126</v>
      </c>
      <c r="B64" t="s">
        <v>127</v>
      </c>
    </row>
    <row r="65" spans="1:2" x14ac:dyDescent="0.25">
      <c r="A65" s="31" t="s">
        <v>128</v>
      </c>
      <c r="B65" t="s">
        <v>129</v>
      </c>
    </row>
    <row r="66" spans="1:2" x14ac:dyDescent="0.25">
      <c r="A66" s="31" t="s">
        <v>130</v>
      </c>
      <c r="B66" t="s">
        <v>131</v>
      </c>
    </row>
    <row r="67" spans="1:2" x14ac:dyDescent="0.25">
      <c r="A67" s="31" t="s">
        <v>132</v>
      </c>
      <c r="B67" t="s">
        <v>133</v>
      </c>
    </row>
    <row r="68" spans="1:2" x14ac:dyDescent="0.25">
      <c r="A68" s="31" t="s">
        <v>134</v>
      </c>
      <c r="B68" t="s">
        <v>135</v>
      </c>
    </row>
    <row r="69" spans="1:2" x14ac:dyDescent="0.25">
      <c r="A69" s="31" t="s">
        <v>136</v>
      </c>
      <c r="B69" t="s">
        <v>137</v>
      </c>
    </row>
    <row r="70" spans="1:2" x14ac:dyDescent="0.25">
      <c r="A70" s="31" t="s">
        <v>138</v>
      </c>
      <c r="B70" t="s">
        <v>139</v>
      </c>
    </row>
    <row r="71" spans="1:2" x14ac:dyDescent="0.25">
      <c r="A71" s="31" t="s">
        <v>140</v>
      </c>
      <c r="B71" t="s">
        <v>141</v>
      </c>
    </row>
    <row r="72" spans="1:2" x14ac:dyDescent="0.25">
      <c r="A72" s="31" t="s">
        <v>142</v>
      </c>
      <c r="B72" t="s">
        <v>143</v>
      </c>
    </row>
    <row r="73" spans="1:2" x14ac:dyDescent="0.25">
      <c r="A73" s="31" t="s">
        <v>144</v>
      </c>
      <c r="B73" t="s">
        <v>145</v>
      </c>
    </row>
    <row r="74" spans="1:2" x14ac:dyDescent="0.25">
      <c r="A74" s="31" t="s">
        <v>146</v>
      </c>
      <c r="B74" t="s">
        <v>147</v>
      </c>
    </row>
    <row r="75" spans="1:2" x14ac:dyDescent="0.25">
      <c r="A75" s="31" t="s">
        <v>148</v>
      </c>
      <c r="B75" t="s">
        <v>149</v>
      </c>
    </row>
    <row r="76" spans="1:2" x14ac:dyDescent="0.25">
      <c r="A76" s="31" t="s">
        <v>150</v>
      </c>
      <c r="B76" t="s">
        <v>151</v>
      </c>
    </row>
    <row r="77" spans="1:2" x14ac:dyDescent="0.25">
      <c r="A77" s="31" t="s">
        <v>152</v>
      </c>
      <c r="B77" t="s">
        <v>153</v>
      </c>
    </row>
    <row r="78" spans="1:2" x14ac:dyDescent="0.25">
      <c r="A78" s="31" t="s">
        <v>154</v>
      </c>
      <c r="B78" t="s">
        <v>155</v>
      </c>
    </row>
    <row r="79" spans="1:2" x14ac:dyDescent="0.25">
      <c r="A79" s="31" t="s">
        <v>156</v>
      </c>
      <c r="B79" t="s">
        <v>157</v>
      </c>
    </row>
    <row r="80" spans="1:2" x14ac:dyDescent="0.25">
      <c r="A80" s="31" t="s">
        <v>158</v>
      </c>
      <c r="B80" t="s">
        <v>159</v>
      </c>
    </row>
    <row r="81" spans="1:2" x14ac:dyDescent="0.25">
      <c r="A81" s="31" t="s">
        <v>160</v>
      </c>
      <c r="B81" t="s">
        <v>161</v>
      </c>
    </row>
    <row r="82" spans="1:2" x14ac:dyDescent="0.25">
      <c r="A82" s="31" t="s">
        <v>162</v>
      </c>
      <c r="B82" t="s">
        <v>163</v>
      </c>
    </row>
    <row r="83" spans="1:2" x14ac:dyDescent="0.25">
      <c r="A83" s="31" t="s">
        <v>164</v>
      </c>
      <c r="B83" t="s">
        <v>165</v>
      </c>
    </row>
    <row r="84" spans="1:2" x14ac:dyDescent="0.25">
      <c r="A84" s="31" t="s">
        <v>166</v>
      </c>
      <c r="B84" t="s">
        <v>167</v>
      </c>
    </row>
    <row r="85" spans="1:2" x14ac:dyDescent="0.25">
      <c r="A85" s="31" t="s">
        <v>168</v>
      </c>
      <c r="B85" t="s">
        <v>169</v>
      </c>
    </row>
    <row r="86" spans="1:2" x14ac:dyDescent="0.25">
      <c r="A86" s="31" t="s">
        <v>170</v>
      </c>
      <c r="B86" t="s">
        <v>171</v>
      </c>
    </row>
    <row r="87" spans="1:2" x14ac:dyDescent="0.25">
      <c r="A87" s="31" t="s">
        <v>172</v>
      </c>
      <c r="B87" t="s">
        <v>173</v>
      </c>
    </row>
    <row r="88" spans="1:2" x14ac:dyDescent="0.25">
      <c r="A88" s="31" t="s">
        <v>174</v>
      </c>
      <c r="B88" t="s">
        <v>175</v>
      </c>
    </row>
    <row r="89" spans="1:2" x14ac:dyDescent="0.25">
      <c r="A89" s="31" t="s">
        <v>176</v>
      </c>
      <c r="B89" t="s">
        <v>177</v>
      </c>
    </row>
    <row r="90" spans="1:2" x14ac:dyDescent="0.25">
      <c r="A90" s="31" t="s">
        <v>178</v>
      </c>
      <c r="B90" t="s">
        <v>179</v>
      </c>
    </row>
    <row r="91" spans="1:2" x14ac:dyDescent="0.25">
      <c r="A91" s="31" t="s">
        <v>180</v>
      </c>
      <c r="B91" t="s">
        <v>181</v>
      </c>
    </row>
    <row r="92" spans="1:2" x14ac:dyDescent="0.25">
      <c r="A92" s="31" t="s">
        <v>182</v>
      </c>
      <c r="B92" t="s">
        <v>183</v>
      </c>
    </row>
    <row r="93" spans="1:2" x14ac:dyDescent="0.25">
      <c r="A93" s="31" t="s">
        <v>184</v>
      </c>
      <c r="B93" t="s">
        <v>185</v>
      </c>
    </row>
    <row r="94" spans="1:2" x14ac:dyDescent="0.25">
      <c r="A94" s="31" t="s">
        <v>186</v>
      </c>
      <c r="B94" t="s">
        <v>187</v>
      </c>
    </row>
    <row r="95" spans="1:2" x14ac:dyDescent="0.25">
      <c r="A95" s="31" t="s">
        <v>188</v>
      </c>
      <c r="B95" t="s">
        <v>189</v>
      </c>
    </row>
    <row r="96" spans="1:2" x14ac:dyDescent="0.25">
      <c r="A96" s="31" t="s">
        <v>190</v>
      </c>
      <c r="B96" t="s">
        <v>191</v>
      </c>
    </row>
    <row r="97" spans="1:2" x14ac:dyDescent="0.25">
      <c r="A97" s="31" t="s">
        <v>192</v>
      </c>
      <c r="B97" t="s">
        <v>193</v>
      </c>
    </row>
    <row r="98" spans="1:2" x14ac:dyDescent="0.25">
      <c r="A98" s="31" t="s">
        <v>194</v>
      </c>
      <c r="B98" t="s">
        <v>195</v>
      </c>
    </row>
    <row r="99" spans="1:2" x14ac:dyDescent="0.25">
      <c r="A99" s="31" t="s">
        <v>196</v>
      </c>
      <c r="B99" t="s">
        <v>197</v>
      </c>
    </row>
    <row r="100" spans="1:2" x14ac:dyDescent="0.25">
      <c r="A100" s="31" t="s">
        <v>198</v>
      </c>
      <c r="B100" t="s">
        <v>199</v>
      </c>
    </row>
    <row r="101" spans="1:2" x14ac:dyDescent="0.25">
      <c r="A101" s="31" t="s">
        <v>200</v>
      </c>
      <c r="B101" t="s">
        <v>201</v>
      </c>
    </row>
    <row r="102" spans="1:2" x14ac:dyDescent="0.25">
      <c r="A102" s="31" t="s">
        <v>202</v>
      </c>
      <c r="B102" t="s">
        <v>203</v>
      </c>
    </row>
    <row r="103" spans="1:2" x14ac:dyDescent="0.25">
      <c r="A103" s="31" t="s">
        <v>204</v>
      </c>
      <c r="B103" t="s">
        <v>205</v>
      </c>
    </row>
    <row r="104" spans="1:2" x14ac:dyDescent="0.25">
      <c r="A104" s="31" t="s">
        <v>206</v>
      </c>
      <c r="B104" t="s">
        <v>207</v>
      </c>
    </row>
    <row r="105" spans="1:2" x14ac:dyDescent="0.25">
      <c r="A105" s="31" t="s">
        <v>208</v>
      </c>
      <c r="B105" t="s">
        <v>209</v>
      </c>
    </row>
    <row r="106" spans="1:2" x14ac:dyDescent="0.25">
      <c r="A106" s="31" t="s">
        <v>210</v>
      </c>
      <c r="B106" t="s">
        <v>211</v>
      </c>
    </row>
    <row r="107" spans="1:2" x14ac:dyDescent="0.25">
      <c r="A107" s="31" t="s">
        <v>212</v>
      </c>
      <c r="B107" t="s">
        <v>213</v>
      </c>
    </row>
    <row r="108" spans="1:2" x14ac:dyDescent="0.25">
      <c r="A108" s="31" t="s">
        <v>214</v>
      </c>
      <c r="B108" t="s">
        <v>215</v>
      </c>
    </row>
    <row r="109" spans="1:2" x14ac:dyDescent="0.25">
      <c r="A109" s="31" t="s">
        <v>216</v>
      </c>
      <c r="B109" t="s">
        <v>217</v>
      </c>
    </row>
    <row r="110" spans="1:2" x14ac:dyDescent="0.25">
      <c r="A110" s="31" t="s">
        <v>218</v>
      </c>
      <c r="B110" t="s">
        <v>219</v>
      </c>
    </row>
    <row r="111" spans="1:2" x14ac:dyDescent="0.25">
      <c r="A111" s="31" t="s">
        <v>220</v>
      </c>
      <c r="B111" t="s">
        <v>221</v>
      </c>
    </row>
    <row r="112" spans="1:2" x14ac:dyDescent="0.25">
      <c r="A112" s="31" t="s">
        <v>222</v>
      </c>
      <c r="B112" t="s">
        <v>223</v>
      </c>
    </row>
    <row r="113" spans="1:2" x14ac:dyDescent="0.25">
      <c r="A113" s="31" t="s">
        <v>224</v>
      </c>
      <c r="B113" t="s">
        <v>225</v>
      </c>
    </row>
    <row r="114" spans="1:2" x14ac:dyDescent="0.25">
      <c r="A114" s="31" t="s">
        <v>226</v>
      </c>
      <c r="B114" t="s">
        <v>227</v>
      </c>
    </row>
    <row r="115" spans="1:2" x14ac:dyDescent="0.25">
      <c r="A115" s="31" t="s">
        <v>228</v>
      </c>
      <c r="B115" t="s">
        <v>229</v>
      </c>
    </row>
    <row r="116" spans="1:2" x14ac:dyDescent="0.25">
      <c r="A116" s="31" t="s">
        <v>230</v>
      </c>
      <c r="B116" t="s">
        <v>231</v>
      </c>
    </row>
    <row r="117" spans="1:2" x14ac:dyDescent="0.25">
      <c r="A117" s="31" t="s">
        <v>232</v>
      </c>
      <c r="B117" t="s">
        <v>233</v>
      </c>
    </row>
    <row r="118" spans="1:2" x14ac:dyDescent="0.25">
      <c r="A118" s="31" t="s">
        <v>234</v>
      </c>
      <c r="B118" t="s">
        <v>235</v>
      </c>
    </row>
    <row r="119" spans="1:2" x14ac:dyDescent="0.25">
      <c r="A119" s="31" t="s">
        <v>236</v>
      </c>
      <c r="B119" t="s">
        <v>237</v>
      </c>
    </row>
    <row r="120" spans="1:2" x14ac:dyDescent="0.25">
      <c r="A120" s="31" t="s">
        <v>238</v>
      </c>
      <c r="B120" t="s">
        <v>239</v>
      </c>
    </row>
    <row r="121" spans="1:2" x14ac:dyDescent="0.25">
      <c r="A121" s="31" t="s">
        <v>240</v>
      </c>
      <c r="B121" t="s">
        <v>241</v>
      </c>
    </row>
    <row r="122" spans="1:2" x14ac:dyDescent="0.25">
      <c r="A122" s="31" t="s">
        <v>242</v>
      </c>
      <c r="B122" t="s">
        <v>243</v>
      </c>
    </row>
    <row r="123" spans="1:2" x14ac:dyDescent="0.25">
      <c r="A123" s="31" t="s">
        <v>244</v>
      </c>
      <c r="B123" t="s">
        <v>245</v>
      </c>
    </row>
    <row r="124" spans="1:2" x14ac:dyDescent="0.25">
      <c r="A124" s="31" t="s">
        <v>246</v>
      </c>
      <c r="B124" t="s">
        <v>247</v>
      </c>
    </row>
    <row r="125" spans="1:2" x14ac:dyDescent="0.25">
      <c r="A125" s="31" t="s">
        <v>248</v>
      </c>
      <c r="B125" t="s">
        <v>249</v>
      </c>
    </row>
    <row r="126" spans="1:2" x14ac:dyDescent="0.25">
      <c r="A126" s="31" t="s">
        <v>250</v>
      </c>
      <c r="B126" t="s">
        <v>251</v>
      </c>
    </row>
    <row r="127" spans="1:2" x14ac:dyDescent="0.25">
      <c r="A127" s="31" t="s">
        <v>252</v>
      </c>
      <c r="B127" t="s">
        <v>253</v>
      </c>
    </row>
    <row r="128" spans="1:2" x14ac:dyDescent="0.25">
      <c r="A128" s="31" t="s">
        <v>254</v>
      </c>
      <c r="B128" t="s">
        <v>255</v>
      </c>
    </row>
    <row r="129" spans="1:2" x14ac:dyDescent="0.25">
      <c r="A129" s="31" t="s">
        <v>256</v>
      </c>
      <c r="B129" t="s">
        <v>257</v>
      </c>
    </row>
    <row r="130" spans="1:2" x14ac:dyDescent="0.25">
      <c r="A130" s="31" t="s">
        <v>258</v>
      </c>
      <c r="B130" t="s">
        <v>259</v>
      </c>
    </row>
    <row r="131" spans="1:2" x14ac:dyDescent="0.25">
      <c r="A131" s="31" t="s">
        <v>260</v>
      </c>
      <c r="B131" t="s">
        <v>261</v>
      </c>
    </row>
    <row r="132" spans="1:2" x14ac:dyDescent="0.25">
      <c r="A132" s="31" t="s">
        <v>262</v>
      </c>
      <c r="B132" t="s">
        <v>263</v>
      </c>
    </row>
    <row r="133" spans="1:2" x14ac:dyDescent="0.25">
      <c r="A133" s="31" t="s">
        <v>264</v>
      </c>
      <c r="B133" t="s">
        <v>265</v>
      </c>
    </row>
    <row r="134" spans="1:2" x14ac:dyDescent="0.25">
      <c r="A134" s="31" t="s">
        <v>266</v>
      </c>
      <c r="B134" t="s">
        <v>267</v>
      </c>
    </row>
    <row r="135" spans="1:2" x14ac:dyDescent="0.25">
      <c r="A135" s="31" t="s">
        <v>268</v>
      </c>
      <c r="B135" t="s">
        <v>269</v>
      </c>
    </row>
    <row r="136" spans="1:2" x14ac:dyDescent="0.25">
      <c r="A136" s="31" t="s">
        <v>270</v>
      </c>
      <c r="B136" t="s">
        <v>271</v>
      </c>
    </row>
    <row r="137" spans="1:2" x14ac:dyDescent="0.25">
      <c r="A137" s="31" t="s">
        <v>272</v>
      </c>
      <c r="B137" t="s">
        <v>273</v>
      </c>
    </row>
    <row r="138" spans="1:2" x14ac:dyDescent="0.25">
      <c r="A138" s="31" t="s">
        <v>274</v>
      </c>
      <c r="B138" t="s">
        <v>275</v>
      </c>
    </row>
    <row r="139" spans="1:2" x14ac:dyDescent="0.25">
      <c r="A139" s="31" t="s">
        <v>276</v>
      </c>
      <c r="B139" t="s">
        <v>277</v>
      </c>
    </row>
    <row r="140" spans="1:2" x14ac:dyDescent="0.25">
      <c r="A140" s="31" t="s">
        <v>278</v>
      </c>
      <c r="B140" t="s">
        <v>279</v>
      </c>
    </row>
    <row r="141" spans="1:2" x14ac:dyDescent="0.25">
      <c r="A141" s="31" t="s">
        <v>280</v>
      </c>
      <c r="B141" t="s">
        <v>281</v>
      </c>
    </row>
    <row r="142" spans="1:2" x14ac:dyDescent="0.25">
      <c r="A142" s="31" t="s">
        <v>282</v>
      </c>
      <c r="B142" t="s">
        <v>283</v>
      </c>
    </row>
    <row r="143" spans="1:2" x14ac:dyDescent="0.25">
      <c r="A143" s="31" t="s">
        <v>284</v>
      </c>
      <c r="B143" t="s">
        <v>285</v>
      </c>
    </row>
    <row r="144" spans="1:2" x14ac:dyDescent="0.25">
      <c r="A144" s="31" t="s">
        <v>286</v>
      </c>
      <c r="B144" t="s">
        <v>287</v>
      </c>
    </row>
    <row r="145" spans="1:2" x14ac:dyDescent="0.25">
      <c r="A145" s="31" t="s">
        <v>288</v>
      </c>
      <c r="B145" t="s">
        <v>289</v>
      </c>
    </row>
    <row r="146" spans="1:2" x14ac:dyDescent="0.25">
      <c r="A146" s="31" t="s">
        <v>290</v>
      </c>
      <c r="B146" t="s">
        <v>291</v>
      </c>
    </row>
    <row r="147" spans="1:2" x14ac:dyDescent="0.25">
      <c r="A147" s="31" t="s">
        <v>292</v>
      </c>
      <c r="B147" t="s">
        <v>293</v>
      </c>
    </row>
    <row r="148" spans="1:2" x14ac:dyDescent="0.25">
      <c r="A148" s="31" t="s">
        <v>294</v>
      </c>
      <c r="B148" t="s">
        <v>295</v>
      </c>
    </row>
    <row r="149" spans="1:2" x14ac:dyDescent="0.25">
      <c r="A149" s="31" t="s">
        <v>296</v>
      </c>
      <c r="B149" t="s">
        <v>297</v>
      </c>
    </row>
    <row r="150" spans="1:2" x14ac:dyDescent="0.25">
      <c r="A150" s="31" t="s">
        <v>298</v>
      </c>
      <c r="B150" t="s">
        <v>299</v>
      </c>
    </row>
    <row r="151" spans="1:2" x14ac:dyDescent="0.25">
      <c r="A151" s="31" t="s">
        <v>300</v>
      </c>
      <c r="B151" t="s">
        <v>301</v>
      </c>
    </row>
    <row r="152" spans="1:2" x14ac:dyDescent="0.25">
      <c r="A152" s="31" t="s">
        <v>302</v>
      </c>
      <c r="B152" t="s">
        <v>303</v>
      </c>
    </row>
    <row r="153" spans="1:2" x14ac:dyDescent="0.25">
      <c r="A153" s="31" t="s">
        <v>304</v>
      </c>
      <c r="B153" t="s">
        <v>305</v>
      </c>
    </row>
    <row r="154" spans="1:2" x14ac:dyDescent="0.25">
      <c r="A154" s="31" t="s">
        <v>306</v>
      </c>
      <c r="B154" t="s">
        <v>307</v>
      </c>
    </row>
    <row r="155" spans="1:2" x14ac:dyDescent="0.25">
      <c r="A155" s="31" t="s">
        <v>308</v>
      </c>
      <c r="B155" t="s">
        <v>309</v>
      </c>
    </row>
    <row r="156" spans="1:2" x14ac:dyDescent="0.25">
      <c r="A156" s="31" t="s">
        <v>310</v>
      </c>
      <c r="B156" t="s">
        <v>311</v>
      </c>
    </row>
    <row r="157" spans="1:2" x14ac:dyDescent="0.25">
      <c r="A157" s="31" t="s">
        <v>312</v>
      </c>
      <c r="B157" t="s">
        <v>313</v>
      </c>
    </row>
    <row r="158" spans="1:2" x14ac:dyDescent="0.25">
      <c r="A158" s="31" t="s">
        <v>314</v>
      </c>
      <c r="B158" t="s">
        <v>315</v>
      </c>
    </row>
    <row r="159" spans="1:2" x14ac:dyDescent="0.25">
      <c r="A159" s="141" t="s">
        <v>3483</v>
      </c>
      <c r="B159" t="s">
        <v>3484</v>
      </c>
    </row>
  </sheetData>
  <autoFilter ref="A1:B158" xr:uid="{00000000-0001-0000-0000-000000000000}"/>
  <hyperlinks>
    <hyperlink ref="A2" location="'T22.A.1'!A1" display="Table 22.1" xr:uid="{00000000-0004-0000-0000-000000000000}"/>
    <hyperlink ref="A3" location="'T22.A.2'!A1" display="Table 22.2" xr:uid="{00000000-0004-0000-0000-000001000000}"/>
    <hyperlink ref="A4" location="'T22.A.3'!A1" display="Table 22.3" xr:uid="{00000000-0004-0000-0000-000002000000}"/>
    <hyperlink ref="A5" location="'T22.A.4'!A1" display="Table 22.4" xr:uid="{00000000-0004-0000-0000-000003000000}"/>
    <hyperlink ref="A6" location="'T22.A.5'!A1" display="Table 22.5" xr:uid="{00000000-0004-0000-0000-000004000000}"/>
    <hyperlink ref="A7" location="'T22.A.6'!A1" display="Table 22.6" xr:uid="{00000000-0004-0000-0000-000005000000}"/>
    <hyperlink ref="A8" location="'T22.A.7'!A1" display="Table 22.7" xr:uid="{00000000-0004-0000-0000-000006000000}"/>
    <hyperlink ref="A9" location="'T22.A.8'!A1" display="Table 22.8" xr:uid="{00000000-0004-0000-0000-000007000000}"/>
    <hyperlink ref="A10" location="'T22.A.9'!A1" display="Table 22.9" xr:uid="{00000000-0004-0000-0000-000008000000}"/>
    <hyperlink ref="A11" location="'T22.A.10'!A1" display="Table 22.10" xr:uid="{00000000-0004-0000-0000-000009000000}"/>
    <hyperlink ref="A12" location="'T22.A.11'!A1" display="Table 22.11" xr:uid="{00000000-0004-0000-0000-00000A000000}"/>
    <hyperlink ref="A13" location="'T22.A.12'!A1" display="Table 22.12" xr:uid="{00000000-0004-0000-0000-00000B000000}"/>
    <hyperlink ref="A14" location="'T22.A.13'!A1" display="Table 22.13" xr:uid="{00000000-0004-0000-0000-00000C000000}"/>
    <hyperlink ref="A15" location="'T22.A.14'!A1" display="Table 22.14" xr:uid="{00000000-0004-0000-0000-00000D000000}"/>
    <hyperlink ref="A16" location="'T22.A.15'!A1" display="Table 22.15" xr:uid="{00000000-0004-0000-0000-00000E000000}"/>
    <hyperlink ref="A17" location="'T22.A.16'!A1" display="Table 22.16" xr:uid="{00000000-0004-0000-0000-00000F000000}"/>
    <hyperlink ref="A18" location="'T22.A.17'!A1" display="Table 22.17" xr:uid="{00000000-0004-0000-0000-000010000000}"/>
    <hyperlink ref="A19" location="'T22.A.18'!A1" display="Table 22.18" xr:uid="{00000000-0004-0000-0000-000011000000}"/>
    <hyperlink ref="A20" location="'T22.A.19'!A1" display="Table 22.19" xr:uid="{00000000-0004-0000-0000-000012000000}"/>
    <hyperlink ref="A21" location="'T22.A.20'!A1" display="Table 22.20" xr:uid="{00000000-0004-0000-0000-000013000000}"/>
    <hyperlink ref="A22" location="'T22.A.21'!A1" display="Table 22.21" xr:uid="{00000000-0004-0000-0000-000014000000}"/>
    <hyperlink ref="A23" location="'T22.A.22'!A1" display="Table 22.22" xr:uid="{00000000-0004-0000-0000-000015000000}"/>
    <hyperlink ref="A24" location="'T22.A.23'!A1" display="Table 22.23" xr:uid="{00000000-0004-0000-0000-000016000000}"/>
    <hyperlink ref="A25" location="'T22.A.24'!A1" display="Table 22.24" xr:uid="{00000000-0004-0000-0000-000017000000}"/>
    <hyperlink ref="A26" location="'T22.A.25'!A1" display="Table 22.25" xr:uid="{00000000-0004-0000-0000-000018000000}"/>
    <hyperlink ref="A27" location="'T22.A.26'!A1" display="Table 22.26" xr:uid="{00000000-0004-0000-0000-000019000000}"/>
    <hyperlink ref="A28" location="'T22.A.27'!A1" display="Table 22.27" xr:uid="{00000000-0004-0000-0000-00001A000000}"/>
    <hyperlink ref="A29" location="'T22.A.28'!A1" display="Table 22.28" xr:uid="{00000000-0004-0000-0000-00001B000000}"/>
    <hyperlink ref="A30" location="'T22.A.29'!A1" display="Table 22.29" xr:uid="{00000000-0004-0000-0000-00001C000000}"/>
    <hyperlink ref="A31" location="'T22.A.30'!A1" display="Table 22.30" xr:uid="{00000000-0004-0000-0000-00001D000000}"/>
    <hyperlink ref="A32" location="'T22.A.31'!A1" display="Table 22.31" xr:uid="{00000000-0004-0000-0000-00001E000000}"/>
    <hyperlink ref="A33" location="'T22.A.32'!A1" display="Table 22.32" xr:uid="{00000000-0004-0000-0000-00001F000000}"/>
    <hyperlink ref="A34" location="'T22.A.33'!A1" display="Table 22.33" xr:uid="{00000000-0004-0000-0000-000020000000}"/>
    <hyperlink ref="A35" location="'T22.A.34'!A1" display="Table 22.34" xr:uid="{00000000-0004-0000-0000-000021000000}"/>
    <hyperlink ref="A36" location="'T22.A.35'!A1" display="Table 22.35" xr:uid="{00000000-0004-0000-0000-000022000000}"/>
    <hyperlink ref="A37" location="'T22.A.36'!A1" display="Table 22.36" xr:uid="{00000000-0004-0000-0000-000023000000}"/>
    <hyperlink ref="A38" location="'T22.A.37'!A1" display="Table 22.37" xr:uid="{00000000-0004-0000-0000-000024000000}"/>
    <hyperlink ref="A39" location="'T22.A.38'!A1" display="Table 22.38" xr:uid="{00000000-0004-0000-0000-000025000000}"/>
    <hyperlink ref="A40" location="'T22.A.39'!A1" display="Table 22.39" xr:uid="{00000000-0004-0000-0000-000026000000}"/>
    <hyperlink ref="A41" location="'T22.A.40'!A1" display="Table 22.40" xr:uid="{00000000-0004-0000-0000-000027000000}"/>
    <hyperlink ref="A42" location="'T22.A.41'!A1" display="Table 22.41" xr:uid="{00000000-0004-0000-0000-000028000000}"/>
    <hyperlink ref="A43" location="'T22.A.42'!A1" display="Table 22.42" xr:uid="{00000000-0004-0000-0000-000029000000}"/>
    <hyperlink ref="A44" location="'T22.A.43'!A1" display="Table 22.43" xr:uid="{00000000-0004-0000-0000-00002A000000}"/>
    <hyperlink ref="A45" location="'T22.A.44'!A1" display="Table 22.44" xr:uid="{00000000-0004-0000-0000-00002B000000}"/>
    <hyperlink ref="A46" location="'T22.A.45'!A1" display="Table 22.45" xr:uid="{00000000-0004-0000-0000-00002C000000}"/>
    <hyperlink ref="A47" location="'T22.A.46'!A1" display="Table 22.46" xr:uid="{00000000-0004-0000-0000-00002D000000}"/>
    <hyperlink ref="A48" location="'T22.A.47'!A1" display="Table 22.47" xr:uid="{00000000-0004-0000-0000-00002E000000}"/>
    <hyperlink ref="A49" location="'T22.A.48'!A1" display="Table 22.48" xr:uid="{00000000-0004-0000-0000-00002F000000}"/>
    <hyperlink ref="A50" location="'T22.A.49'!A1" display="Table 22.49" xr:uid="{00000000-0004-0000-0000-000030000000}"/>
    <hyperlink ref="A51" location="'T22.A.50'!A1" display="Table 22.50" xr:uid="{00000000-0004-0000-0000-000031000000}"/>
    <hyperlink ref="A52" location="'T22.A.51'!A1" display="Table 22.51" xr:uid="{00000000-0004-0000-0000-000032000000}"/>
    <hyperlink ref="A53" location="'T22.A.52'!A1" display="Table 22.52" xr:uid="{00000000-0004-0000-0000-000033000000}"/>
    <hyperlink ref="A54" location="'T22.A.53'!A1" display="Table 22.53" xr:uid="{00000000-0004-0000-0000-000034000000}"/>
    <hyperlink ref="A55" location="'T22.A.54'!A1" display="Table 22.54" xr:uid="{00000000-0004-0000-0000-000035000000}"/>
    <hyperlink ref="A56" location="'T22.A.55'!A1" display="Table 22.55" xr:uid="{00000000-0004-0000-0000-000036000000}"/>
    <hyperlink ref="A57" location="'T22.A.56'!A1" display="Table 22.56" xr:uid="{00000000-0004-0000-0000-000037000000}"/>
    <hyperlink ref="A58" location="'T22.A.57'!A1" display="Table 22.57" xr:uid="{00000000-0004-0000-0000-000038000000}"/>
    <hyperlink ref="A59" location="'T22.A.58'!A1" display="Table 22.58" xr:uid="{00000000-0004-0000-0000-000039000000}"/>
    <hyperlink ref="A60" location="'T22.A.59'!A1" display="Table 22.59" xr:uid="{00000000-0004-0000-0000-00003A000000}"/>
    <hyperlink ref="A61" location="'T22.A.60'!A1" display="Table 22.60" xr:uid="{00000000-0004-0000-0000-00003B000000}"/>
    <hyperlink ref="A62" location="'T22.A.61'!A1" display="Table 22.61" xr:uid="{00000000-0004-0000-0000-00003C000000}"/>
    <hyperlink ref="A63" location="'T22.A.62'!A1" display="Table 22.62" xr:uid="{00000000-0004-0000-0000-00003D000000}"/>
    <hyperlink ref="A64" location="'T22.A.63'!A1" display="Table 22.63" xr:uid="{00000000-0004-0000-0000-00003E000000}"/>
    <hyperlink ref="A65" location="'T22.A.64'!A1" display="Table 22.64" xr:uid="{00000000-0004-0000-0000-00003F000000}"/>
    <hyperlink ref="A66" location="'T22.A.65'!A1" display="Table 22.65" xr:uid="{00000000-0004-0000-0000-000040000000}"/>
    <hyperlink ref="A67" location="'T22.A.66'!A1" display="Table 22.66" xr:uid="{00000000-0004-0000-0000-000041000000}"/>
    <hyperlink ref="A68" location="'T22.A.67'!A1" display="Table 22.67" xr:uid="{00000000-0004-0000-0000-000042000000}"/>
    <hyperlink ref="A69" location="'T22.A.68'!A1" display="Table 22.68" xr:uid="{00000000-0004-0000-0000-000043000000}"/>
    <hyperlink ref="A70" location="'T22.A.69'!A1" display="Table 22.69" xr:uid="{00000000-0004-0000-0000-000044000000}"/>
    <hyperlink ref="A71" location="'T22.A.70'!A1" display="Table 22.70" xr:uid="{00000000-0004-0000-0000-000045000000}"/>
    <hyperlink ref="A72" location="'T22.A.71'!A1" display="Table 22.71" xr:uid="{00000000-0004-0000-0000-000046000000}"/>
    <hyperlink ref="A73" location="'T22.A.72'!A1" display="Table 22.72" xr:uid="{00000000-0004-0000-0000-000047000000}"/>
    <hyperlink ref="A74" location="'T22.A.73'!A1" display="Table 22.73" xr:uid="{00000000-0004-0000-0000-000048000000}"/>
    <hyperlink ref="A75" location="'T22.A.74'!A1" display="Table 22.74" xr:uid="{00000000-0004-0000-0000-000049000000}"/>
    <hyperlink ref="A76" location="'T22.A.75'!A1" display="Table 22.75" xr:uid="{00000000-0004-0000-0000-00004A000000}"/>
    <hyperlink ref="A77" location="'T22.A.76'!A1" display="Table 22.76" xr:uid="{00000000-0004-0000-0000-00004B000000}"/>
    <hyperlink ref="A78" location="'T22.A.77'!A1" display="Table 22.77" xr:uid="{00000000-0004-0000-0000-00004C000000}"/>
    <hyperlink ref="A79" location="'T22.A.78'!A1" display="Table 22.78" xr:uid="{00000000-0004-0000-0000-00004D000000}"/>
    <hyperlink ref="A80" location="'T22.A.79'!A1" display="Table 22.79" xr:uid="{00000000-0004-0000-0000-00004E000000}"/>
    <hyperlink ref="A81" location="'T22.A.80'!A1" display="Table 22.80" xr:uid="{00000000-0004-0000-0000-00004F000000}"/>
    <hyperlink ref="A82" location="'T22.A.81'!A1" display="Table 22.81" xr:uid="{00000000-0004-0000-0000-000050000000}"/>
    <hyperlink ref="A83" location="'T22.A.82'!A1" display="Table 22.82" xr:uid="{00000000-0004-0000-0000-000051000000}"/>
    <hyperlink ref="A84" location="'T22.A.83'!A1" display="Table 22.83" xr:uid="{00000000-0004-0000-0000-000052000000}"/>
    <hyperlink ref="A85" location="'T22.A.84'!A1" display="Table 22.84" xr:uid="{00000000-0004-0000-0000-000053000000}"/>
    <hyperlink ref="A86" location="'T22.A.85'!A1" display="Table 22.85" xr:uid="{00000000-0004-0000-0000-000054000000}"/>
    <hyperlink ref="A87" location="'T22.A.86'!A1" display="Table 22.86" xr:uid="{00000000-0004-0000-0000-000055000000}"/>
    <hyperlink ref="A88" location="'T22.A.87'!A1" display="Table 22.87" xr:uid="{00000000-0004-0000-0000-000056000000}"/>
    <hyperlink ref="A89" location="'T22.A.88'!A1" display="Table 22.88" xr:uid="{00000000-0004-0000-0000-000057000000}"/>
    <hyperlink ref="A90" location="'T22.A.89'!A1" display="Table 22.89" xr:uid="{00000000-0004-0000-0000-000058000000}"/>
    <hyperlink ref="A91" location="'T22.A.90'!A1" display="Table 22.90" xr:uid="{00000000-0004-0000-0000-000059000000}"/>
    <hyperlink ref="A92" location="'T22.A.91'!A1" display="Table 22.91" xr:uid="{00000000-0004-0000-0000-00005A000000}"/>
    <hyperlink ref="A93" location="'T22.A.92'!A1" display="Table 22.92" xr:uid="{00000000-0004-0000-0000-00005B000000}"/>
    <hyperlink ref="A94" location="'T22.A.93'!A1" display="Table 22.93" xr:uid="{00000000-0004-0000-0000-00005C000000}"/>
    <hyperlink ref="A95" location="'T22.A.94'!A1" display="Table 22.94" xr:uid="{00000000-0004-0000-0000-00005D000000}"/>
    <hyperlink ref="A96" location="'T22.A.95'!A1" display="Table 22.95" xr:uid="{00000000-0004-0000-0000-00005E000000}"/>
    <hyperlink ref="A97" location="'T22.A.96'!A1" display="Table 22.96" xr:uid="{00000000-0004-0000-0000-00005F000000}"/>
    <hyperlink ref="A98" location="'T22.A.97'!A1" display="Table 22.97" xr:uid="{00000000-0004-0000-0000-000060000000}"/>
    <hyperlink ref="A99" location="'T22.A.98'!A1" display="Table 22.98" xr:uid="{00000000-0004-0000-0000-000061000000}"/>
    <hyperlink ref="A100" location="'T22.A.99'!A1" display="Table 22.99" xr:uid="{00000000-0004-0000-0000-000062000000}"/>
    <hyperlink ref="A101" location="'T22.A.100'!A1" display="Table 22.100" xr:uid="{00000000-0004-0000-0000-000063000000}"/>
    <hyperlink ref="A102" location="'T22.A.101'!A1" display="Table 22.101" xr:uid="{00000000-0004-0000-0000-000064000000}"/>
    <hyperlink ref="A103" location="'T22.A.102'!A1" display="Table 22.102" xr:uid="{00000000-0004-0000-0000-000065000000}"/>
    <hyperlink ref="A104" location="'T22.A.103'!A1" display="Table 22.103" xr:uid="{00000000-0004-0000-0000-000066000000}"/>
    <hyperlink ref="A105" location="'T22.A.104'!A1" display="Table 22.104" xr:uid="{00000000-0004-0000-0000-000067000000}"/>
    <hyperlink ref="A106" location="'T22.A.105'!A1" display="Table 22.105" xr:uid="{00000000-0004-0000-0000-000068000000}"/>
    <hyperlink ref="A107" location="'T22.A.106'!A1" display="Table 22.106" xr:uid="{00000000-0004-0000-0000-000069000000}"/>
    <hyperlink ref="A108" location="'T22.A.107'!A1" display="Table 22.107" xr:uid="{00000000-0004-0000-0000-00006A000000}"/>
    <hyperlink ref="A109" location="'T22.A.108'!A1" display="Table 22.108" xr:uid="{00000000-0004-0000-0000-00006B000000}"/>
    <hyperlink ref="A110" location="'T22.A.109'!A1" display="Table 22.109" xr:uid="{00000000-0004-0000-0000-00006C000000}"/>
    <hyperlink ref="A111" location="'T22.A.110'!A1" display="Table 22.110" xr:uid="{00000000-0004-0000-0000-00006D000000}"/>
    <hyperlink ref="A112" location="'T22.A.111'!A1" display="Table 22.111" xr:uid="{00000000-0004-0000-0000-00006E000000}"/>
    <hyperlink ref="A113" location="'T22.A.112'!A1" display="Table 22.112" xr:uid="{00000000-0004-0000-0000-00006F000000}"/>
    <hyperlink ref="A114" location="'T22.A.113'!A1" display="Table 22.113" xr:uid="{00000000-0004-0000-0000-000070000000}"/>
    <hyperlink ref="A115" location="'T22.A.114'!A1" display="Table 22.114" xr:uid="{00000000-0004-0000-0000-000071000000}"/>
    <hyperlink ref="A116" location="'T22.A.115'!A1" display="Table 22.115" xr:uid="{00000000-0004-0000-0000-000072000000}"/>
    <hyperlink ref="A117" location="'T22.A.116'!A1" display="Table 22.116" xr:uid="{00000000-0004-0000-0000-000073000000}"/>
    <hyperlink ref="A118" location="'T22.A.117'!A1" display="Table 22.117" xr:uid="{00000000-0004-0000-0000-000074000000}"/>
    <hyperlink ref="A119" location="'T22.A.118'!A1" display="Table 22.118" xr:uid="{00000000-0004-0000-0000-000075000000}"/>
    <hyperlink ref="A120" location="'T22.A.119'!A1" display="Table 22.119" xr:uid="{00000000-0004-0000-0000-000076000000}"/>
    <hyperlink ref="A121" location="'T22.A.120'!A1" display="Table 22.120" xr:uid="{00000000-0004-0000-0000-000077000000}"/>
    <hyperlink ref="A122" location="'T22.A.121'!A1" display="Table 22.121" xr:uid="{00000000-0004-0000-0000-000078000000}"/>
    <hyperlink ref="A123" location="'T22.A.122'!A1" display="Table 22.122" xr:uid="{00000000-0004-0000-0000-000079000000}"/>
    <hyperlink ref="A124" location="'T22.A.123'!A1" display="Table 22.123" xr:uid="{00000000-0004-0000-0000-00007A000000}"/>
    <hyperlink ref="A125" location="'T22.A.124'!A1" display="Table 22.124" xr:uid="{00000000-0004-0000-0000-00007B000000}"/>
    <hyperlink ref="A126" location="'T22.A.125'!A1" display="Table 22.125" xr:uid="{00000000-0004-0000-0000-00007C000000}"/>
    <hyperlink ref="A127" location="'T22.A.126'!A1" display="Table 22.126" xr:uid="{00000000-0004-0000-0000-00007D000000}"/>
    <hyperlink ref="A128" location="'T22.A.127'!A1" display="Table 22.127" xr:uid="{00000000-0004-0000-0000-00007E000000}"/>
    <hyperlink ref="A129" location="'T22.A.128'!A1" display="Table 22.128" xr:uid="{00000000-0004-0000-0000-00007F000000}"/>
    <hyperlink ref="A130" location="'T22.A.129'!A1" display="Table 22.129" xr:uid="{00000000-0004-0000-0000-000080000000}"/>
    <hyperlink ref="A131" location="'T22.A.130'!A1" display="Table 22.130" xr:uid="{00000000-0004-0000-0000-000081000000}"/>
    <hyperlink ref="A132" location="'T22.A.131'!A1" display="Table 22.131" xr:uid="{00000000-0004-0000-0000-000082000000}"/>
    <hyperlink ref="A133" location="'T22.A.132'!A1" display="Table 22.132" xr:uid="{00000000-0004-0000-0000-000083000000}"/>
    <hyperlink ref="A134" location="'T22.A.133'!A1" display="Table 22.133" xr:uid="{00000000-0004-0000-0000-000084000000}"/>
    <hyperlink ref="A135" location="'T22.A.134'!A1" display="Table 22.134" xr:uid="{00000000-0004-0000-0000-000085000000}"/>
    <hyperlink ref="A136" location="'T22.A.135'!A1" display="Table 22.135" xr:uid="{00000000-0004-0000-0000-000086000000}"/>
    <hyperlink ref="A137" location="'T22.A.136'!A1" display="Table 22.136" xr:uid="{00000000-0004-0000-0000-000087000000}"/>
    <hyperlink ref="A138" location="'T22.A.137'!A1" display="Table 22.137" xr:uid="{00000000-0004-0000-0000-000088000000}"/>
    <hyperlink ref="A139" location="'T22.A.138'!A1" display="Table 22.138" xr:uid="{00000000-0004-0000-0000-000089000000}"/>
    <hyperlink ref="A140" location="'T22.A.139'!A1" display="Table 22.139" xr:uid="{00000000-0004-0000-0000-00008A000000}"/>
    <hyperlink ref="A141" location="'T22.A.140'!A1" display="Table 22.140" xr:uid="{00000000-0004-0000-0000-00008B000000}"/>
    <hyperlink ref="A142" location="'T22.A.141'!A1" display="Table 22.141" xr:uid="{00000000-0004-0000-0000-00008C000000}"/>
    <hyperlink ref="A143" location="'T22.A.142'!A1" display="Table 22.142" xr:uid="{00000000-0004-0000-0000-00008D000000}"/>
    <hyperlink ref="A144" location="'T22.A.143'!A1" display="Table 22.143" xr:uid="{00000000-0004-0000-0000-00008E000000}"/>
    <hyperlink ref="A145" location="'T22.A.144'!A1" display="Table 22.144" xr:uid="{00000000-0004-0000-0000-00008F000000}"/>
    <hyperlink ref="A146" location="'T22.A.145'!A1" display="Table 22.145" xr:uid="{00000000-0004-0000-0000-000090000000}"/>
    <hyperlink ref="A147" location="'T22.A.146'!A1" display="Table 22.146" xr:uid="{00000000-0004-0000-0000-000091000000}"/>
    <hyperlink ref="A148" location="'T22.A.147'!A1" display="Table 22.147" xr:uid="{00000000-0004-0000-0000-000092000000}"/>
    <hyperlink ref="A149" location="'T22.A.148'!A1" display="Table 22.148" xr:uid="{00000000-0004-0000-0000-000093000000}"/>
    <hyperlink ref="A150" location="'T22.A.149'!A1" display="Table 22.149" xr:uid="{00000000-0004-0000-0000-000094000000}"/>
    <hyperlink ref="A151" location="'T22.A.150'!A1" display="Table 22.150" xr:uid="{00000000-0004-0000-0000-000095000000}"/>
    <hyperlink ref="A152" location="'T22.A.151'!A1" display="Table 22.151" xr:uid="{00000000-0004-0000-0000-000096000000}"/>
    <hyperlink ref="A153" location="'T22.A.152'!A1" display="Table 22.152" xr:uid="{00000000-0004-0000-0000-000097000000}"/>
    <hyperlink ref="A154" location="'T22.A.153'!A1" display="Table 22.153" xr:uid="{00000000-0004-0000-0000-000098000000}"/>
    <hyperlink ref="A155" location="'T22.A.154'!A1" display="Table 22.154" xr:uid="{00000000-0004-0000-0000-000099000000}"/>
    <hyperlink ref="A156" location="'T22.A.155'!A1" display="Table 22.155" xr:uid="{00000000-0004-0000-0000-00009A000000}"/>
    <hyperlink ref="A157" location="'T22.A.156'!A1" display="Table 22.156" xr:uid="{00000000-0004-0000-0000-00009B000000}"/>
    <hyperlink ref="A158" location="'T22.A.157'!A1" display="Table 22.157" xr:uid="{00000000-0004-0000-0000-00009C000000}"/>
    <hyperlink ref="A159" location="T22.A.158!A1" display="Table 22.A.158" xr:uid="{E980E25E-D559-4089-A6F8-A6F193A8808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5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9.42578125" bestFit="1" customWidth="1"/>
    <col min="2" max="2" width="11.4257812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</v>
      </c>
      <c r="B3" s="33"/>
      <c r="C3" s="33"/>
      <c r="D3" s="33"/>
    </row>
    <row r="4" spans="1:4" x14ac:dyDescent="0.25">
      <c r="A4" s="34" t="s">
        <v>3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ht="32.25" customHeight="1" x14ac:dyDescent="0.25">
      <c r="A6" s="35" t="s">
        <v>317</v>
      </c>
      <c r="B6" s="36" t="s">
        <v>318</v>
      </c>
      <c r="C6" s="33"/>
      <c r="D6" s="33"/>
    </row>
    <row r="7" spans="1:4" x14ac:dyDescent="0.25">
      <c r="A7" s="37" t="s">
        <v>319</v>
      </c>
      <c r="B7" s="37"/>
      <c r="C7" s="33"/>
      <c r="D7" s="33"/>
    </row>
    <row r="8" spans="1:4" x14ac:dyDescent="0.25">
      <c r="A8" s="33" t="s">
        <v>320</v>
      </c>
      <c r="B8" s="33">
        <v>2018</v>
      </c>
      <c r="C8" s="33"/>
      <c r="D8" s="33"/>
    </row>
    <row r="9" spans="1:4" x14ac:dyDescent="0.25">
      <c r="A9" s="33" t="s">
        <v>321</v>
      </c>
      <c r="B9" s="33">
        <v>2018</v>
      </c>
      <c r="C9" s="33"/>
      <c r="D9" s="33"/>
    </row>
    <row r="10" spans="1:4" x14ac:dyDescent="0.25">
      <c r="A10" s="33" t="s">
        <v>322</v>
      </c>
      <c r="B10" s="33">
        <v>2015</v>
      </c>
      <c r="C10" s="33"/>
      <c r="D10" s="33"/>
    </row>
    <row r="11" spans="1:4" x14ac:dyDescent="0.25">
      <c r="A11" s="33" t="s">
        <v>323</v>
      </c>
      <c r="B11" s="33">
        <v>2015</v>
      </c>
      <c r="C11" s="33"/>
      <c r="D11" s="33"/>
    </row>
    <row r="12" spans="1:4" x14ac:dyDescent="0.25">
      <c r="A12" s="33" t="s">
        <v>324</v>
      </c>
      <c r="B12" s="33">
        <v>2022</v>
      </c>
      <c r="C12" s="33"/>
      <c r="D12" s="33"/>
    </row>
    <row r="13" spans="1:4" x14ac:dyDescent="0.25">
      <c r="A13" s="33" t="s">
        <v>325</v>
      </c>
      <c r="B13" s="33">
        <v>2022</v>
      </c>
      <c r="C13" s="33"/>
      <c r="D13" s="33"/>
    </row>
    <row r="14" spans="1:4" x14ac:dyDescent="0.25">
      <c r="A14" s="33" t="s">
        <v>326</v>
      </c>
      <c r="B14" s="33">
        <v>2022</v>
      </c>
      <c r="C14" s="33"/>
      <c r="D14" s="33"/>
    </row>
    <row r="15" spans="1:4" x14ac:dyDescent="0.25">
      <c r="A15" s="33" t="s">
        <v>327</v>
      </c>
      <c r="B15" s="33">
        <v>2015</v>
      </c>
      <c r="C15" s="33"/>
      <c r="D15" s="33"/>
    </row>
    <row r="16" spans="1:4" x14ac:dyDescent="0.25">
      <c r="A16" s="33" t="s">
        <v>328</v>
      </c>
      <c r="B16" s="33">
        <v>2015</v>
      </c>
      <c r="C16" s="33"/>
      <c r="D16" s="33"/>
    </row>
    <row r="17" spans="1:4" x14ac:dyDescent="0.25">
      <c r="A17" s="37" t="s">
        <v>329</v>
      </c>
      <c r="B17" s="37"/>
      <c r="C17" s="33"/>
      <c r="D17" s="33"/>
    </row>
    <row r="18" spans="1:4" x14ac:dyDescent="0.25">
      <c r="A18" s="33" t="s">
        <v>330</v>
      </c>
      <c r="B18" s="33">
        <v>2022</v>
      </c>
      <c r="C18" s="33"/>
      <c r="D18" s="33"/>
    </row>
    <row r="19" spans="1:4" x14ac:dyDescent="0.25">
      <c r="A19" s="33" t="s">
        <v>331</v>
      </c>
      <c r="B19" s="33">
        <v>2022</v>
      </c>
      <c r="C19" s="33"/>
      <c r="D19" s="33"/>
    </row>
    <row r="20" spans="1:4" x14ac:dyDescent="0.25">
      <c r="A20" s="33" t="s">
        <v>332</v>
      </c>
      <c r="B20" s="33">
        <v>2022</v>
      </c>
      <c r="C20" s="33"/>
      <c r="D20" s="33"/>
    </row>
    <row r="21" spans="1:4" x14ac:dyDescent="0.25">
      <c r="A21" s="33" t="s">
        <v>333</v>
      </c>
      <c r="B21" s="33">
        <v>2022</v>
      </c>
      <c r="C21" s="33"/>
      <c r="D21" s="33"/>
    </row>
    <row r="22" spans="1:4" x14ac:dyDescent="0.25">
      <c r="A22" s="33" t="s">
        <v>334</v>
      </c>
      <c r="B22" s="33">
        <v>2022</v>
      </c>
      <c r="C22" s="33"/>
      <c r="D22" s="33"/>
    </row>
    <row r="23" spans="1:4" x14ac:dyDescent="0.25">
      <c r="A23" s="33" t="s">
        <v>335</v>
      </c>
      <c r="B23" s="33">
        <v>2022</v>
      </c>
      <c r="C23" s="33"/>
      <c r="D23" s="33"/>
    </row>
    <row r="24" spans="1:4" x14ac:dyDescent="0.25">
      <c r="A24" s="33" t="s">
        <v>336</v>
      </c>
      <c r="B24" s="33">
        <v>2022</v>
      </c>
      <c r="C24" s="33"/>
      <c r="D24" s="33"/>
    </row>
    <row r="25" spans="1:4" x14ac:dyDescent="0.25">
      <c r="A25" s="33" t="s">
        <v>337</v>
      </c>
      <c r="B25" s="33">
        <v>2022</v>
      </c>
      <c r="C25" s="33"/>
      <c r="D25" s="33"/>
    </row>
    <row r="26" spans="1:4" x14ac:dyDescent="0.25">
      <c r="A26" s="33" t="s">
        <v>338</v>
      </c>
      <c r="B26" s="33">
        <v>2022</v>
      </c>
      <c r="C26" s="33"/>
      <c r="D26" s="33"/>
    </row>
    <row r="27" spans="1:4" x14ac:dyDescent="0.25">
      <c r="A27" s="33" t="s">
        <v>339</v>
      </c>
      <c r="B27" s="33">
        <v>2018</v>
      </c>
      <c r="C27" s="33"/>
      <c r="D27" s="33"/>
    </row>
    <row r="28" spans="1:4" x14ac:dyDescent="0.25">
      <c r="A28" s="33" t="s">
        <v>340</v>
      </c>
      <c r="B28" s="33">
        <v>2018</v>
      </c>
      <c r="C28" s="33"/>
      <c r="D28" s="33"/>
    </row>
    <row r="29" spans="1:4" x14ac:dyDescent="0.25">
      <c r="A29" s="38" t="s">
        <v>341</v>
      </c>
      <c r="B29" s="38"/>
      <c r="C29" s="33"/>
      <c r="D29" s="33"/>
    </row>
    <row r="30" spans="1:4" x14ac:dyDescent="0.25">
      <c r="A30" s="33" t="s">
        <v>342</v>
      </c>
      <c r="B30" s="33">
        <v>2022</v>
      </c>
      <c r="C30" s="33"/>
      <c r="D30" s="33"/>
    </row>
    <row r="31" spans="1:4" x14ac:dyDescent="0.25">
      <c r="A31" s="33" t="s">
        <v>343</v>
      </c>
      <c r="B31" s="33">
        <v>2015</v>
      </c>
      <c r="C31" s="33"/>
      <c r="D31" s="33"/>
    </row>
    <row r="32" spans="1:4" x14ac:dyDescent="0.25">
      <c r="A32" s="33" t="s">
        <v>344</v>
      </c>
      <c r="B32" s="33">
        <v>2015</v>
      </c>
      <c r="C32" s="33"/>
      <c r="D32" s="33"/>
    </row>
    <row r="33" spans="1:4" x14ac:dyDescent="0.25">
      <c r="A33" s="33" t="s">
        <v>345</v>
      </c>
      <c r="B33" s="33">
        <v>2018</v>
      </c>
      <c r="C33" s="33"/>
      <c r="D33" s="33"/>
    </row>
    <row r="34" spans="1:4" x14ac:dyDescent="0.25">
      <c r="A34" s="33" t="s">
        <v>346</v>
      </c>
      <c r="B34" s="33">
        <v>2015</v>
      </c>
      <c r="C34" s="33"/>
      <c r="D34" s="33"/>
    </row>
    <row r="35" spans="1:4" x14ac:dyDescent="0.25">
      <c r="A35" s="38" t="s">
        <v>347</v>
      </c>
      <c r="B35" s="39"/>
      <c r="C35" s="33"/>
      <c r="D35" s="33"/>
    </row>
    <row r="36" spans="1:4" x14ac:dyDescent="0.25">
      <c r="A36" s="33" t="s">
        <v>348</v>
      </c>
      <c r="B36" s="33">
        <v>2022</v>
      </c>
      <c r="C36" s="33"/>
      <c r="D36" s="33"/>
    </row>
    <row r="37" spans="1:4" x14ac:dyDescent="0.25">
      <c r="A37" s="33" t="s">
        <v>349</v>
      </c>
      <c r="B37" s="33">
        <v>2022</v>
      </c>
      <c r="C37" s="33"/>
      <c r="D37" s="33"/>
    </row>
    <row r="38" spans="1:4" x14ac:dyDescent="0.25">
      <c r="A38" s="33" t="s">
        <v>350</v>
      </c>
      <c r="B38" s="33">
        <v>2022</v>
      </c>
      <c r="C38" s="33"/>
      <c r="D38" s="33"/>
    </row>
    <row r="39" spans="1:4" x14ac:dyDescent="0.25">
      <c r="A39" s="33" t="s">
        <v>351</v>
      </c>
      <c r="B39" s="33">
        <v>2018</v>
      </c>
      <c r="C39" s="33"/>
      <c r="D39" s="33"/>
    </row>
    <row r="40" spans="1:4" x14ac:dyDescent="0.25">
      <c r="A40" s="33" t="s">
        <v>352</v>
      </c>
      <c r="B40" s="33">
        <v>2022</v>
      </c>
      <c r="C40" s="33"/>
      <c r="D40" s="33"/>
    </row>
    <row r="41" spans="1:4" x14ac:dyDescent="0.25">
      <c r="A41" s="33" t="s">
        <v>353</v>
      </c>
      <c r="B41" s="33">
        <v>2022</v>
      </c>
      <c r="C41" s="33"/>
      <c r="D41" s="33"/>
    </row>
    <row r="42" spans="1:4" x14ac:dyDescent="0.25">
      <c r="A42" s="33" t="s">
        <v>354</v>
      </c>
      <c r="B42" s="33">
        <v>2018</v>
      </c>
      <c r="C42" s="33"/>
      <c r="D42" s="33"/>
    </row>
    <row r="43" spans="1:4" x14ac:dyDescent="0.25">
      <c r="A43" s="33" t="s">
        <v>355</v>
      </c>
      <c r="B43" s="33">
        <v>2022</v>
      </c>
      <c r="C43" s="33"/>
      <c r="D43" s="33"/>
    </row>
    <row r="44" spans="1:4" x14ac:dyDescent="0.25">
      <c r="A44" s="33" t="s">
        <v>356</v>
      </c>
      <c r="B44" s="33">
        <v>2022</v>
      </c>
      <c r="C44" s="33"/>
      <c r="D44" s="33"/>
    </row>
    <row r="45" spans="1:4" x14ac:dyDescent="0.25">
      <c r="A45" s="38" t="s">
        <v>357</v>
      </c>
      <c r="B45" s="39"/>
      <c r="C45" s="33"/>
      <c r="D45" s="33"/>
    </row>
    <row r="46" spans="1:4" x14ac:dyDescent="0.25">
      <c r="A46" s="33" t="s">
        <v>358</v>
      </c>
      <c r="B46" s="33">
        <v>2022</v>
      </c>
      <c r="C46" s="33"/>
      <c r="D46" s="33"/>
    </row>
    <row r="47" spans="1:4" x14ac:dyDescent="0.25">
      <c r="A47" s="33" t="s">
        <v>359</v>
      </c>
      <c r="B47" s="33">
        <v>2018</v>
      </c>
      <c r="C47" s="33"/>
      <c r="D47" s="33"/>
    </row>
    <row r="48" spans="1:4" x14ac:dyDescent="0.25">
      <c r="A48" s="33" t="s">
        <v>360</v>
      </c>
      <c r="B48" s="33">
        <v>2018</v>
      </c>
      <c r="C48" s="33"/>
      <c r="D48" s="33"/>
    </row>
    <row r="49" spans="1:4" x14ac:dyDescent="0.25">
      <c r="A49" s="33" t="s">
        <v>361</v>
      </c>
      <c r="B49" s="33">
        <v>2018</v>
      </c>
      <c r="C49" s="33"/>
      <c r="D49" s="33"/>
    </row>
    <row r="50" spans="1:4" x14ac:dyDescent="0.25">
      <c r="A50" s="33" t="s">
        <v>362</v>
      </c>
      <c r="B50" s="33">
        <v>2018</v>
      </c>
      <c r="C50" s="33"/>
      <c r="D50" s="33"/>
    </row>
    <row r="51" spans="1:4" x14ac:dyDescent="0.25">
      <c r="A51" s="33" t="s">
        <v>363</v>
      </c>
      <c r="B51" s="33">
        <v>2015</v>
      </c>
      <c r="C51" s="33"/>
      <c r="D51" s="33"/>
    </row>
    <row r="52" spans="1:4" x14ac:dyDescent="0.25">
      <c r="A52" s="40" t="s">
        <v>364</v>
      </c>
      <c r="B52" s="40">
        <v>2022</v>
      </c>
      <c r="C52" s="33"/>
      <c r="D52" s="33"/>
    </row>
  </sheetData>
  <sheetProtection formatColumns="0" formatRows="0"/>
  <hyperlinks>
    <hyperlink ref="A1" location="TOC!A1" display="Table of Contents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5.140625" customWidth="1"/>
    <col min="2" max="3" width="8.7109375" style="25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41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4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5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42" t="s">
        <v>317</v>
      </c>
      <c r="B6" s="43" t="s">
        <v>365</v>
      </c>
      <c r="C6" s="43" t="s">
        <v>366</v>
      </c>
      <c r="D6" s="33"/>
      <c r="E6" s="33"/>
      <c r="F6" s="33"/>
      <c r="G6" s="33"/>
      <c r="H6" s="33"/>
    </row>
    <row r="7" spans="1:8" x14ac:dyDescent="0.25">
      <c r="A7" s="37" t="s">
        <v>319</v>
      </c>
      <c r="B7" s="44"/>
      <c r="C7" s="44"/>
      <c r="D7" s="33"/>
      <c r="E7" s="33"/>
      <c r="F7" s="33"/>
      <c r="G7" s="33"/>
      <c r="H7" s="33"/>
    </row>
    <row r="8" spans="1:8" x14ac:dyDescent="0.25">
      <c r="A8" s="33" t="s">
        <v>367</v>
      </c>
      <c r="B8" s="45">
        <v>-0.57621660500000005</v>
      </c>
      <c r="C8" s="45">
        <v>1.0198009100000001</v>
      </c>
      <c r="D8" s="33"/>
      <c r="E8" s="33"/>
      <c r="F8" s="33"/>
      <c r="G8" s="46"/>
      <c r="H8" s="46"/>
    </row>
    <row r="9" spans="1:8" x14ac:dyDescent="0.25">
      <c r="A9" s="33" t="s">
        <v>368</v>
      </c>
      <c r="B9" s="45">
        <v>-0.16576046699999999</v>
      </c>
      <c r="C9" s="45">
        <v>1.0327374389999999</v>
      </c>
      <c r="D9" s="33"/>
      <c r="E9" s="33"/>
      <c r="F9" s="33"/>
      <c r="G9" s="46"/>
      <c r="H9" s="46"/>
    </row>
    <row r="10" spans="1:8" x14ac:dyDescent="0.25">
      <c r="A10" s="33" t="s">
        <v>369</v>
      </c>
      <c r="B10" s="45">
        <v>-0.54321822099999995</v>
      </c>
      <c r="C10" s="45">
        <v>1.0862030170000001</v>
      </c>
      <c r="D10" s="33"/>
      <c r="E10" s="33"/>
      <c r="F10" s="33"/>
      <c r="G10" s="46"/>
      <c r="H10" s="46"/>
    </row>
    <row r="11" spans="1:8" x14ac:dyDescent="0.25">
      <c r="A11" s="33" t="s">
        <v>370</v>
      </c>
      <c r="B11" s="45">
        <v>-0.46386698999999998</v>
      </c>
      <c r="C11" s="45">
        <v>1.0126689179999999</v>
      </c>
      <c r="D11" s="33"/>
      <c r="E11" s="33"/>
      <c r="F11" s="33"/>
      <c r="G11" s="46"/>
      <c r="H11" s="46"/>
    </row>
    <row r="12" spans="1:8" x14ac:dyDescent="0.25">
      <c r="A12" s="33" t="s">
        <v>371</v>
      </c>
      <c r="B12" s="45">
        <v>-0.209051397</v>
      </c>
      <c r="C12" s="45">
        <v>1.0162815199999999</v>
      </c>
      <c r="D12" s="33"/>
      <c r="E12" s="33"/>
      <c r="F12" s="33"/>
      <c r="G12" s="46"/>
      <c r="H12" s="46"/>
    </row>
    <row r="13" spans="1:8" x14ac:dyDescent="0.25">
      <c r="A13" s="33" t="s">
        <v>372</v>
      </c>
      <c r="B13" s="45">
        <v>-0.59277614199999995</v>
      </c>
      <c r="C13" s="45">
        <v>1.089596832</v>
      </c>
      <c r="D13" s="33"/>
      <c r="E13" s="33"/>
      <c r="F13" s="33"/>
      <c r="G13" s="46"/>
      <c r="H13" s="46"/>
    </row>
    <row r="14" spans="1:8" x14ac:dyDescent="0.25">
      <c r="A14" s="33" t="s">
        <v>373</v>
      </c>
      <c r="B14" s="45">
        <v>-0.62427061500000003</v>
      </c>
      <c r="C14" s="45">
        <v>1.0177515619999999</v>
      </c>
      <c r="D14" s="33"/>
      <c r="E14" s="33"/>
      <c r="F14" s="33"/>
      <c r="G14" s="46"/>
      <c r="H14" s="46"/>
    </row>
    <row r="15" spans="1:8" x14ac:dyDescent="0.25">
      <c r="A15" s="33" t="s">
        <v>374</v>
      </c>
      <c r="B15" s="45">
        <v>-0.43729898299999997</v>
      </c>
      <c r="C15" s="45">
        <v>1.0803778530000001</v>
      </c>
      <c r="D15" s="33"/>
      <c r="E15" s="33"/>
      <c r="F15" s="33"/>
      <c r="G15" s="46"/>
      <c r="H15" s="46"/>
    </row>
    <row r="16" spans="1:8" x14ac:dyDescent="0.25">
      <c r="A16" s="33" t="s">
        <v>375</v>
      </c>
      <c r="B16" s="45">
        <v>-0.19730456399999999</v>
      </c>
      <c r="C16" s="45">
        <v>1.0049689310000001</v>
      </c>
      <c r="D16" s="33"/>
      <c r="E16" s="33"/>
      <c r="F16" s="33"/>
      <c r="G16" s="46"/>
      <c r="H16" s="46"/>
    </row>
    <row r="17" spans="1:8" x14ac:dyDescent="0.25">
      <c r="A17" s="33" t="s">
        <v>376</v>
      </c>
      <c r="B17" s="45">
        <v>-0.41983963000000002</v>
      </c>
      <c r="C17" s="45">
        <v>1.0585239740000001</v>
      </c>
      <c r="D17" s="33"/>
      <c r="E17" s="33"/>
      <c r="F17" s="33"/>
      <c r="G17" s="46"/>
      <c r="H17" s="46"/>
    </row>
    <row r="18" spans="1:8" x14ac:dyDescent="0.25">
      <c r="A18" s="33" t="s">
        <v>377</v>
      </c>
      <c r="B18" s="45">
        <v>-0.64933933099999996</v>
      </c>
      <c r="C18" s="45">
        <v>1.1125232679999999</v>
      </c>
      <c r="D18" s="33"/>
      <c r="E18" s="33"/>
      <c r="F18" s="33"/>
      <c r="G18" s="46"/>
      <c r="H18" s="46"/>
    </row>
    <row r="19" spans="1:8" x14ac:dyDescent="0.25">
      <c r="A19" s="33" t="s">
        <v>378</v>
      </c>
      <c r="B19" s="45">
        <v>-0.56644530699999995</v>
      </c>
      <c r="C19" s="45">
        <v>1.1537855180000001</v>
      </c>
      <c r="D19" s="33"/>
      <c r="E19" s="33"/>
      <c r="F19" s="33"/>
      <c r="G19" s="46"/>
      <c r="H19" s="46"/>
    </row>
    <row r="20" spans="1:8" x14ac:dyDescent="0.25">
      <c r="A20" s="33" t="s">
        <v>379</v>
      </c>
      <c r="B20" s="45">
        <v>-0.37477389700000002</v>
      </c>
      <c r="C20" s="45">
        <v>1.0167909660000001</v>
      </c>
      <c r="D20" s="33"/>
      <c r="E20" s="33"/>
      <c r="F20" s="33"/>
      <c r="G20" s="46"/>
      <c r="H20" s="46"/>
    </row>
    <row r="21" spans="1:8" x14ac:dyDescent="0.25">
      <c r="A21" s="33" t="s">
        <v>380</v>
      </c>
      <c r="B21" s="45">
        <v>-0.30756911399999998</v>
      </c>
      <c r="C21" s="45">
        <v>1.0683446219999999</v>
      </c>
      <c r="D21" s="33"/>
      <c r="E21" s="33"/>
      <c r="F21" s="33"/>
      <c r="G21" s="46"/>
      <c r="H21" s="46"/>
    </row>
    <row r="22" spans="1:8" ht="17.25" customHeight="1" x14ac:dyDescent="0.25">
      <c r="A22" s="33" t="s">
        <v>381</v>
      </c>
      <c r="B22" s="45">
        <v>-0.72719837499999995</v>
      </c>
      <c r="C22" s="45">
        <v>1.097379367</v>
      </c>
      <c r="D22" s="33"/>
      <c r="E22" s="33"/>
      <c r="F22" s="33"/>
      <c r="G22" s="46"/>
      <c r="H22" s="46"/>
    </row>
    <row r="23" spans="1:8" x14ac:dyDescent="0.25">
      <c r="A23" s="33" t="s">
        <v>382</v>
      </c>
      <c r="B23" s="45">
        <v>-0.41333280999999999</v>
      </c>
      <c r="C23" s="45">
        <v>1.043859372</v>
      </c>
      <c r="D23" s="33"/>
      <c r="E23" s="33"/>
      <c r="F23" s="33"/>
      <c r="G23" s="46"/>
      <c r="H23" s="46"/>
    </row>
    <row r="24" spans="1:8" x14ac:dyDescent="0.25">
      <c r="A24" s="33" t="s">
        <v>383</v>
      </c>
      <c r="B24" s="45">
        <v>-7.9620913000000001E-2</v>
      </c>
      <c r="C24" s="45">
        <v>1.032433771</v>
      </c>
      <c r="D24" s="33"/>
      <c r="E24" s="33"/>
      <c r="F24" s="33"/>
      <c r="G24" s="46"/>
      <c r="H24" s="46"/>
    </row>
    <row r="25" spans="1:8" x14ac:dyDescent="0.25">
      <c r="A25" s="38" t="s">
        <v>329</v>
      </c>
      <c r="B25" s="47"/>
      <c r="C25" s="47"/>
      <c r="D25" s="33"/>
      <c r="E25" s="33"/>
      <c r="F25" s="33"/>
      <c r="G25" s="33"/>
      <c r="H25" s="33"/>
    </row>
    <row r="26" spans="1:8" x14ac:dyDescent="0.25">
      <c r="A26" s="33" t="s">
        <v>384</v>
      </c>
      <c r="B26" s="45">
        <v>-0.60437746400000003</v>
      </c>
      <c r="C26" s="45">
        <v>1.0295522969999999</v>
      </c>
      <c r="D26" s="33"/>
      <c r="E26" s="33"/>
      <c r="F26" s="33"/>
      <c r="G26" s="33"/>
      <c r="H26" s="33"/>
    </row>
    <row r="27" spans="1:8" x14ac:dyDescent="0.25">
      <c r="A27" s="37" t="s">
        <v>341</v>
      </c>
      <c r="B27" s="48"/>
      <c r="C27" s="48"/>
      <c r="D27" s="33"/>
      <c r="E27" s="33"/>
      <c r="F27" s="33"/>
      <c r="G27" s="33"/>
      <c r="H27" s="33"/>
    </row>
    <row r="28" spans="1:8" x14ac:dyDescent="0.25">
      <c r="A28" s="33" t="s">
        <v>385</v>
      </c>
      <c r="B28" s="45">
        <v>-0.40502659000000002</v>
      </c>
      <c r="C28" s="45">
        <v>1.0674519739999999</v>
      </c>
      <c r="D28" s="33"/>
      <c r="E28" s="33"/>
      <c r="F28" s="33"/>
      <c r="G28" s="33"/>
      <c r="H28" s="33"/>
    </row>
    <row r="29" spans="1:8" x14ac:dyDescent="0.25">
      <c r="A29" s="33" t="s">
        <v>386</v>
      </c>
      <c r="B29" s="45">
        <v>-0.15555926</v>
      </c>
      <c r="C29" s="45">
        <v>1.1877363320000001</v>
      </c>
      <c r="D29" s="33"/>
      <c r="E29" s="33"/>
      <c r="F29" s="33"/>
      <c r="G29" s="33"/>
      <c r="H29" s="33"/>
    </row>
    <row r="30" spans="1:8" x14ac:dyDescent="0.25">
      <c r="A30" s="33" t="s">
        <v>387</v>
      </c>
      <c r="B30" s="45">
        <v>0.20802681100000001</v>
      </c>
      <c r="C30" s="45">
        <v>1.025969409</v>
      </c>
      <c r="D30" s="33"/>
      <c r="E30" s="33"/>
      <c r="F30" s="33"/>
      <c r="G30" s="33"/>
      <c r="H30" s="33"/>
    </row>
    <row r="31" spans="1:8" x14ac:dyDescent="0.25">
      <c r="A31" s="33" t="s">
        <v>388</v>
      </c>
      <c r="B31" s="45">
        <v>0.23601992899999999</v>
      </c>
      <c r="C31" s="45">
        <v>0.95055688199999999</v>
      </c>
      <c r="D31" s="33"/>
      <c r="E31" s="33"/>
      <c r="F31" s="33"/>
      <c r="G31" s="33"/>
      <c r="H31" s="33"/>
    </row>
    <row r="32" spans="1:8" x14ac:dyDescent="0.25">
      <c r="A32" s="33" t="s">
        <v>389</v>
      </c>
      <c r="B32" s="45">
        <v>0.226093616</v>
      </c>
      <c r="C32" s="45">
        <v>0.42259881700000002</v>
      </c>
      <c r="D32" s="33"/>
      <c r="E32" s="33"/>
      <c r="F32" s="33"/>
      <c r="G32" s="33"/>
      <c r="H32" s="33"/>
    </row>
    <row r="33" spans="1:8" x14ac:dyDescent="0.25">
      <c r="A33" s="33" t="s">
        <v>390</v>
      </c>
      <c r="B33" s="45">
        <v>8.8425409999999996E-2</v>
      </c>
      <c r="C33" s="45">
        <v>1.163774249</v>
      </c>
      <c r="D33" s="33"/>
      <c r="E33" s="33"/>
      <c r="F33" s="33"/>
      <c r="G33" s="33"/>
      <c r="H33" s="33"/>
    </row>
    <row r="34" spans="1:8" x14ac:dyDescent="0.25">
      <c r="A34" s="33" t="s">
        <v>391</v>
      </c>
      <c r="B34" s="45">
        <v>0.53333929000000002</v>
      </c>
      <c r="C34" s="45">
        <v>1.1615782379999999</v>
      </c>
      <c r="D34" s="33"/>
      <c r="E34" s="33"/>
      <c r="F34" s="33"/>
      <c r="G34" s="33"/>
      <c r="H34" s="33"/>
    </row>
    <row r="35" spans="1:8" x14ac:dyDescent="0.25">
      <c r="A35" s="37" t="s">
        <v>347</v>
      </c>
      <c r="B35" s="48"/>
      <c r="C35" s="48"/>
      <c r="D35" s="33"/>
      <c r="E35" s="33"/>
      <c r="F35" s="33"/>
      <c r="G35" s="33"/>
      <c r="H35" s="33"/>
    </row>
    <row r="36" spans="1:8" x14ac:dyDescent="0.25">
      <c r="A36" s="33" t="s">
        <v>392</v>
      </c>
      <c r="B36" s="45">
        <v>0.78930710000000004</v>
      </c>
      <c r="C36" s="45">
        <v>1.1470766999999999</v>
      </c>
      <c r="D36" s="33"/>
      <c r="E36" s="33"/>
      <c r="F36" s="33"/>
      <c r="G36" s="33"/>
      <c r="H36" s="33"/>
    </row>
    <row r="37" spans="1:8" x14ac:dyDescent="0.25">
      <c r="A37" s="33" t="s">
        <v>393</v>
      </c>
      <c r="B37" s="45">
        <v>-0.24064650000000001</v>
      </c>
      <c r="C37" s="45">
        <v>0.5640617</v>
      </c>
      <c r="D37" s="33"/>
      <c r="E37" s="33"/>
      <c r="F37" s="33"/>
      <c r="G37" s="33"/>
      <c r="H37" s="33"/>
    </row>
    <row r="38" spans="1:8" x14ac:dyDescent="0.25">
      <c r="A38" s="33" t="s">
        <v>394</v>
      </c>
      <c r="B38" s="45">
        <v>-0.64042169999999998</v>
      </c>
      <c r="C38" s="45">
        <v>0.83081749999999999</v>
      </c>
      <c r="D38" s="33"/>
      <c r="E38" s="33"/>
      <c r="F38" s="33"/>
      <c r="G38" s="33"/>
      <c r="H38" s="33"/>
    </row>
    <row r="39" spans="1:8" x14ac:dyDescent="0.25">
      <c r="A39" s="33" t="s">
        <v>395</v>
      </c>
      <c r="B39" s="45">
        <v>-0.39974310000000002</v>
      </c>
      <c r="C39" s="45">
        <v>1.1872366999999999</v>
      </c>
      <c r="D39" s="33"/>
      <c r="E39" s="33"/>
      <c r="F39" s="33"/>
      <c r="G39" s="33"/>
      <c r="H39" s="33"/>
    </row>
    <row r="40" spans="1:8" x14ac:dyDescent="0.25">
      <c r="A40" s="33" t="s">
        <v>396</v>
      </c>
      <c r="B40" s="45">
        <v>-1.1777150999999999</v>
      </c>
      <c r="C40" s="45">
        <v>0.58573580000000003</v>
      </c>
      <c r="D40" s="33"/>
      <c r="E40" s="33"/>
      <c r="F40" s="33"/>
      <c r="G40" s="33"/>
      <c r="H40" s="33"/>
    </row>
    <row r="41" spans="1:8" x14ac:dyDescent="0.25">
      <c r="A41" s="33" t="s">
        <v>397</v>
      </c>
      <c r="B41" s="45">
        <v>-0.36078139999999997</v>
      </c>
      <c r="C41" s="45">
        <v>0.95496749999999997</v>
      </c>
      <c r="D41" s="33"/>
      <c r="E41" s="33"/>
      <c r="F41" s="33"/>
      <c r="G41" s="33"/>
      <c r="H41" s="33"/>
    </row>
    <row r="42" spans="1:8" x14ac:dyDescent="0.25">
      <c r="A42" s="33" t="s">
        <v>398</v>
      </c>
      <c r="B42" s="45">
        <v>0.12766240000000001</v>
      </c>
      <c r="C42" s="45">
        <v>0.56559409999999999</v>
      </c>
      <c r="D42" s="33"/>
      <c r="E42" s="33"/>
      <c r="F42" s="33"/>
      <c r="G42" s="33"/>
      <c r="H42" s="33"/>
    </row>
    <row r="43" spans="1:8" x14ac:dyDescent="0.25">
      <c r="A43" s="33" t="s">
        <v>399</v>
      </c>
      <c r="B43" s="45">
        <v>-0.62028709999999998</v>
      </c>
      <c r="C43" s="45">
        <v>1.1498933</v>
      </c>
      <c r="D43" s="33"/>
      <c r="E43" s="33"/>
      <c r="F43" s="33"/>
      <c r="G43" s="33"/>
      <c r="H43" s="33"/>
    </row>
    <row r="44" spans="1:8" x14ac:dyDescent="0.25">
      <c r="A44" s="37" t="s">
        <v>357</v>
      </c>
      <c r="B44" s="48"/>
      <c r="C44" s="48"/>
      <c r="D44" s="33"/>
      <c r="E44" s="33"/>
      <c r="F44" s="33"/>
      <c r="G44" s="33"/>
      <c r="H44" s="33"/>
    </row>
    <row r="45" spans="1:8" x14ac:dyDescent="0.25">
      <c r="A45" s="33" t="s">
        <v>400</v>
      </c>
      <c r="B45" s="45">
        <v>-0.31563034000000001</v>
      </c>
      <c r="C45" s="45">
        <v>1.01393533</v>
      </c>
      <c r="D45" s="33"/>
      <c r="E45" s="33"/>
      <c r="F45" s="33"/>
      <c r="G45" s="33"/>
      <c r="H45" s="33"/>
    </row>
    <row r="46" spans="1:8" x14ac:dyDescent="0.25">
      <c r="A46" s="33" t="s">
        <v>401</v>
      </c>
      <c r="B46" s="45">
        <v>-0.64621439999999997</v>
      </c>
      <c r="C46" s="45">
        <v>0.76224438999999999</v>
      </c>
      <c r="D46" s="33"/>
      <c r="E46" s="33"/>
      <c r="F46" s="33"/>
      <c r="G46" s="33"/>
      <c r="H46" s="33"/>
    </row>
    <row r="47" spans="1:8" x14ac:dyDescent="0.25">
      <c r="A47" s="33" t="s">
        <v>402</v>
      </c>
      <c r="B47" s="45">
        <v>-0.46327200000000002</v>
      </c>
      <c r="C47" s="45">
        <v>1.0045222</v>
      </c>
      <c r="D47" s="33"/>
      <c r="E47" s="33"/>
      <c r="F47" s="33"/>
      <c r="G47" s="33"/>
      <c r="H47" s="33"/>
    </row>
    <row r="48" spans="1:8" x14ac:dyDescent="0.25">
      <c r="A48" s="33" t="s">
        <v>403</v>
      </c>
      <c r="B48" s="45">
        <v>-0.41043406999999998</v>
      </c>
      <c r="C48" s="45">
        <v>0.91618485999999999</v>
      </c>
      <c r="D48" s="33"/>
      <c r="E48" s="33"/>
      <c r="F48" s="33"/>
      <c r="G48" s="33"/>
      <c r="H48" s="33"/>
    </row>
    <row r="49" spans="1:8" x14ac:dyDescent="0.25">
      <c r="A49" s="33" t="s">
        <v>404</v>
      </c>
      <c r="B49" s="45">
        <v>-0.73655512999999995</v>
      </c>
      <c r="C49" s="45">
        <v>0.70802854999999998</v>
      </c>
      <c r="D49" s="33"/>
      <c r="E49" s="33"/>
      <c r="F49" s="33"/>
      <c r="G49" s="33"/>
      <c r="H49" s="33"/>
    </row>
    <row r="50" spans="1:8" x14ac:dyDescent="0.25">
      <c r="A50" s="33" t="s">
        <v>405</v>
      </c>
      <c r="B50" s="45">
        <v>0.18685455000000001</v>
      </c>
      <c r="C50" s="45">
        <v>1.1405333799999999</v>
      </c>
      <c r="D50" s="33"/>
      <c r="E50" s="33"/>
      <c r="F50" s="33"/>
      <c r="G50" s="33"/>
      <c r="H50" s="33"/>
    </row>
    <row r="51" spans="1:8" x14ac:dyDescent="0.25">
      <c r="A51" s="33" t="s">
        <v>406</v>
      </c>
      <c r="B51" s="45">
        <v>-0.31040580000000001</v>
      </c>
      <c r="C51" s="45">
        <v>0.93312876</v>
      </c>
      <c r="D51" s="33"/>
      <c r="E51" s="33"/>
      <c r="F51" s="33"/>
      <c r="G51" s="33"/>
      <c r="H51" s="33"/>
    </row>
    <row r="52" spans="1:8" x14ac:dyDescent="0.25">
      <c r="A52" s="33" t="s">
        <v>407</v>
      </c>
      <c r="B52" s="45">
        <v>-0.26856959000000002</v>
      </c>
      <c r="C52" s="45">
        <v>0.98609568000000003</v>
      </c>
      <c r="D52" s="33"/>
      <c r="E52" s="33"/>
      <c r="F52" s="33"/>
      <c r="G52" s="33"/>
      <c r="H52" s="33"/>
    </row>
    <row r="53" spans="1:8" x14ac:dyDescent="0.25">
      <c r="A53" s="33" t="s">
        <v>408</v>
      </c>
      <c r="B53" s="45">
        <v>1.8148109999999999E-2</v>
      </c>
      <c r="C53" s="45">
        <v>0.97051748999999998</v>
      </c>
      <c r="D53" s="33"/>
      <c r="E53" s="33"/>
      <c r="F53" s="33"/>
      <c r="G53" s="33"/>
      <c r="H53" s="33"/>
    </row>
    <row r="54" spans="1:8" x14ac:dyDescent="0.25">
      <c r="A54" s="33" t="s">
        <v>409</v>
      </c>
      <c r="B54" s="45">
        <v>-0.55025550999999995</v>
      </c>
      <c r="C54" s="45">
        <v>1.09439022</v>
      </c>
      <c r="D54" s="33"/>
      <c r="E54" s="33"/>
      <c r="F54" s="33"/>
      <c r="G54" s="33"/>
      <c r="H54" s="33"/>
    </row>
    <row r="55" spans="1:8" x14ac:dyDescent="0.25">
      <c r="A55" s="33" t="s">
        <v>410</v>
      </c>
      <c r="B55" s="45">
        <v>2.0486589999999999E-2</v>
      </c>
      <c r="C55" s="45">
        <v>0.98601324000000001</v>
      </c>
      <c r="D55" s="33"/>
      <c r="E55" s="33"/>
      <c r="F55" s="33"/>
      <c r="G55" s="33"/>
      <c r="H55" s="33"/>
    </row>
    <row r="56" spans="1:8" x14ac:dyDescent="0.25">
      <c r="A56" s="33" t="s">
        <v>411</v>
      </c>
      <c r="B56" s="45">
        <v>-0.52347107000000004</v>
      </c>
      <c r="C56" s="45">
        <v>0.87286841000000004</v>
      </c>
      <c r="D56" s="33"/>
      <c r="E56" s="33"/>
      <c r="F56" s="33"/>
      <c r="G56" s="33"/>
      <c r="H56" s="33"/>
    </row>
    <row r="57" spans="1:8" x14ac:dyDescent="0.25">
      <c r="A57" s="33" t="s">
        <v>412</v>
      </c>
      <c r="B57" s="45">
        <v>0.16020917000000001</v>
      </c>
      <c r="C57" s="45">
        <v>1.1133244200000001</v>
      </c>
      <c r="D57" s="33"/>
      <c r="E57" s="33"/>
      <c r="F57" s="33"/>
      <c r="G57" s="33"/>
      <c r="H57" s="33"/>
    </row>
    <row r="58" spans="1:8" x14ac:dyDescent="0.25">
      <c r="A58" s="33" t="s">
        <v>413</v>
      </c>
      <c r="B58" s="45">
        <v>-0.36359469999999999</v>
      </c>
      <c r="C58" s="45">
        <v>0.91603639000000003</v>
      </c>
      <c r="D58" s="33"/>
      <c r="E58" s="33"/>
      <c r="F58" s="33"/>
      <c r="G58" s="33"/>
      <c r="H58" s="33"/>
    </row>
    <row r="59" spans="1:8" x14ac:dyDescent="0.25">
      <c r="A59" s="33" t="s">
        <v>414</v>
      </c>
      <c r="B59" s="45">
        <v>0.24548574000000001</v>
      </c>
      <c r="C59" s="45">
        <v>1.1528057199999999</v>
      </c>
      <c r="D59" s="33"/>
      <c r="E59" s="33"/>
      <c r="F59" s="33"/>
      <c r="G59" s="33"/>
      <c r="H59" s="33"/>
    </row>
    <row r="60" spans="1:8" x14ac:dyDescent="0.25">
      <c r="A60" s="40" t="s">
        <v>415</v>
      </c>
      <c r="B60" s="45">
        <v>-0.45498041</v>
      </c>
      <c r="C60" s="45">
        <v>1.0644203699999999</v>
      </c>
      <c r="D60" s="33"/>
      <c r="E60" s="33"/>
      <c r="F60" s="33"/>
      <c r="G60" s="33"/>
      <c r="H60" s="33"/>
    </row>
    <row r="61" spans="1:8" x14ac:dyDescent="0.25">
      <c r="A61" s="37" t="s">
        <v>416</v>
      </c>
      <c r="B61" s="48"/>
      <c r="C61" s="48"/>
      <c r="D61" s="33"/>
      <c r="E61" s="33"/>
      <c r="F61" s="33"/>
      <c r="G61" s="33"/>
      <c r="H61" s="33"/>
    </row>
    <row r="62" spans="1:8" x14ac:dyDescent="0.25">
      <c r="A62" s="33" t="s">
        <v>417</v>
      </c>
      <c r="B62" s="45">
        <v>-0.21583675999999999</v>
      </c>
      <c r="C62" s="45">
        <v>1.05533349</v>
      </c>
      <c r="D62" s="33"/>
      <c r="E62" s="33"/>
      <c r="F62" s="33"/>
      <c r="G62" s="33"/>
      <c r="H62" s="33"/>
    </row>
    <row r="63" spans="1:8" x14ac:dyDescent="0.25">
      <c r="A63" s="33" t="s">
        <v>418</v>
      </c>
      <c r="B63" s="45">
        <v>0.16323841</v>
      </c>
      <c r="C63" s="45">
        <v>0.96853283000000001</v>
      </c>
      <c r="D63" s="33"/>
      <c r="E63" s="33"/>
      <c r="F63" s="33"/>
      <c r="G63" s="33"/>
      <c r="H63" s="33"/>
    </row>
    <row r="64" spans="1:8" x14ac:dyDescent="0.25">
      <c r="A64" s="33" t="s">
        <v>419</v>
      </c>
      <c r="B64" s="45">
        <v>-0.31097652999999997</v>
      </c>
      <c r="C64" s="45">
        <v>0.81811453999999995</v>
      </c>
      <c r="D64" s="33"/>
      <c r="E64" s="33"/>
      <c r="F64" s="33"/>
      <c r="G64" s="33"/>
      <c r="H64" s="33"/>
    </row>
    <row r="65" spans="1:8" x14ac:dyDescent="0.25">
      <c r="A65" s="37" t="s">
        <v>420</v>
      </c>
      <c r="B65" s="48"/>
      <c r="C65" s="48"/>
      <c r="D65" s="33"/>
      <c r="E65" s="33"/>
      <c r="F65" s="33"/>
      <c r="G65" s="33"/>
      <c r="H65" s="33"/>
    </row>
    <row r="66" spans="1:8" x14ac:dyDescent="0.25">
      <c r="A66" s="33" t="s">
        <v>421</v>
      </c>
      <c r="B66" s="45">
        <v>0.65704943000000005</v>
      </c>
      <c r="C66" s="45">
        <v>0.97637205000000005</v>
      </c>
      <c r="D66" s="33"/>
      <c r="E66" s="33"/>
      <c r="F66" s="33"/>
      <c r="G66" s="33"/>
      <c r="H66" s="33"/>
    </row>
    <row r="67" spans="1:8" x14ac:dyDescent="0.25">
      <c r="A67" s="33" t="s">
        <v>422</v>
      </c>
      <c r="B67" s="45">
        <v>0.15196388</v>
      </c>
      <c r="C67" s="45">
        <v>0.99871494999999999</v>
      </c>
      <c r="D67" s="33"/>
      <c r="E67" s="33"/>
      <c r="F67" s="33"/>
      <c r="G67" s="33"/>
      <c r="H67" s="33"/>
    </row>
    <row r="68" spans="1:8" x14ac:dyDescent="0.25">
      <c r="A68" s="33" t="s">
        <v>423</v>
      </c>
      <c r="B68" s="45">
        <v>-0.33467712999999999</v>
      </c>
      <c r="C68" s="45">
        <v>0.82722534999999997</v>
      </c>
      <c r="D68" s="33"/>
      <c r="E68" s="33"/>
      <c r="F68" s="33"/>
      <c r="G68" s="33"/>
      <c r="H68" s="33"/>
    </row>
    <row r="69" spans="1:8" x14ac:dyDescent="0.25">
      <c r="A69" s="33" t="s">
        <v>424</v>
      </c>
      <c r="B69" s="45">
        <v>0.14371497999999999</v>
      </c>
      <c r="C69" s="45">
        <v>1.0183044999999999</v>
      </c>
      <c r="D69" s="33"/>
      <c r="E69" s="33"/>
      <c r="F69" s="33"/>
      <c r="G69" s="33"/>
      <c r="H69" s="33"/>
    </row>
    <row r="70" spans="1:8" x14ac:dyDescent="0.25">
      <c r="A70" s="33" t="s">
        <v>425</v>
      </c>
      <c r="B70" s="45">
        <v>0.23593555999999999</v>
      </c>
      <c r="C70" s="45">
        <v>0.79026907000000002</v>
      </c>
      <c r="D70" s="33"/>
      <c r="E70" s="33"/>
      <c r="F70" s="33"/>
      <c r="G70" s="33"/>
      <c r="H70" s="33"/>
    </row>
    <row r="71" spans="1:8" x14ac:dyDescent="0.25">
      <c r="A71" s="37" t="s">
        <v>426</v>
      </c>
      <c r="B71" s="48"/>
      <c r="C71" s="48"/>
      <c r="D71" s="33"/>
      <c r="E71" s="33"/>
      <c r="F71" s="33"/>
      <c r="G71" s="33"/>
      <c r="H71" s="33"/>
    </row>
    <row r="72" spans="1:8" x14ac:dyDescent="0.25">
      <c r="A72" s="33" t="s">
        <v>427</v>
      </c>
      <c r="B72" s="45">
        <v>-0.30452131999999998</v>
      </c>
      <c r="C72" s="45">
        <v>0.74440108000000005</v>
      </c>
      <c r="D72" s="33"/>
      <c r="E72" s="33"/>
      <c r="F72" s="33"/>
      <c r="G72" s="33"/>
      <c r="H72" s="33"/>
    </row>
    <row r="73" spans="1:8" x14ac:dyDescent="0.25">
      <c r="A73" s="33" t="s">
        <v>428</v>
      </c>
      <c r="B73" s="45">
        <v>4.953813E-2</v>
      </c>
      <c r="C73" s="45">
        <v>0.77564290999999996</v>
      </c>
      <c r="D73" s="33"/>
      <c r="E73" s="33"/>
      <c r="F73" s="33"/>
      <c r="G73" s="33"/>
      <c r="H73" s="33"/>
    </row>
    <row r="74" spans="1:8" x14ac:dyDescent="0.25">
      <c r="A74" s="33" t="s">
        <v>429</v>
      </c>
      <c r="B74" s="45">
        <v>0.12146605000000001</v>
      </c>
      <c r="C74" s="45">
        <v>1.00443577</v>
      </c>
      <c r="D74" s="33"/>
      <c r="E74" s="33"/>
      <c r="F74" s="33"/>
      <c r="G74" s="33"/>
      <c r="H74" s="33"/>
    </row>
    <row r="75" spans="1:8" x14ac:dyDescent="0.25">
      <c r="A75" s="33" t="s">
        <v>430</v>
      </c>
      <c r="B75" s="45">
        <v>-9.2400460000000004E-2</v>
      </c>
      <c r="C75" s="45">
        <v>1.091153</v>
      </c>
      <c r="D75" s="33"/>
      <c r="E75" s="33"/>
      <c r="F75" s="33"/>
      <c r="G75" s="33"/>
      <c r="H75" s="33"/>
    </row>
    <row r="76" spans="1:8" x14ac:dyDescent="0.25">
      <c r="A76" s="40" t="s">
        <v>431</v>
      </c>
      <c r="B76" s="49">
        <v>0.22704168</v>
      </c>
      <c r="C76" s="49">
        <v>1.0216984899999999</v>
      </c>
      <c r="D76" s="33"/>
      <c r="E76" s="33"/>
      <c r="F76" s="33"/>
      <c r="G76" s="33"/>
      <c r="H76" s="33"/>
    </row>
    <row r="77" spans="1:8" x14ac:dyDescent="0.25">
      <c r="A77" s="33"/>
      <c r="B77" s="33"/>
      <c r="C77" s="33"/>
      <c r="D77" s="33"/>
      <c r="E77" s="33"/>
      <c r="F77" s="33"/>
      <c r="G77" s="33"/>
      <c r="H77" s="33"/>
    </row>
    <row r="78" spans="1:8" x14ac:dyDescent="0.25">
      <c r="A78" s="50"/>
      <c r="B78" s="33"/>
      <c r="C78" s="33"/>
      <c r="D78" s="33"/>
      <c r="E78" s="33"/>
      <c r="F78" s="33"/>
      <c r="G78" s="33"/>
      <c r="H78" s="33"/>
    </row>
  </sheetData>
  <sheetProtection formatColumns="0" formatRows="0"/>
  <conditionalFormatting sqref="A8:A26 A28:A34">
    <cfRule type="duplicateValues" dxfId="8" priority="5"/>
  </conditionalFormatting>
  <conditionalFormatting sqref="A36:A43">
    <cfRule type="duplicateValues" dxfId="7" priority="8"/>
  </conditionalFormatting>
  <hyperlinks>
    <hyperlink ref="A1" location="TOC!A1" display="Table of Contents" xr:uid="{91EA8F7C-79C9-41BE-B0FC-067A4E52E80F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3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3.7109375" customWidth="1"/>
    <col min="2" max="3" width="8.7109375" style="6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41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42" t="s">
        <v>317</v>
      </c>
      <c r="B6" s="51" t="s">
        <v>365</v>
      </c>
      <c r="C6" s="51" t="s">
        <v>366</v>
      </c>
      <c r="D6" s="33"/>
      <c r="E6" s="33"/>
      <c r="F6" s="33"/>
      <c r="G6" s="33"/>
      <c r="H6" s="33"/>
    </row>
    <row r="7" spans="1:8" x14ac:dyDescent="0.25">
      <c r="A7" s="37" t="s">
        <v>319</v>
      </c>
      <c r="B7" s="52"/>
      <c r="C7" s="52"/>
      <c r="D7" s="33"/>
      <c r="E7" s="33"/>
      <c r="F7" s="33"/>
      <c r="G7" s="33"/>
      <c r="H7" s="53"/>
    </row>
    <row r="8" spans="1:8" x14ac:dyDescent="0.25">
      <c r="A8" s="54" t="s">
        <v>324</v>
      </c>
      <c r="B8" s="55">
        <v>0.57440000000000002</v>
      </c>
      <c r="C8" s="55">
        <v>0.96330000000000005</v>
      </c>
      <c r="D8" s="33"/>
      <c r="E8" s="33"/>
      <c r="F8" s="33"/>
      <c r="G8" s="33"/>
      <c r="H8" s="53"/>
    </row>
    <row r="9" spans="1:8" x14ac:dyDescent="0.25">
      <c r="A9" s="54" t="s">
        <v>325</v>
      </c>
      <c r="B9" s="55">
        <v>1.7688999999999999</v>
      </c>
      <c r="C9" s="55">
        <v>1.645</v>
      </c>
      <c r="D9" s="33"/>
      <c r="E9" s="33"/>
      <c r="F9" s="33"/>
      <c r="G9" s="33"/>
      <c r="H9" s="53"/>
    </row>
    <row r="10" spans="1:8" x14ac:dyDescent="0.25">
      <c r="A10" s="54" t="s">
        <v>326</v>
      </c>
      <c r="B10" s="55">
        <v>0.33671174113313102</v>
      </c>
      <c r="C10" s="55">
        <v>0.69810361112085662</v>
      </c>
      <c r="D10" s="33"/>
      <c r="E10" s="33"/>
      <c r="F10" s="33"/>
      <c r="G10" s="33"/>
      <c r="H10" s="53"/>
    </row>
    <row r="11" spans="1:8" x14ac:dyDescent="0.25">
      <c r="A11" s="37" t="s">
        <v>341</v>
      </c>
      <c r="B11" s="56"/>
      <c r="C11" s="56"/>
      <c r="D11" s="33"/>
      <c r="E11" s="33"/>
      <c r="F11" s="33"/>
      <c r="G11" s="33"/>
      <c r="H11" s="53"/>
    </row>
    <row r="12" spans="1:8" x14ac:dyDescent="0.25">
      <c r="A12" s="33" t="s">
        <v>342</v>
      </c>
      <c r="B12" s="57">
        <v>-0.55308483104969242</v>
      </c>
      <c r="C12" s="57">
        <v>1.055201563504979</v>
      </c>
      <c r="D12" s="33"/>
      <c r="E12" s="33"/>
      <c r="F12" s="33"/>
      <c r="G12" s="33"/>
      <c r="H12" s="53"/>
    </row>
    <row r="13" spans="1:8" x14ac:dyDescent="0.25">
      <c r="A13" s="37" t="s">
        <v>432</v>
      </c>
      <c r="B13" s="58"/>
      <c r="C13" s="58"/>
      <c r="D13" s="33"/>
      <c r="E13" s="33"/>
      <c r="F13" s="33"/>
      <c r="G13" s="33"/>
      <c r="H13" s="33"/>
    </row>
    <row r="14" spans="1:8" x14ac:dyDescent="0.25">
      <c r="A14" s="33" t="s">
        <v>336</v>
      </c>
      <c r="B14" s="57">
        <v>1.422161582148658</v>
      </c>
      <c r="C14" s="57">
        <v>0.57047698209900555</v>
      </c>
      <c r="D14" s="33"/>
      <c r="E14" s="33"/>
      <c r="F14" s="33"/>
      <c r="G14" s="33"/>
      <c r="H14" s="53"/>
    </row>
    <row r="15" spans="1:8" x14ac:dyDescent="0.25">
      <c r="A15" s="33" t="s">
        <v>331</v>
      </c>
      <c r="B15" s="57">
        <v>1.603486853608755</v>
      </c>
      <c r="C15" s="57">
        <v>0.51748368512111798</v>
      </c>
      <c r="D15" s="33"/>
      <c r="E15" s="33"/>
      <c r="F15" s="33"/>
      <c r="G15" s="33"/>
      <c r="H15" s="53"/>
    </row>
    <row r="16" spans="1:8" x14ac:dyDescent="0.25">
      <c r="A16" s="33" t="s">
        <v>334</v>
      </c>
      <c r="B16" s="57">
        <v>0.26738856840444308</v>
      </c>
      <c r="C16" s="57">
        <v>1.233673810477792</v>
      </c>
      <c r="D16" s="33"/>
      <c r="E16" s="33"/>
      <c r="F16" s="33"/>
      <c r="G16" s="33"/>
      <c r="H16" s="53"/>
    </row>
    <row r="17" spans="1:8" x14ac:dyDescent="0.25">
      <c r="A17" s="33" t="s">
        <v>330</v>
      </c>
      <c r="B17" s="57">
        <v>-0.48302712009679588</v>
      </c>
      <c r="C17" s="57">
        <v>1.0211426866175171</v>
      </c>
      <c r="D17" s="33"/>
      <c r="E17" s="33"/>
      <c r="F17" s="33"/>
      <c r="G17" s="33"/>
      <c r="H17" s="53"/>
    </row>
    <row r="18" spans="1:8" x14ac:dyDescent="0.25">
      <c r="A18" s="33" t="s">
        <v>333</v>
      </c>
      <c r="B18" s="57">
        <v>0.16785814078917269</v>
      </c>
      <c r="C18" s="57">
        <v>0.9899346738769853</v>
      </c>
      <c r="D18" s="33"/>
      <c r="E18" s="33"/>
      <c r="F18" s="33"/>
      <c r="G18" s="33"/>
      <c r="H18" s="53"/>
    </row>
    <row r="19" spans="1:8" x14ac:dyDescent="0.25">
      <c r="A19" s="33" t="s">
        <v>337</v>
      </c>
      <c r="B19" s="57">
        <v>-0.44397948367641021</v>
      </c>
      <c r="C19" s="57">
        <v>0.61537694679584021</v>
      </c>
      <c r="D19" s="33"/>
      <c r="E19" s="33"/>
      <c r="F19" s="33"/>
      <c r="G19" s="33"/>
      <c r="H19" s="53"/>
    </row>
    <row r="20" spans="1:8" x14ac:dyDescent="0.25">
      <c r="A20" s="33" t="s">
        <v>338</v>
      </c>
      <c r="B20" s="57">
        <v>-0.6764714908222339</v>
      </c>
      <c r="C20" s="57">
        <v>0.82345179887953013</v>
      </c>
      <c r="D20" s="33"/>
      <c r="E20" s="33"/>
      <c r="F20" s="33"/>
      <c r="G20" s="33"/>
      <c r="H20" s="53"/>
    </row>
    <row r="21" spans="1:8" x14ac:dyDescent="0.25">
      <c r="A21" s="33" t="s">
        <v>335</v>
      </c>
      <c r="B21" s="57">
        <v>-0.8333509813221156</v>
      </c>
      <c r="C21" s="57">
        <v>1.3871950844903129</v>
      </c>
      <c r="D21" s="33"/>
      <c r="E21" s="33"/>
      <c r="F21" s="33"/>
      <c r="G21" s="33"/>
      <c r="H21" s="53"/>
    </row>
    <row r="22" spans="1:8" x14ac:dyDescent="0.25">
      <c r="A22" s="33" t="s">
        <v>332</v>
      </c>
      <c r="B22" s="57">
        <v>-1.892524773240508E-2</v>
      </c>
      <c r="C22" s="57">
        <v>1.0634727664023831</v>
      </c>
      <c r="D22" s="33"/>
      <c r="E22" s="33"/>
      <c r="F22" s="33"/>
      <c r="G22" s="33"/>
      <c r="H22" s="53"/>
    </row>
    <row r="23" spans="1:8" x14ac:dyDescent="0.25">
      <c r="A23" s="37" t="s">
        <v>347</v>
      </c>
      <c r="B23" s="58"/>
      <c r="C23" s="58"/>
      <c r="D23" s="33"/>
      <c r="E23" s="33"/>
      <c r="F23" s="33"/>
      <c r="G23" s="33"/>
      <c r="H23" s="33"/>
    </row>
    <row r="24" spans="1:8" x14ac:dyDescent="0.25">
      <c r="A24" s="33" t="s">
        <v>348</v>
      </c>
      <c r="B24" s="57">
        <v>2.0045385214511321E-2</v>
      </c>
      <c r="C24" s="57">
        <v>0.91355226650510679</v>
      </c>
      <c r="D24" s="33"/>
      <c r="E24" s="33"/>
      <c r="F24" s="33"/>
      <c r="G24" s="33"/>
      <c r="H24" s="53"/>
    </row>
    <row r="25" spans="1:8" x14ac:dyDescent="0.25">
      <c r="A25" s="33" t="s">
        <v>349</v>
      </c>
      <c r="B25" s="57">
        <v>0.14546351492258869</v>
      </c>
      <c r="C25" s="57">
        <v>1.009231697380039</v>
      </c>
      <c r="D25" s="33"/>
      <c r="E25" s="33"/>
      <c r="F25" s="33"/>
      <c r="G25" s="33"/>
      <c r="H25" s="53"/>
    </row>
    <row r="26" spans="1:8" x14ac:dyDescent="0.25">
      <c r="A26" s="33" t="s">
        <v>350</v>
      </c>
      <c r="B26" s="57">
        <v>8.0588237013877517E-2</v>
      </c>
      <c r="C26" s="57">
        <v>0.94133877467414595</v>
      </c>
      <c r="D26" s="33"/>
      <c r="E26" s="33"/>
      <c r="F26" s="33"/>
      <c r="G26" s="33"/>
      <c r="H26" s="53"/>
    </row>
    <row r="27" spans="1:8" x14ac:dyDescent="0.25">
      <c r="A27" s="33" t="s">
        <v>352</v>
      </c>
      <c r="B27" s="57">
        <v>-0.36719920145862439</v>
      </c>
      <c r="C27" s="57">
        <v>1.0805919989972921</v>
      </c>
      <c r="D27" s="33"/>
      <c r="E27" s="33"/>
      <c r="F27" s="33"/>
      <c r="G27" s="33"/>
      <c r="H27" s="53"/>
    </row>
    <row r="28" spans="1:8" x14ac:dyDescent="0.25">
      <c r="A28" s="33" t="s">
        <v>353</v>
      </c>
      <c r="B28" s="57">
        <v>-1.2709127417823189</v>
      </c>
      <c r="C28" s="57">
        <v>1.28730447336206</v>
      </c>
      <c r="D28" s="33"/>
      <c r="E28" s="33"/>
      <c r="F28" s="33"/>
      <c r="G28" s="33"/>
      <c r="H28" s="53"/>
    </row>
    <row r="29" spans="1:8" x14ac:dyDescent="0.25">
      <c r="A29" s="33" t="s">
        <v>355</v>
      </c>
      <c r="B29" s="57">
        <v>-6.6804516445601772E-2</v>
      </c>
      <c r="C29" s="57">
        <v>1.144840996137936</v>
      </c>
      <c r="D29" s="33"/>
      <c r="E29" s="33"/>
      <c r="F29" s="33"/>
      <c r="G29" s="33"/>
      <c r="H29" s="53"/>
    </row>
    <row r="30" spans="1:8" x14ac:dyDescent="0.25">
      <c r="A30" s="33" t="s">
        <v>356</v>
      </c>
      <c r="B30" s="57">
        <v>0.27795455239467221</v>
      </c>
      <c r="C30" s="57">
        <v>0.9749105671058319</v>
      </c>
      <c r="D30" s="33"/>
      <c r="E30" s="33"/>
      <c r="F30" s="33"/>
      <c r="G30" s="33"/>
      <c r="H30" s="53"/>
    </row>
    <row r="31" spans="1:8" x14ac:dyDescent="0.25">
      <c r="A31" s="37" t="s">
        <v>357</v>
      </c>
      <c r="B31" s="58"/>
      <c r="C31" s="58"/>
      <c r="D31" s="33"/>
      <c r="E31" s="33"/>
      <c r="F31" s="33"/>
      <c r="G31" s="33"/>
      <c r="H31" s="33"/>
    </row>
    <row r="32" spans="1:8" x14ac:dyDescent="0.25">
      <c r="A32" s="59" t="s">
        <v>359</v>
      </c>
      <c r="B32" s="63">
        <v>0.32001568639456313</v>
      </c>
      <c r="C32" s="63">
        <v>0.62438699897109995</v>
      </c>
      <c r="D32" s="33"/>
      <c r="E32" s="33"/>
      <c r="F32" s="33"/>
      <c r="G32" s="33"/>
      <c r="H32" s="53"/>
    </row>
    <row r="33" spans="1:8" x14ac:dyDescent="0.25">
      <c r="A33" s="33" t="s">
        <v>360</v>
      </c>
      <c r="B33" s="57">
        <v>1.5531900261293989</v>
      </c>
      <c r="C33" s="57">
        <v>1.4793823738433001</v>
      </c>
      <c r="D33" s="33"/>
      <c r="E33" s="33"/>
      <c r="F33" s="33"/>
      <c r="G33" s="33"/>
      <c r="H33" s="53"/>
    </row>
    <row r="34" spans="1:8" x14ac:dyDescent="0.25">
      <c r="A34" s="33" t="s">
        <v>361</v>
      </c>
      <c r="B34" s="57">
        <v>1.4494492358187601</v>
      </c>
      <c r="C34" s="57">
        <v>1.1312021810557129</v>
      </c>
      <c r="D34" s="33"/>
      <c r="E34" s="33"/>
      <c r="F34" s="33"/>
      <c r="G34" s="33"/>
      <c r="H34" s="53"/>
    </row>
    <row r="35" spans="1:8" x14ac:dyDescent="0.25">
      <c r="A35" s="40" t="s">
        <v>362</v>
      </c>
      <c r="B35" s="64">
        <v>1.4315131552726099</v>
      </c>
      <c r="C35" s="64">
        <v>1.4677541434242101</v>
      </c>
      <c r="D35" s="33"/>
      <c r="E35" s="33"/>
      <c r="F35" s="33"/>
      <c r="G35" s="33"/>
      <c r="H35" s="53"/>
    </row>
  </sheetData>
  <sheetProtection formatColumns="0" formatRows="0"/>
  <conditionalFormatting sqref="A8:A10 A12">
    <cfRule type="duplicateValues" dxfId="6" priority="7"/>
  </conditionalFormatting>
  <hyperlinks>
    <hyperlink ref="A1" location="TOC!A1" display="Table of Contents" xr:uid="{A6216BAF-18CC-4E93-B18F-53D9FC02CD4E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3.7109375" customWidth="1"/>
    <col min="2" max="3" width="8.7109375" style="6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41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42" t="s">
        <v>317</v>
      </c>
      <c r="B6" s="51" t="s">
        <v>365</v>
      </c>
      <c r="C6" s="51" t="s">
        <v>366</v>
      </c>
      <c r="D6" s="33"/>
      <c r="E6" s="33"/>
      <c r="F6" s="33"/>
      <c r="G6" s="33"/>
      <c r="H6" s="33"/>
    </row>
    <row r="7" spans="1:8" x14ac:dyDescent="0.25">
      <c r="A7" s="37" t="s">
        <v>319</v>
      </c>
      <c r="B7" s="52"/>
      <c r="C7" s="52"/>
      <c r="D7" s="33"/>
      <c r="E7" s="33"/>
      <c r="F7" s="33"/>
      <c r="G7" s="33"/>
      <c r="H7" s="33"/>
    </row>
    <row r="8" spans="1:8" x14ac:dyDescent="0.25">
      <c r="A8" s="33" t="s">
        <v>320</v>
      </c>
      <c r="B8" s="57">
        <v>0.76821115150158259</v>
      </c>
      <c r="C8" s="57">
        <v>1.1367602533201691</v>
      </c>
      <c r="D8" s="33"/>
      <c r="E8" s="33"/>
      <c r="F8" s="33"/>
      <c r="G8" s="33"/>
      <c r="H8" s="53"/>
    </row>
    <row r="9" spans="1:8" ht="16.5" x14ac:dyDescent="0.25">
      <c r="A9" s="33" t="s">
        <v>433</v>
      </c>
      <c r="B9" s="57">
        <v>-1.2167995205901609</v>
      </c>
      <c r="C9" s="57">
        <v>0.76362447892529528</v>
      </c>
      <c r="D9" s="33"/>
      <c r="E9" s="60"/>
      <c r="F9" s="61"/>
      <c r="G9" s="33"/>
      <c r="H9" s="53"/>
    </row>
    <row r="10" spans="1:8" x14ac:dyDescent="0.25">
      <c r="A10" s="37" t="s">
        <v>329</v>
      </c>
      <c r="B10" s="52"/>
      <c r="C10" s="52"/>
      <c r="D10" s="33"/>
      <c r="E10" s="33"/>
      <c r="F10" s="33"/>
      <c r="G10" s="33"/>
      <c r="H10" s="53"/>
    </row>
    <row r="11" spans="1:8" x14ac:dyDescent="0.25">
      <c r="A11" s="62" t="s">
        <v>339</v>
      </c>
      <c r="B11" s="63">
        <v>0.63285187871158199</v>
      </c>
      <c r="C11" s="63">
        <v>1.1054314551049289</v>
      </c>
      <c r="D11" s="33"/>
      <c r="E11" s="33"/>
      <c r="F11" s="33"/>
      <c r="G11" s="33"/>
      <c r="H11" s="53"/>
    </row>
    <row r="12" spans="1:8" x14ac:dyDescent="0.25">
      <c r="A12" s="33" t="s">
        <v>340</v>
      </c>
      <c r="B12" s="57">
        <v>6.0049243985468362E-2</v>
      </c>
      <c r="C12" s="57">
        <v>1.3505611453170461</v>
      </c>
      <c r="D12" s="33"/>
      <c r="E12" s="33"/>
      <c r="F12" s="33"/>
      <c r="G12" s="33"/>
      <c r="H12" s="53"/>
    </row>
    <row r="13" spans="1:8" x14ac:dyDescent="0.25">
      <c r="A13" s="37" t="s">
        <v>341</v>
      </c>
      <c r="B13" s="52"/>
      <c r="C13" s="52"/>
      <c r="D13" s="33"/>
      <c r="E13" s="33"/>
      <c r="F13" s="33"/>
      <c r="G13" s="33"/>
      <c r="H13" s="53"/>
    </row>
    <row r="14" spans="1:8" x14ac:dyDescent="0.25">
      <c r="A14" s="33" t="s">
        <v>345</v>
      </c>
      <c r="B14" s="57">
        <v>1.232598242736626</v>
      </c>
      <c r="C14" s="57">
        <v>1.369361674748742</v>
      </c>
      <c r="D14" s="33"/>
      <c r="E14" s="33"/>
      <c r="F14" s="33"/>
      <c r="G14" s="33"/>
      <c r="H14" s="53"/>
    </row>
    <row r="15" spans="1:8" x14ac:dyDescent="0.25">
      <c r="A15" s="37" t="s">
        <v>347</v>
      </c>
      <c r="B15" s="58"/>
      <c r="C15" s="58"/>
      <c r="D15" s="33"/>
      <c r="E15" s="33"/>
      <c r="F15" s="33"/>
      <c r="G15" s="33"/>
      <c r="H15" s="33"/>
    </row>
    <row r="16" spans="1:8" x14ac:dyDescent="0.25">
      <c r="A16" s="33" t="s">
        <v>351</v>
      </c>
      <c r="B16" s="57">
        <v>-0.782826404574687</v>
      </c>
      <c r="C16" s="57">
        <v>1.1122458619264901</v>
      </c>
      <c r="D16" s="33"/>
      <c r="E16" s="33"/>
      <c r="F16" s="33"/>
      <c r="G16" s="33"/>
      <c r="H16" s="53"/>
    </row>
    <row r="17" spans="1:8" x14ac:dyDescent="0.25">
      <c r="A17" s="33" t="s">
        <v>354</v>
      </c>
      <c r="B17" s="57">
        <v>-0.86835406786696756</v>
      </c>
      <c r="C17" s="57">
        <v>0.82658883286046503</v>
      </c>
      <c r="D17" s="33"/>
      <c r="E17" s="33"/>
      <c r="F17" s="33"/>
      <c r="G17" s="33"/>
      <c r="H17" s="53"/>
    </row>
    <row r="18" spans="1:8" x14ac:dyDescent="0.25">
      <c r="A18" s="37" t="s">
        <v>357</v>
      </c>
      <c r="B18" s="58"/>
      <c r="C18" s="58"/>
      <c r="D18" s="33"/>
      <c r="E18" s="33"/>
      <c r="F18" s="33"/>
      <c r="G18" s="33"/>
      <c r="H18" s="33"/>
    </row>
    <row r="19" spans="1:8" x14ac:dyDescent="0.25">
      <c r="A19" s="59" t="s">
        <v>359</v>
      </c>
      <c r="B19" s="63">
        <v>0.32001568639456313</v>
      </c>
      <c r="C19" s="63">
        <v>0.62438699897109995</v>
      </c>
      <c r="D19" s="33"/>
      <c r="E19" s="33"/>
      <c r="F19" s="33"/>
      <c r="G19" s="33"/>
      <c r="H19" s="53"/>
    </row>
    <row r="20" spans="1:8" x14ac:dyDescent="0.25">
      <c r="A20" s="33" t="s">
        <v>360</v>
      </c>
      <c r="B20" s="57">
        <v>1.5531900261293989</v>
      </c>
      <c r="C20" s="57">
        <v>1.4793823738433001</v>
      </c>
      <c r="D20" s="33"/>
      <c r="E20" s="33"/>
      <c r="F20" s="33"/>
      <c r="G20" s="33"/>
      <c r="H20" s="53"/>
    </row>
    <row r="21" spans="1:8" x14ac:dyDescent="0.25">
      <c r="A21" s="33" t="s">
        <v>361</v>
      </c>
      <c r="B21" s="57">
        <v>1.4494492358187601</v>
      </c>
      <c r="C21" s="57">
        <v>1.1312021810557129</v>
      </c>
      <c r="D21" s="33"/>
      <c r="E21" s="33"/>
      <c r="F21" s="33"/>
      <c r="G21" s="33"/>
      <c r="H21" s="53"/>
    </row>
    <row r="22" spans="1:8" x14ac:dyDescent="0.25">
      <c r="A22" s="40" t="s">
        <v>362</v>
      </c>
      <c r="B22" s="64">
        <v>1.4315131552726099</v>
      </c>
      <c r="C22" s="64">
        <v>1.4677541434242101</v>
      </c>
      <c r="D22" s="33"/>
      <c r="E22" s="33"/>
      <c r="F22" s="33"/>
      <c r="G22" s="33"/>
      <c r="H22" s="53"/>
    </row>
  </sheetData>
  <sheetProtection formatColumns="0" formatRows="0"/>
  <conditionalFormatting sqref="A8:A9 A12 A14">
    <cfRule type="duplicateValues" dxfId="5" priority="9"/>
  </conditionalFormatting>
  <hyperlinks>
    <hyperlink ref="A1" location="TOC!A1" display="Table of Contents" xr:uid="{67E910E7-764F-4CCC-85CF-407C27628EB4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7109375" customWidth="1"/>
    <col min="2" max="3" width="8.7109375" style="6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41"/>
      <c r="B2" s="33"/>
      <c r="C2" s="33"/>
      <c r="D2" s="33"/>
    </row>
    <row r="3" spans="1:4" x14ac:dyDescent="0.25">
      <c r="A3" s="34" t="s">
        <v>10</v>
      </c>
      <c r="B3" s="33"/>
      <c r="C3" s="33"/>
      <c r="D3" s="33"/>
    </row>
    <row r="4" spans="1:4" x14ac:dyDescent="0.25">
      <c r="A4" s="34" t="s">
        <v>11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317</v>
      </c>
      <c r="B6" s="51" t="s">
        <v>365</v>
      </c>
      <c r="C6" s="51" t="s">
        <v>366</v>
      </c>
      <c r="D6" s="33"/>
    </row>
    <row r="7" spans="1:4" x14ac:dyDescent="0.25">
      <c r="A7" s="37" t="s">
        <v>319</v>
      </c>
      <c r="B7" s="52"/>
      <c r="C7" s="52"/>
      <c r="D7" s="33"/>
    </row>
    <row r="8" spans="1:4" x14ac:dyDescent="0.25">
      <c r="A8" s="33" t="s">
        <v>322</v>
      </c>
      <c r="B8" s="57">
        <v>0.53</v>
      </c>
      <c r="C8" s="57">
        <v>1.3</v>
      </c>
      <c r="D8" s="33"/>
    </row>
    <row r="9" spans="1:4" x14ac:dyDescent="0.25">
      <c r="A9" s="33" t="s">
        <v>328</v>
      </c>
      <c r="B9" s="57">
        <v>0.75</v>
      </c>
      <c r="C9" s="57">
        <v>1.24</v>
      </c>
      <c r="D9" s="33"/>
    </row>
    <row r="10" spans="1:4" x14ac:dyDescent="0.25">
      <c r="A10" s="37" t="s">
        <v>341</v>
      </c>
      <c r="B10" s="52"/>
      <c r="C10" s="52"/>
      <c r="D10" s="33"/>
    </row>
    <row r="11" spans="1:4" x14ac:dyDescent="0.25">
      <c r="A11" s="39" t="s">
        <v>346</v>
      </c>
      <c r="B11" s="64">
        <v>-0.69</v>
      </c>
      <c r="C11" s="64">
        <v>0.68</v>
      </c>
      <c r="D11" s="33"/>
    </row>
    <row r="12" spans="1:4" x14ac:dyDescent="0.25">
      <c r="A12" s="37" t="s">
        <v>357</v>
      </c>
      <c r="B12" s="52"/>
      <c r="C12" s="52"/>
      <c r="D12" s="33"/>
    </row>
    <row r="13" spans="1:4" x14ac:dyDescent="0.25">
      <c r="A13" s="39" t="s">
        <v>363</v>
      </c>
      <c r="B13" s="64">
        <v>1.41</v>
      </c>
      <c r="C13" s="64">
        <v>1.1399999999999999</v>
      </c>
      <c r="D13" s="33"/>
    </row>
  </sheetData>
  <sheetProtection formatColumns="0" formatRows="0"/>
  <conditionalFormatting sqref="A8:A9 A11">
    <cfRule type="duplicateValues" dxfId="4" priority="11"/>
  </conditionalFormatting>
  <conditionalFormatting sqref="A13">
    <cfRule type="duplicateValues" dxfId="3" priority="1"/>
  </conditionalFormatting>
  <hyperlinks>
    <hyperlink ref="A1" location="TOC!A1" display="Table of Contents" xr:uid="{94EEB955-EE56-4530-A47B-FBF7DCBE8F2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7109375" customWidth="1"/>
    <col min="2" max="3" width="8.7109375" style="6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41"/>
      <c r="B2" s="33"/>
      <c r="C2" s="33"/>
      <c r="D2" s="33"/>
    </row>
    <row r="3" spans="1:4" x14ac:dyDescent="0.25">
      <c r="A3" s="34" t="s">
        <v>12</v>
      </c>
      <c r="B3" s="33"/>
      <c r="C3" s="33"/>
      <c r="D3" s="33"/>
    </row>
    <row r="4" spans="1:4" x14ac:dyDescent="0.25">
      <c r="A4" s="34" t="s">
        <v>13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317</v>
      </c>
      <c r="B6" s="51" t="s">
        <v>434</v>
      </c>
      <c r="C6" s="51" t="s">
        <v>435</v>
      </c>
      <c r="D6" s="33"/>
    </row>
    <row r="7" spans="1:4" x14ac:dyDescent="0.25">
      <c r="A7" s="37" t="s">
        <v>319</v>
      </c>
      <c r="B7" s="52"/>
      <c r="C7" s="52"/>
      <c r="D7" s="33"/>
    </row>
    <row r="8" spans="1:4" x14ac:dyDescent="0.25">
      <c r="A8" s="33" t="s">
        <v>323</v>
      </c>
      <c r="B8" s="57">
        <v>0.57999999999999996</v>
      </c>
      <c r="C8" s="57">
        <v>-0.12</v>
      </c>
      <c r="D8" s="33"/>
    </row>
    <row r="9" spans="1:4" x14ac:dyDescent="0.25">
      <c r="A9" s="33" t="s">
        <v>327</v>
      </c>
      <c r="B9" s="57">
        <v>1.05</v>
      </c>
      <c r="C9" s="57">
        <v>-0.52</v>
      </c>
      <c r="D9" s="33"/>
    </row>
    <row r="10" spans="1:4" x14ac:dyDescent="0.25">
      <c r="A10" s="37" t="s">
        <v>341</v>
      </c>
      <c r="B10" s="52"/>
      <c r="C10" s="52"/>
      <c r="D10" s="33"/>
    </row>
    <row r="11" spans="1:4" x14ac:dyDescent="0.25">
      <c r="A11" s="33" t="s">
        <v>436</v>
      </c>
      <c r="B11" s="57">
        <v>0.77</v>
      </c>
      <c r="C11" s="57">
        <v>-1.1100000000000001</v>
      </c>
      <c r="D11" s="33"/>
    </row>
    <row r="12" spans="1:4" x14ac:dyDescent="0.25">
      <c r="A12" s="33" t="s">
        <v>343</v>
      </c>
      <c r="B12" s="57">
        <v>1.64</v>
      </c>
      <c r="C12" s="57">
        <v>-2.34</v>
      </c>
      <c r="D12" s="33"/>
    </row>
    <row r="13" spans="1:4" x14ac:dyDescent="0.25">
      <c r="A13" s="40" t="s">
        <v>344</v>
      </c>
      <c r="B13" s="64">
        <v>1.1100000000000001</v>
      </c>
      <c r="C13" s="64">
        <v>1</v>
      </c>
      <c r="D13" s="33"/>
    </row>
  </sheetData>
  <sheetProtection formatColumns="0" formatRows="0"/>
  <conditionalFormatting sqref="A8:A9">
    <cfRule type="duplicateValues" dxfId="2" priority="1"/>
  </conditionalFormatting>
  <conditionalFormatting sqref="A11:A12">
    <cfRule type="duplicateValues" dxfId="1" priority="2"/>
  </conditionalFormatting>
  <hyperlinks>
    <hyperlink ref="A1" location="TOC!A1" display="Table of Contents" xr:uid="{DF3F63A1-3E1D-417D-BDE1-F3B000E9B0C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64"/>
  <sheetViews>
    <sheetView zoomScaleNormal="100" workbookViewId="0">
      <pane ySplit="6" topLeftCell="A45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99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14</v>
      </c>
      <c r="B3" s="33"/>
      <c r="C3" s="33"/>
      <c r="D3" s="33"/>
    </row>
    <row r="4" spans="1:4" x14ac:dyDescent="0.25">
      <c r="A4" s="34" t="s">
        <v>437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x14ac:dyDescent="0.25">
      <c r="A7" s="38" t="s">
        <v>440</v>
      </c>
      <c r="B7" s="66"/>
      <c r="C7" s="33"/>
      <c r="D7" s="33"/>
    </row>
    <row r="8" spans="1:4" x14ac:dyDescent="0.25">
      <c r="A8" s="67" t="s">
        <v>441</v>
      </c>
      <c r="B8" s="67" t="s">
        <v>442</v>
      </c>
      <c r="C8" s="33"/>
      <c r="D8" s="33"/>
    </row>
    <row r="9" spans="1:4" x14ac:dyDescent="0.25">
      <c r="A9" s="59" t="s">
        <v>443</v>
      </c>
      <c r="B9" s="59" t="s">
        <v>444</v>
      </c>
      <c r="C9" s="33"/>
      <c r="D9" s="33"/>
    </row>
    <row r="10" spans="1:4" x14ac:dyDescent="0.25">
      <c r="A10" s="67" t="s">
        <v>445</v>
      </c>
      <c r="B10" s="67" t="s">
        <v>446</v>
      </c>
      <c r="C10" s="33"/>
      <c r="D10" s="33"/>
    </row>
    <row r="11" spans="1:4" x14ac:dyDescent="0.25">
      <c r="A11" s="33" t="s">
        <v>447</v>
      </c>
      <c r="B11" s="33" t="s">
        <v>448</v>
      </c>
      <c r="C11" s="33"/>
      <c r="D11" s="33"/>
    </row>
    <row r="12" spans="1:4" x14ac:dyDescent="0.25">
      <c r="A12" s="33" t="s">
        <v>449</v>
      </c>
      <c r="B12" s="33" t="s">
        <v>450</v>
      </c>
      <c r="C12" s="33"/>
      <c r="D12" s="33"/>
    </row>
    <row r="13" spans="1:4" x14ac:dyDescent="0.25">
      <c r="A13" s="33" t="s">
        <v>451</v>
      </c>
      <c r="B13" s="33" t="s">
        <v>452</v>
      </c>
      <c r="C13" s="33"/>
      <c r="D13" s="33"/>
    </row>
    <row r="14" spans="1:4" x14ac:dyDescent="0.25">
      <c r="A14" s="67" t="s">
        <v>453</v>
      </c>
      <c r="B14" s="67" t="s">
        <v>454</v>
      </c>
      <c r="C14" s="33"/>
      <c r="D14" s="33"/>
    </row>
    <row r="15" spans="1:4" x14ac:dyDescent="0.25">
      <c r="A15" s="33" t="s">
        <v>455</v>
      </c>
      <c r="B15" s="33" t="s">
        <v>456</v>
      </c>
      <c r="C15" s="33"/>
      <c r="D15" s="33"/>
    </row>
    <row r="16" spans="1:4" x14ac:dyDescent="0.25">
      <c r="A16" s="33" t="s">
        <v>457</v>
      </c>
      <c r="B16" s="33" t="s">
        <v>458</v>
      </c>
      <c r="C16" s="33"/>
      <c r="D16" s="33"/>
    </row>
    <row r="17" spans="1:4" x14ac:dyDescent="0.25">
      <c r="A17" s="33" t="s">
        <v>459</v>
      </c>
      <c r="B17" s="33" t="s">
        <v>460</v>
      </c>
      <c r="C17" s="33"/>
      <c r="D17" s="33"/>
    </row>
    <row r="18" spans="1:4" x14ac:dyDescent="0.25">
      <c r="A18" s="33" t="s">
        <v>461</v>
      </c>
      <c r="B18" s="33" t="s">
        <v>462</v>
      </c>
      <c r="C18" s="33"/>
      <c r="D18" s="33"/>
    </row>
    <row r="19" spans="1:4" x14ac:dyDescent="0.25">
      <c r="A19" s="33" t="s">
        <v>463</v>
      </c>
      <c r="B19" s="33" t="s">
        <v>464</v>
      </c>
      <c r="C19" s="33"/>
      <c r="D19" s="33"/>
    </row>
    <row r="20" spans="1:4" x14ac:dyDescent="0.25">
      <c r="A20" s="33" t="s">
        <v>465</v>
      </c>
      <c r="B20" s="33" t="s">
        <v>466</v>
      </c>
      <c r="C20" s="33"/>
      <c r="D20" s="33"/>
    </row>
    <row r="21" spans="1:4" ht="16.5" customHeight="1" x14ac:dyDescent="0.25">
      <c r="A21" s="68" t="s">
        <v>467</v>
      </c>
      <c r="B21" s="67" t="s">
        <v>468</v>
      </c>
      <c r="C21" s="33"/>
      <c r="D21" s="33"/>
    </row>
    <row r="22" spans="1:4" x14ac:dyDescent="0.25">
      <c r="A22" s="33" t="s">
        <v>469</v>
      </c>
      <c r="B22" s="33" t="s">
        <v>470</v>
      </c>
      <c r="C22" s="33"/>
      <c r="D22" s="33"/>
    </row>
    <row r="23" spans="1:4" x14ac:dyDescent="0.25">
      <c r="A23" s="33" t="s">
        <v>471</v>
      </c>
      <c r="B23" s="33" t="s">
        <v>472</v>
      </c>
      <c r="C23" s="33"/>
      <c r="D23" s="33"/>
    </row>
    <row r="24" spans="1:4" x14ac:dyDescent="0.25">
      <c r="A24" s="33" t="s">
        <v>473</v>
      </c>
      <c r="B24" s="33" t="s">
        <v>474</v>
      </c>
      <c r="C24" s="33"/>
      <c r="D24" s="33"/>
    </row>
    <row r="25" spans="1:4" x14ac:dyDescent="0.25">
      <c r="A25" s="33" t="s">
        <v>475</v>
      </c>
      <c r="B25" s="33" t="s">
        <v>476</v>
      </c>
      <c r="C25" s="33"/>
      <c r="D25" s="33"/>
    </row>
    <row r="26" spans="1:4" x14ac:dyDescent="0.25">
      <c r="A26" s="33" t="s">
        <v>477</v>
      </c>
      <c r="B26" s="33" t="s">
        <v>478</v>
      </c>
      <c r="C26" s="33"/>
      <c r="D26" s="33"/>
    </row>
    <row r="27" spans="1:4" x14ac:dyDescent="0.25">
      <c r="A27" s="67" t="s">
        <v>479</v>
      </c>
      <c r="B27" s="67" t="s">
        <v>480</v>
      </c>
      <c r="C27" s="33"/>
      <c r="D27" s="33"/>
    </row>
    <row r="28" spans="1:4" x14ac:dyDescent="0.25">
      <c r="A28" s="33" t="s">
        <v>481</v>
      </c>
      <c r="B28" s="33" t="s">
        <v>482</v>
      </c>
      <c r="C28" s="33"/>
      <c r="D28" s="33"/>
    </row>
    <row r="29" spans="1:4" x14ac:dyDescent="0.25">
      <c r="A29" s="33" t="s">
        <v>483</v>
      </c>
      <c r="B29" s="33" t="s">
        <v>484</v>
      </c>
      <c r="C29" s="33"/>
      <c r="D29" s="33"/>
    </row>
    <row r="30" spans="1:4" x14ac:dyDescent="0.25">
      <c r="A30" s="33" t="s">
        <v>485</v>
      </c>
      <c r="B30" s="33" t="s">
        <v>486</v>
      </c>
      <c r="C30" s="33"/>
      <c r="D30" s="33"/>
    </row>
    <row r="31" spans="1:4" x14ac:dyDescent="0.25">
      <c r="A31" s="33" t="s">
        <v>487</v>
      </c>
      <c r="B31" s="33" t="s">
        <v>488</v>
      </c>
      <c r="C31" s="33"/>
      <c r="D31" s="33"/>
    </row>
    <row r="32" spans="1:4" x14ac:dyDescent="0.25">
      <c r="A32" s="33" t="s">
        <v>489</v>
      </c>
      <c r="B32" s="33" t="s">
        <v>490</v>
      </c>
      <c r="C32" s="33"/>
      <c r="D32" s="33"/>
    </row>
    <row r="33" spans="1:4" x14ac:dyDescent="0.25">
      <c r="A33" s="33" t="s">
        <v>491</v>
      </c>
      <c r="B33" s="33" t="s">
        <v>492</v>
      </c>
      <c r="C33" s="33"/>
      <c r="D33" s="33"/>
    </row>
    <row r="34" spans="1:4" x14ac:dyDescent="0.25">
      <c r="A34" s="33" t="s">
        <v>493</v>
      </c>
      <c r="B34" s="33" t="s">
        <v>494</v>
      </c>
      <c r="C34" s="33"/>
      <c r="D34" s="33"/>
    </row>
    <row r="35" spans="1:4" x14ac:dyDescent="0.25">
      <c r="A35" s="33" t="s">
        <v>495</v>
      </c>
      <c r="B35" s="33" t="s">
        <v>496</v>
      </c>
      <c r="C35" s="33"/>
      <c r="D35" s="33"/>
    </row>
    <row r="36" spans="1:4" x14ac:dyDescent="0.25">
      <c r="A36" s="38" t="s">
        <v>497</v>
      </c>
      <c r="B36" s="38"/>
      <c r="C36" s="33"/>
      <c r="D36" s="33"/>
    </row>
    <row r="37" spans="1:4" x14ac:dyDescent="0.25">
      <c r="A37" s="59" t="s">
        <v>378</v>
      </c>
      <c r="B37" s="59" t="s">
        <v>498</v>
      </c>
      <c r="C37" s="33"/>
      <c r="D37" s="33"/>
    </row>
    <row r="38" spans="1:4" x14ac:dyDescent="0.25">
      <c r="A38" s="33" t="s">
        <v>326</v>
      </c>
      <c r="B38" s="33" t="s">
        <v>499</v>
      </c>
      <c r="C38" s="33"/>
      <c r="D38" s="33"/>
    </row>
    <row r="39" spans="1:4" x14ac:dyDescent="0.25">
      <c r="A39" s="33" t="s">
        <v>320</v>
      </c>
      <c r="B39" s="33" t="s">
        <v>500</v>
      </c>
      <c r="C39" s="33"/>
      <c r="D39" s="33"/>
    </row>
    <row r="40" spans="1:4" x14ac:dyDescent="0.25">
      <c r="A40" s="33" t="s">
        <v>321</v>
      </c>
      <c r="B40" s="33" t="s">
        <v>501</v>
      </c>
      <c r="C40" s="33"/>
      <c r="D40" s="33"/>
    </row>
    <row r="41" spans="1:4" x14ac:dyDescent="0.25">
      <c r="A41" s="33" t="s">
        <v>325</v>
      </c>
      <c r="B41" s="33" t="s">
        <v>502</v>
      </c>
      <c r="C41" s="33"/>
      <c r="D41" s="33"/>
    </row>
    <row r="42" spans="1:4" x14ac:dyDescent="0.25">
      <c r="A42" s="33" t="s">
        <v>322</v>
      </c>
      <c r="B42" s="33" t="s">
        <v>503</v>
      </c>
      <c r="C42" s="33"/>
      <c r="D42" s="33"/>
    </row>
    <row r="43" spans="1:4" x14ac:dyDescent="0.25">
      <c r="A43" s="33" t="s">
        <v>328</v>
      </c>
      <c r="B43" s="33" t="s">
        <v>504</v>
      </c>
      <c r="C43" s="33"/>
      <c r="D43" s="33"/>
    </row>
    <row r="44" spans="1:4" x14ac:dyDescent="0.25">
      <c r="A44" s="33" t="s">
        <v>369</v>
      </c>
      <c r="B44" s="33" t="s">
        <v>505</v>
      </c>
      <c r="C44" s="33"/>
      <c r="D44" s="33"/>
    </row>
    <row r="45" spans="1:4" x14ac:dyDescent="0.25">
      <c r="A45" s="33" t="s">
        <v>381</v>
      </c>
      <c r="B45" s="33" t="s">
        <v>506</v>
      </c>
      <c r="C45" s="33"/>
      <c r="D45" s="33"/>
    </row>
    <row r="46" spans="1:4" x14ac:dyDescent="0.25">
      <c r="A46" s="33" t="s">
        <v>327</v>
      </c>
      <c r="B46" s="33" t="s">
        <v>507</v>
      </c>
      <c r="C46" s="33"/>
      <c r="D46" s="33"/>
    </row>
    <row r="47" spans="1:4" x14ac:dyDescent="0.25">
      <c r="A47" s="33" t="s">
        <v>372</v>
      </c>
      <c r="B47" s="33" t="s">
        <v>508</v>
      </c>
      <c r="C47" s="33"/>
      <c r="D47" s="33"/>
    </row>
    <row r="48" spans="1:4" x14ac:dyDescent="0.25">
      <c r="A48" s="33" t="s">
        <v>383</v>
      </c>
      <c r="B48" s="33" t="s">
        <v>509</v>
      </c>
      <c r="C48" s="33"/>
      <c r="D48" s="33"/>
    </row>
    <row r="49" spans="1:4" x14ac:dyDescent="0.25">
      <c r="A49" s="33" t="s">
        <v>379</v>
      </c>
      <c r="B49" s="33" t="s">
        <v>510</v>
      </c>
      <c r="C49" s="33"/>
      <c r="D49" s="33"/>
    </row>
    <row r="50" spans="1:4" x14ac:dyDescent="0.25">
      <c r="A50" s="33" t="s">
        <v>375</v>
      </c>
      <c r="B50" s="33" t="s">
        <v>511</v>
      </c>
      <c r="C50" s="33"/>
      <c r="D50" s="33"/>
    </row>
    <row r="51" spans="1:4" x14ac:dyDescent="0.25">
      <c r="A51" s="33" t="s">
        <v>370</v>
      </c>
      <c r="B51" s="33" t="s">
        <v>512</v>
      </c>
      <c r="C51" s="33"/>
      <c r="D51" s="33"/>
    </row>
    <row r="52" spans="1:4" x14ac:dyDescent="0.25">
      <c r="A52" s="33" t="s">
        <v>376</v>
      </c>
      <c r="B52" s="33" t="s">
        <v>513</v>
      </c>
      <c r="C52" s="33"/>
      <c r="D52" s="33"/>
    </row>
    <row r="53" spans="1:4" x14ac:dyDescent="0.25">
      <c r="A53" s="33" t="s">
        <v>323</v>
      </c>
      <c r="B53" s="33" t="s">
        <v>514</v>
      </c>
      <c r="C53" s="33"/>
      <c r="D53" s="33"/>
    </row>
    <row r="54" spans="1:4" x14ac:dyDescent="0.25">
      <c r="A54" s="33" t="s">
        <v>324</v>
      </c>
      <c r="B54" s="33" t="s">
        <v>515</v>
      </c>
      <c r="C54" s="33"/>
      <c r="D54" s="33"/>
    </row>
    <row r="55" spans="1:4" x14ac:dyDescent="0.25">
      <c r="A55" s="33" t="s">
        <v>373</v>
      </c>
      <c r="B55" s="33" t="s">
        <v>516</v>
      </c>
      <c r="C55" s="33"/>
      <c r="D55" s="33"/>
    </row>
    <row r="56" spans="1:4" x14ac:dyDescent="0.25">
      <c r="A56" s="33" t="s">
        <v>380</v>
      </c>
      <c r="B56" s="33" t="s">
        <v>517</v>
      </c>
      <c r="C56" s="33"/>
      <c r="D56" s="33"/>
    </row>
    <row r="57" spans="1:4" x14ac:dyDescent="0.25">
      <c r="A57" s="33" t="s">
        <v>371</v>
      </c>
      <c r="B57" s="33" t="s">
        <v>518</v>
      </c>
      <c r="C57" s="33"/>
      <c r="D57" s="33"/>
    </row>
    <row r="58" spans="1:4" x14ac:dyDescent="0.25">
      <c r="A58" s="33" t="s">
        <v>377</v>
      </c>
      <c r="B58" s="33" t="s">
        <v>519</v>
      </c>
      <c r="C58" s="33"/>
      <c r="D58" s="33"/>
    </row>
    <row r="59" spans="1:4" x14ac:dyDescent="0.25">
      <c r="A59" s="33" t="s">
        <v>382</v>
      </c>
      <c r="B59" s="33" t="s">
        <v>520</v>
      </c>
      <c r="C59" s="33"/>
      <c r="D59" s="33"/>
    </row>
    <row r="60" spans="1:4" x14ac:dyDescent="0.25">
      <c r="A60" s="33" t="s">
        <v>374</v>
      </c>
      <c r="B60" s="33" t="s">
        <v>521</v>
      </c>
      <c r="C60" s="33"/>
      <c r="D60" s="33"/>
    </row>
    <row r="61" spans="1:4" x14ac:dyDescent="0.25">
      <c r="A61" s="33" t="s">
        <v>368</v>
      </c>
      <c r="B61" s="33" t="s">
        <v>522</v>
      </c>
      <c r="C61" s="33"/>
      <c r="D61" s="33"/>
    </row>
    <row r="62" spans="1:4" x14ac:dyDescent="0.25">
      <c r="A62" s="40" t="s">
        <v>367</v>
      </c>
      <c r="B62" s="40" t="s">
        <v>523</v>
      </c>
      <c r="C62" s="33"/>
      <c r="D62" s="33"/>
    </row>
    <row r="63" spans="1:4" x14ac:dyDescent="0.25">
      <c r="A63" s="69" t="s">
        <v>524</v>
      </c>
      <c r="B63" s="40"/>
      <c r="C63" s="33"/>
      <c r="D63" s="33"/>
    </row>
    <row r="64" spans="1:4" x14ac:dyDescent="0.25">
      <c r="A64" s="39" t="s">
        <v>525</v>
      </c>
      <c r="B64" s="39" t="s">
        <v>526</v>
      </c>
      <c r="C64" s="33"/>
      <c r="D64" s="33"/>
    </row>
  </sheetData>
  <sheetProtection formatColumns="0" formatRows="0"/>
  <hyperlinks>
    <hyperlink ref="A1" location="TOC!A1" display="Table of Contents" xr:uid="{433BC0FB-F8DD-45BB-AD62-A5EB648C27F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88.42578125" bestFit="1" customWidth="1"/>
    <col min="3" max="3" width="19.4257812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16</v>
      </c>
      <c r="B3" s="33"/>
      <c r="C3" s="33"/>
      <c r="D3" s="33"/>
    </row>
    <row r="4" spans="1:4" x14ac:dyDescent="0.25">
      <c r="A4" s="34" t="s">
        <v>17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ht="32.25" customHeight="1" x14ac:dyDescent="0.25">
      <c r="A6" s="70" t="s">
        <v>527</v>
      </c>
      <c r="B6" s="35" t="s">
        <v>528</v>
      </c>
      <c r="C6" s="71" t="s">
        <v>529</v>
      </c>
      <c r="D6" s="33"/>
    </row>
    <row r="7" spans="1:4" x14ac:dyDescent="0.25">
      <c r="A7" s="72">
        <v>1</v>
      </c>
      <c r="B7" s="33" t="s">
        <v>530</v>
      </c>
      <c r="C7" s="73">
        <v>6</v>
      </c>
      <c r="D7" s="33"/>
    </row>
    <row r="8" spans="1:4" x14ac:dyDescent="0.25">
      <c r="A8" s="72">
        <v>2</v>
      </c>
      <c r="B8" s="33" t="s">
        <v>531</v>
      </c>
      <c r="C8" s="73">
        <v>9</v>
      </c>
      <c r="D8" s="33"/>
    </row>
    <row r="9" spans="1:4" x14ac:dyDescent="0.25">
      <c r="A9" s="72">
        <v>3</v>
      </c>
      <c r="B9" s="33" t="s">
        <v>532</v>
      </c>
      <c r="C9" s="73">
        <v>12</v>
      </c>
      <c r="D9" s="33"/>
    </row>
    <row r="10" spans="1:4" x14ac:dyDescent="0.25">
      <c r="A10" s="72">
        <v>4</v>
      </c>
      <c r="B10" s="33" t="s">
        <v>533</v>
      </c>
      <c r="C10" s="73">
        <v>12</v>
      </c>
      <c r="D10" s="33"/>
    </row>
    <row r="11" spans="1:4" x14ac:dyDescent="0.25">
      <c r="A11" s="72">
        <v>5</v>
      </c>
      <c r="B11" s="33" t="s">
        <v>534</v>
      </c>
      <c r="C11" s="73">
        <v>12</v>
      </c>
      <c r="D11" s="33"/>
    </row>
    <row r="12" spans="1:4" x14ac:dyDescent="0.25">
      <c r="A12" s="72">
        <v>6</v>
      </c>
      <c r="B12" s="33" t="s">
        <v>535</v>
      </c>
      <c r="C12" s="73">
        <v>14.5</v>
      </c>
      <c r="D12" s="33"/>
    </row>
    <row r="13" spans="1:4" x14ac:dyDescent="0.25">
      <c r="A13" s="72">
        <v>7</v>
      </c>
      <c r="B13" s="33" t="s">
        <v>536</v>
      </c>
      <c r="C13" s="73">
        <v>16</v>
      </c>
      <c r="D13" s="33"/>
    </row>
    <row r="14" spans="1:4" x14ac:dyDescent="0.25">
      <c r="A14" s="72">
        <v>8</v>
      </c>
      <c r="B14" s="33" t="s">
        <v>537</v>
      </c>
      <c r="C14" s="73">
        <v>16</v>
      </c>
      <c r="D14" s="33"/>
    </row>
    <row r="15" spans="1:4" x14ac:dyDescent="0.25">
      <c r="A15" s="74">
        <v>9</v>
      </c>
      <c r="B15" s="40" t="s">
        <v>538</v>
      </c>
      <c r="C15" s="75">
        <v>16</v>
      </c>
      <c r="D15" s="33"/>
    </row>
  </sheetData>
  <sheetProtection formatColumns="0" formatRows="0"/>
  <hyperlinks>
    <hyperlink ref="A1" location="TOC!A1" display="Table of Contents" xr:uid="{16F88B06-86B6-4C35-B602-135F882E359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128.42578125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18</v>
      </c>
      <c r="B3" s="33"/>
      <c r="C3" s="33"/>
      <c r="D3" s="33"/>
    </row>
    <row r="4" spans="1:4" x14ac:dyDescent="0.25">
      <c r="A4" s="34" t="s">
        <v>19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539</v>
      </c>
      <c r="B6" s="42" t="s">
        <v>540</v>
      </c>
      <c r="C6" s="33"/>
      <c r="D6" s="33"/>
    </row>
    <row r="7" spans="1:4" x14ac:dyDescent="0.25">
      <c r="A7" s="72">
        <v>244</v>
      </c>
      <c r="B7" s="33" t="s">
        <v>541</v>
      </c>
      <c r="C7" s="33"/>
      <c r="D7" s="33"/>
    </row>
    <row r="8" spans="1:4" x14ac:dyDescent="0.25">
      <c r="A8" s="72">
        <v>254</v>
      </c>
      <c r="B8" s="33" t="s">
        <v>542</v>
      </c>
      <c r="C8" s="33"/>
      <c r="D8" s="33"/>
    </row>
    <row r="9" spans="1:4" x14ac:dyDescent="0.25">
      <c r="A9" s="72">
        <v>344</v>
      </c>
      <c r="B9" s="33" t="s">
        <v>543</v>
      </c>
      <c r="C9" s="33"/>
      <c r="D9" s="33"/>
    </row>
    <row r="10" spans="1:4" x14ac:dyDescent="0.25">
      <c r="A10" s="74">
        <v>354</v>
      </c>
      <c r="B10" s="40" t="s">
        <v>544</v>
      </c>
      <c r="C10" s="33"/>
      <c r="D10" s="33"/>
    </row>
  </sheetData>
  <sheetProtection formatColumns="0" formatRows="0"/>
  <hyperlinks>
    <hyperlink ref="A1" location="TOC!A1" display="Table of Contents" xr:uid="{74B94799-523A-4C85-B018-2249B28689E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23" customWidth="1"/>
    <col min="3" max="3" width="166.42578125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20</v>
      </c>
      <c r="B3" s="33"/>
      <c r="C3" s="33"/>
      <c r="D3" s="33"/>
    </row>
    <row r="4" spans="1:4" x14ac:dyDescent="0.25">
      <c r="A4" s="34" t="s">
        <v>21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545</v>
      </c>
      <c r="B6" s="42" t="s">
        <v>546</v>
      </c>
      <c r="C6" s="42" t="s">
        <v>547</v>
      </c>
      <c r="D6" s="33"/>
    </row>
    <row r="7" spans="1:4" x14ac:dyDescent="0.25">
      <c r="A7" s="72">
        <v>9</v>
      </c>
      <c r="B7" s="33" t="s">
        <v>548</v>
      </c>
      <c r="C7" s="33" t="s">
        <v>549</v>
      </c>
      <c r="D7" s="33"/>
    </row>
    <row r="8" spans="1:4" x14ac:dyDescent="0.25">
      <c r="A8" s="72">
        <v>8</v>
      </c>
      <c r="B8" s="33" t="s">
        <v>550</v>
      </c>
      <c r="C8" s="33" t="s">
        <v>551</v>
      </c>
      <c r="D8" s="33"/>
    </row>
    <row r="9" spans="1:4" x14ac:dyDescent="0.25">
      <c r="A9" s="72">
        <v>7</v>
      </c>
      <c r="B9" s="33" t="s">
        <v>552</v>
      </c>
      <c r="C9" s="33" t="s">
        <v>553</v>
      </c>
      <c r="D9" s="33"/>
    </row>
    <row r="10" spans="1:4" x14ac:dyDescent="0.25">
      <c r="A10" s="72">
        <v>6</v>
      </c>
      <c r="B10" s="33" t="s">
        <v>554</v>
      </c>
      <c r="C10" s="33" t="s">
        <v>555</v>
      </c>
      <c r="D10" s="33"/>
    </row>
    <row r="11" spans="1:4" x14ac:dyDescent="0.25">
      <c r="A11" s="72">
        <v>5</v>
      </c>
      <c r="B11" s="33" t="s">
        <v>556</v>
      </c>
      <c r="C11" s="33" t="s">
        <v>557</v>
      </c>
      <c r="D11" s="33"/>
    </row>
    <row r="12" spans="1:4" x14ac:dyDescent="0.25">
      <c r="A12" s="72">
        <v>4</v>
      </c>
      <c r="B12" s="33" t="s">
        <v>558</v>
      </c>
      <c r="C12" s="33" t="s">
        <v>559</v>
      </c>
      <c r="D12" s="33"/>
    </row>
    <row r="13" spans="1:4" x14ac:dyDescent="0.25">
      <c r="A13" s="72">
        <v>3</v>
      </c>
      <c r="B13" s="33" t="s">
        <v>560</v>
      </c>
      <c r="C13" s="33" t="s">
        <v>561</v>
      </c>
      <c r="D13" s="33"/>
    </row>
    <row r="14" spans="1:4" x14ac:dyDescent="0.25">
      <c r="A14" s="72">
        <v>2</v>
      </c>
      <c r="B14" s="33" t="s">
        <v>562</v>
      </c>
      <c r="C14" s="33" t="s">
        <v>563</v>
      </c>
      <c r="D14" s="33"/>
    </row>
    <row r="15" spans="1:4" x14ac:dyDescent="0.25">
      <c r="A15" s="74">
        <v>1</v>
      </c>
      <c r="B15" s="40" t="s">
        <v>564</v>
      </c>
      <c r="C15" s="40" t="s">
        <v>565</v>
      </c>
      <c r="D15" s="33"/>
    </row>
  </sheetData>
  <sheetProtection formatColumns="0" formatRows="0"/>
  <hyperlinks>
    <hyperlink ref="A1" location="TOC!A1" display="Table of Contents" xr:uid="{AF91C35C-C19D-4D43-89F1-A37A19679BF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49"/>
  <sheetViews>
    <sheetView zoomScale="80" zoomScaleNormal="8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0.42578125" style="1" bestFit="1" customWidth="1"/>
    <col min="2" max="2" width="9.7109375" style="9" customWidth="1"/>
    <col min="3" max="3" width="8.7109375" style="9" customWidth="1"/>
    <col min="4" max="4" width="9.140625" style="18" customWidth="1"/>
    <col min="5" max="27" width="8.7109375" style="9" customWidth="1"/>
    <col min="30" max="30" width="23.140625" hidden="1" customWidth="1"/>
    <col min="31" max="31" width="8.7109375" hidden="1" customWidth="1"/>
    <col min="32" max="32" width="8.7109375" customWidth="1"/>
  </cols>
  <sheetData>
    <row r="1" spans="1:31" x14ac:dyDescent="0.25">
      <c r="A1" s="141" t="s">
        <v>316</v>
      </c>
      <c r="B1" s="32"/>
      <c r="C1" s="33"/>
      <c r="D1" s="76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x14ac:dyDescent="0.25">
      <c r="A2" s="33"/>
      <c r="B2" s="33"/>
      <c r="C2" s="33"/>
      <c r="D2" s="77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x14ac:dyDescent="0.25">
      <c r="A3" s="34" t="s">
        <v>22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x14ac:dyDescent="0.25">
      <c r="A4" s="34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x14ac:dyDescent="0.25">
      <c r="A5" s="33"/>
      <c r="B5" s="33"/>
      <c r="C5" s="33"/>
      <c r="D5" s="77"/>
      <c r="E5" s="33"/>
      <c r="F5" s="33"/>
      <c r="G5" s="33"/>
      <c r="H5" s="33"/>
      <c r="I5" s="77"/>
      <c r="J5" s="33"/>
      <c r="K5" s="33"/>
      <c r="L5" s="33"/>
      <c r="M5" s="33"/>
      <c r="N5" s="77"/>
      <c r="O5" s="33"/>
      <c r="P5" s="33"/>
      <c r="Q5" s="33"/>
      <c r="R5" s="33"/>
      <c r="S5" s="77"/>
      <c r="T5" s="33"/>
      <c r="U5" s="33"/>
      <c r="V5" s="33"/>
      <c r="W5" s="33"/>
      <c r="X5" s="77"/>
      <c r="Y5" s="33"/>
      <c r="Z5" s="33"/>
      <c r="AA5" s="33"/>
      <c r="AB5" s="33"/>
      <c r="AC5" s="33"/>
      <c r="AD5" s="33"/>
      <c r="AE5" s="33"/>
    </row>
    <row r="6" spans="1:31" s="1" customFormat="1" x14ac:dyDescent="0.25">
      <c r="A6" s="65" t="s">
        <v>566</v>
      </c>
      <c r="B6" s="65" t="s">
        <v>378</v>
      </c>
      <c r="C6" s="65" t="s">
        <v>326</v>
      </c>
      <c r="D6" s="65" t="s">
        <v>367</v>
      </c>
      <c r="E6" s="65" t="s">
        <v>320</v>
      </c>
      <c r="F6" s="65" t="s">
        <v>321</v>
      </c>
      <c r="G6" s="65" t="s">
        <v>368</v>
      </c>
      <c r="H6" s="65" t="s">
        <v>369</v>
      </c>
      <c r="I6" s="65" t="s">
        <v>370</v>
      </c>
      <c r="J6" s="65" t="s">
        <v>371</v>
      </c>
      <c r="K6" s="65" t="s">
        <v>322</v>
      </c>
      <c r="L6" s="65" t="s">
        <v>372</v>
      </c>
      <c r="M6" s="65" t="s">
        <v>373</v>
      </c>
      <c r="N6" s="65" t="s">
        <v>374</v>
      </c>
      <c r="O6" s="65" t="s">
        <v>375</v>
      </c>
      <c r="P6" s="65" t="s">
        <v>323</v>
      </c>
      <c r="Q6" s="65" t="s">
        <v>376</v>
      </c>
      <c r="R6" s="65" t="s">
        <v>324</v>
      </c>
      <c r="S6" s="65" t="s">
        <v>325</v>
      </c>
      <c r="T6" s="65" t="s">
        <v>377</v>
      </c>
      <c r="U6" s="65" t="s">
        <v>327</v>
      </c>
      <c r="V6" s="65" t="s">
        <v>379</v>
      </c>
      <c r="W6" s="65" t="s">
        <v>380</v>
      </c>
      <c r="X6" s="65" t="s">
        <v>381</v>
      </c>
      <c r="Y6" s="65" t="s">
        <v>382</v>
      </c>
      <c r="Z6" s="65" t="s">
        <v>328</v>
      </c>
      <c r="AA6" s="65" t="s">
        <v>383</v>
      </c>
      <c r="AB6" s="33"/>
      <c r="AC6" s="33"/>
      <c r="AD6" s="33"/>
      <c r="AE6" s="33"/>
    </row>
    <row r="7" spans="1:31" x14ac:dyDescent="0.25">
      <c r="A7" t="s">
        <v>3232</v>
      </c>
      <c r="B7" s="53">
        <v>0.78</v>
      </c>
      <c r="C7" s="53">
        <v>0.66</v>
      </c>
      <c r="D7" s="77">
        <v>0.89</v>
      </c>
      <c r="E7" s="77">
        <v>0.68</v>
      </c>
      <c r="F7" s="77">
        <v>0.82</v>
      </c>
      <c r="G7" s="77">
        <v>0.89</v>
      </c>
      <c r="H7" s="77">
        <v>0.87</v>
      </c>
      <c r="I7" s="77">
        <v>0.88</v>
      </c>
      <c r="J7" s="77">
        <v>0.69</v>
      </c>
      <c r="K7" s="77">
        <v>0.9</v>
      </c>
      <c r="L7" s="77">
        <v>0.88</v>
      </c>
      <c r="M7" s="77">
        <v>0.92</v>
      </c>
      <c r="N7" s="77">
        <v>0.83</v>
      </c>
      <c r="O7" s="77">
        <v>0.82</v>
      </c>
      <c r="P7" s="77">
        <v>0.92</v>
      </c>
      <c r="Q7" s="77">
        <v>0.87</v>
      </c>
      <c r="R7" s="77">
        <v>0.93</v>
      </c>
      <c r="S7" s="77">
        <v>0.86</v>
      </c>
      <c r="T7" s="77">
        <v>0.86</v>
      </c>
      <c r="U7" s="77">
        <v>0.92</v>
      </c>
      <c r="V7" s="77">
        <v>0.84</v>
      </c>
      <c r="W7" s="77">
        <v>0.54</v>
      </c>
      <c r="X7" s="77">
        <v>0.84</v>
      </c>
      <c r="Y7" s="77">
        <v>0.86</v>
      </c>
      <c r="Z7" s="77">
        <v>0.89</v>
      </c>
      <c r="AA7" s="77">
        <v>0.86</v>
      </c>
      <c r="AB7" s="33"/>
      <c r="AC7" s="33"/>
      <c r="AD7" s="33" t="s">
        <v>567</v>
      </c>
      <c r="AE7" t="str">
        <f>VLOOKUP(AD7,GroupLabels!$E$2:$H$145,3,0)</f>
        <v>Albania - Albanian</v>
      </c>
    </row>
    <row r="8" spans="1:31" x14ac:dyDescent="0.25">
      <c r="A8" t="s">
        <v>3034</v>
      </c>
      <c r="B8" s="53">
        <v>0.79</v>
      </c>
      <c r="C8" s="53">
        <v>0.68</v>
      </c>
      <c r="D8" s="77">
        <v>0.87</v>
      </c>
      <c r="E8" s="77">
        <v>0.75</v>
      </c>
      <c r="F8" s="77">
        <v>0.76</v>
      </c>
      <c r="G8" s="77">
        <v>0.78</v>
      </c>
      <c r="H8" s="77">
        <v>0.8</v>
      </c>
      <c r="I8" s="77">
        <v>0.83</v>
      </c>
      <c r="J8" s="77">
        <v>0.77</v>
      </c>
      <c r="K8" s="77">
        <v>0.88</v>
      </c>
      <c r="L8" s="77">
        <v>0.84</v>
      </c>
      <c r="M8" s="77">
        <v>0.88</v>
      </c>
      <c r="N8" s="77">
        <v>0.78</v>
      </c>
      <c r="O8" s="77">
        <v>0.77</v>
      </c>
      <c r="P8" s="77">
        <v>0.86</v>
      </c>
      <c r="Q8" s="77">
        <v>0.82</v>
      </c>
      <c r="R8" s="77">
        <v>0.9</v>
      </c>
      <c r="S8" s="77">
        <v>0.81</v>
      </c>
      <c r="T8" s="77">
        <v>0.78</v>
      </c>
      <c r="U8" s="77">
        <v>0.9</v>
      </c>
      <c r="V8" s="77">
        <v>0.8</v>
      </c>
      <c r="W8" s="77">
        <v>0.71</v>
      </c>
      <c r="X8" s="77">
        <v>0.76</v>
      </c>
      <c r="Y8" s="77">
        <v>0.74</v>
      </c>
      <c r="Z8" s="77">
        <v>0.9</v>
      </c>
      <c r="AA8" s="77">
        <v>0.87</v>
      </c>
      <c r="AB8" s="33"/>
      <c r="AC8" s="33"/>
      <c r="AD8" s="33" t="s">
        <v>568</v>
      </c>
      <c r="AE8" t="str">
        <f>VLOOKUP(AD8,GroupLabels!$E$2:$H$145,3,0)</f>
        <v>Argentina - Spanish</v>
      </c>
    </row>
    <row r="9" spans="1:31" x14ac:dyDescent="0.25">
      <c r="A9" t="s">
        <v>3113</v>
      </c>
      <c r="B9" s="53">
        <v>0.71</v>
      </c>
      <c r="C9" s="53">
        <v>0.68</v>
      </c>
      <c r="D9" s="77">
        <v>0.87</v>
      </c>
      <c r="E9" s="77">
        <v>0.7</v>
      </c>
      <c r="F9" s="77">
        <v>0.83</v>
      </c>
      <c r="G9" s="77">
        <v>0.78</v>
      </c>
      <c r="H9" s="77">
        <v>0.88</v>
      </c>
      <c r="I9" s="77">
        <v>0.88</v>
      </c>
      <c r="J9" s="77">
        <v>0.73</v>
      </c>
      <c r="K9" s="77">
        <v>0.91</v>
      </c>
      <c r="L9" s="77">
        <v>0.87</v>
      </c>
      <c r="M9" s="77">
        <v>0.88</v>
      </c>
      <c r="N9" s="77">
        <v>0.78</v>
      </c>
      <c r="O9" s="77">
        <v>0.78</v>
      </c>
      <c r="P9" s="77">
        <v>0.9</v>
      </c>
      <c r="Q9" s="77">
        <v>0.88</v>
      </c>
      <c r="R9" s="77">
        <v>0.91</v>
      </c>
      <c r="S9" s="77">
        <v>0.92</v>
      </c>
      <c r="T9" s="77">
        <v>0.8</v>
      </c>
      <c r="U9" s="77">
        <v>0.92</v>
      </c>
      <c r="V9" s="77">
        <v>0.84</v>
      </c>
      <c r="W9" s="77">
        <v>0.64</v>
      </c>
      <c r="X9" s="77">
        <v>0.81</v>
      </c>
      <c r="Y9" s="77">
        <v>0.8</v>
      </c>
      <c r="Z9" s="77">
        <v>0.92</v>
      </c>
      <c r="AA9" s="77">
        <v>0.91</v>
      </c>
      <c r="AB9" s="33"/>
      <c r="AC9" s="33"/>
      <c r="AD9" s="33" t="s">
        <v>569</v>
      </c>
      <c r="AE9" t="str">
        <f>VLOOKUP(AD9,GroupLabels!$E$2:$H$145,3,0)</f>
        <v>Armenia - Armenian</v>
      </c>
    </row>
    <row r="10" spans="1:31" x14ac:dyDescent="0.25">
      <c r="A10" t="s">
        <v>2982</v>
      </c>
      <c r="B10" s="53">
        <v>0.72</v>
      </c>
      <c r="C10" s="53">
        <v>0.55000000000000004</v>
      </c>
      <c r="D10" s="77">
        <v>0.9</v>
      </c>
      <c r="E10" s="77">
        <v>0.82</v>
      </c>
      <c r="F10" s="77">
        <v>0.78</v>
      </c>
      <c r="G10" s="77">
        <v>0.87</v>
      </c>
      <c r="H10" s="77">
        <v>0.85</v>
      </c>
      <c r="I10" s="77">
        <v>0.89</v>
      </c>
      <c r="J10" s="77">
        <v>0.77</v>
      </c>
      <c r="K10" s="77">
        <v>0.91</v>
      </c>
      <c r="L10" s="77">
        <v>0.9</v>
      </c>
      <c r="M10" s="77">
        <v>0.86</v>
      </c>
      <c r="N10" s="77">
        <v>0.83</v>
      </c>
      <c r="O10" s="77">
        <v>0.79</v>
      </c>
      <c r="P10" s="77">
        <v>0.89</v>
      </c>
      <c r="Q10" s="77">
        <v>0.82</v>
      </c>
      <c r="R10" s="77">
        <v>0.87</v>
      </c>
      <c r="S10" s="77">
        <v>0.89</v>
      </c>
      <c r="T10" s="77">
        <v>0.85</v>
      </c>
      <c r="U10" s="77">
        <v>0.95</v>
      </c>
      <c r="V10" s="77">
        <v>0.83</v>
      </c>
      <c r="W10" s="77">
        <v>0.78</v>
      </c>
      <c r="X10" s="77">
        <v>0.79</v>
      </c>
      <c r="Y10" s="77">
        <v>0.76</v>
      </c>
      <c r="Z10" s="77">
        <v>0.93</v>
      </c>
      <c r="AA10" s="77">
        <v>0.86</v>
      </c>
      <c r="AB10" s="33"/>
      <c r="AC10" s="33"/>
      <c r="AD10" s="33" t="s">
        <v>570</v>
      </c>
      <c r="AE10" t="str">
        <f>VLOOKUP(AD10,GroupLabels!$E$2:$H$145,3,0)</f>
        <v>Australia - English</v>
      </c>
    </row>
    <row r="11" spans="1:31" x14ac:dyDescent="0.25">
      <c r="A11" t="s">
        <v>2960</v>
      </c>
      <c r="B11" s="53">
        <v>0.74</v>
      </c>
      <c r="C11" s="53">
        <v>0.56999999999999995</v>
      </c>
      <c r="D11" s="77">
        <v>0.86</v>
      </c>
      <c r="E11" s="77">
        <v>0.76</v>
      </c>
      <c r="F11" s="77">
        <v>0.81</v>
      </c>
      <c r="G11" s="77">
        <v>0.8</v>
      </c>
      <c r="H11" s="77">
        <v>0.79</v>
      </c>
      <c r="I11" s="77">
        <v>0.85</v>
      </c>
      <c r="J11" s="77">
        <v>0.78</v>
      </c>
      <c r="K11" s="77">
        <v>0.87</v>
      </c>
      <c r="L11" s="77">
        <v>0.84</v>
      </c>
      <c r="M11" s="77">
        <v>0.89</v>
      </c>
      <c r="N11" s="77">
        <v>0.78</v>
      </c>
      <c r="O11" s="77">
        <v>0.74</v>
      </c>
      <c r="P11" s="77">
        <v>0.87</v>
      </c>
      <c r="Q11" s="77">
        <v>0.81</v>
      </c>
      <c r="R11" s="77">
        <v>0.87</v>
      </c>
      <c r="S11" s="77">
        <v>0.79</v>
      </c>
      <c r="T11" s="77">
        <v>0.74</v>
      </c>
      <c r="U11" s="77">
        <v>0.92</v>
      </c>
      <c r="V11" s="77">
        <v>0.81</v>
      </c>
      <c r="W11" s="77">
        <v>0.7</v>
      </c>
      <c r="X11" s="77">
        <v>0.81</v>
      </c>
      <c r="Y11" s="77">
        <v>0.7</v>
      </c>
      <c r="Z11" s="77">
        <v>0.89</v>
      </c>
      <c r="AA11" s="77">
        <v>0.87</v>
      </c>
      <c r="AB11" s="33"/>
      <c r="AC11" s="33"/>
      <c r="AD11" s="33" t="s">
        <v>571</v>
      </c>
      <c r="AE11" t="str">
        <f>VLOOKUP(AD11,GroupLabels!$E$2:$H$145,3,0)</f>
        <v>Austria - German</v>
      </c>
    </row>
    <row r="12" spans="1:31" x14ac:dyDescent="0.25">
      <c r="A12" t="s">
        <v>2923</v>
      </c>
      <c r="B12" s="53">
        <v>0.78</v>
      </c>
      <c r="C12" s="53">
        <v>0.71</v>
      </c>
      <c r="D12" s="77">
        <v>0.88</v>
      </c>
      <c r="E12" s="77">
        <v>0.72</v>
      </c>
      <c r="F12" s="77">
        <v>0.82</v>
      </c>
      <c r="G12" s="77">
        <v>0.86</v>
      </c>
      <c r="H12" s="77">
        <v>0.89</v>
      </c>
      <c r="I12" s="77">
        <v>0.88</v>
      </c>
      <c r="J12" s="77">
        <v>0.76</v>
      </c>
      <c r="K12" s="77">
        <v>0.91</v>
      </c>
      <c r="L12" s="77">
        <v>0.84</v>
      </c>
      <c r="M12" s="77">
        <v>0.9</v>
      </c>
      <c r="N12" s="77">
        <v>0.84</v>
      </c>
      <c r="O12" s="77">
        <v>0.79</v>
      </c>
      <c r="P12" s="77">
        <v>0.89</v>
      </c>
      <c r="Q12" s="77">
        <v>0.89</v>
      </c>
      <c r="R12" s="77">
        <v>0.91</v>
      </c>
      <c r="S12" s="77">
        <v>0.93</v>
      </c>
      <c r="T12" s="77">
        <v>0.83</v>
      </c>
      <c r="U12" s="77">
        <v>0.95</v>
      </c>
      <c r="V12" s="77">
        <v>0.88</v>
      </c>
      <c r="W12" s="77">
        <v>0.77</v>
      </c>
      <c r="X12" s="77">
        <v>0.89</v>
      </c>
      <c r="Y12" s="77">
        <v>0.82</v>
      </c>
      <c r="Z12" s="77">
        <v>0.89</v>
      </c>
      <c r="AA12" s="77">
        <v>0.92</v>
      </c>
      <c r="AB12" s="33"/>
      <c r="AC12" s="33"/>
      <c r="AD12" s="33" t="s">
        <v>572</v>
      </c>
      <c r="AE12" t="str">
        <f>VLOOKUP(AD12,GroupLabels!$E$2:$H$145,3,0)</f>
        <v>Azerbaijan - Azerbaijani</v>
      </c>
    </row>
    <row r="13" spans="1:31" x14ac:dyDescent="0.25">
      <c r="A13" t="s">
        <v>3216</v>
      </c>
      <c r="B13" s="53">
        <v>0.78</v>
      </c>
      <c r="C13" s="53">
        <v>0.71</v>
      </c>
      <c r="D13" s="77">
        <v>0.88</v>
      </c>
      <c r="E13" s="77">
        <v>0.8</v>
      </c>
      <c r="F13" s="77">
        <v>0.84</v>
      </c>
      <c r="G13" s="77">
        <v>0.86</v>
      </c>
      <c r="H13" s="77">
        <v>0.91</v>
      </c>
      <c r="I13" s="77">
        <v>0.9</v>
      </c>
      <c r="J13" s="77">
        <v>0.73</v>
      </c>
      <c r="K13" s="77">
        <v>0.93</v>
      </c>
      <c r="L13" s="77">
        <v>0.87</v>
      </c>
      <c r="M13" s="77">
        <v>0.93</v>
      </c>
      <c r="N13" s="77">
        <v>0.8</v>
      </c>
      <c r="O13" s="77">
        <v>0.83</v>
      </c>
      <c r="P13" s="77">
        <v>0.92</v>
      </c>
      <c r="Q13" s="77">
        <v>0.87</v>
      </c>
      <c r="R13" s="77">
        <v>0.91</v>
      </c>
      <c r="S13" s="77">
        <v>0.89</v>
      </c>
      <c r="T13" s="77">
        <v>0.82</v>
      </c>
      <c r="U13" s="77">
        <v>0.92</v>
      </c>
      <c r="V13" s="77">
        <v>0.88</v>
      </c>
      <c r="W13" s="77">
        <v>0.7</v>
      </c>
      <c r="X13" s="77">
        <v>0.89</v>
      </c>
      <c r="Y13" s="77">
        <v>0.78</v>
      </c>
      <c r="Z13" s="77">
        <v>0.92</v>
      </c>
      <c r="AA13" s="77">
        <v>0.91</v>
      </c>
      <c r="AB13" s="33"/>
      <c r="AC13" s="33"/>
      <c r="AD13" s="33" t="s">
        <v>573</v>
      </c>
      <c r="AE13" t="str">
        <f>VLOOKUP(AD13,GroupLabels!$E$2:$H$145,3,0)</f>
        <v>Azerbaijan - Russian</v>
      </c>
    </row>
    <row r="14" spans="1:31" x14ac:dyDescent="0.25">
      <c r="A14" t="s">
        <v>3185</v>
      </c>
      <c r="B14" s="53">
        <v>0.71</v>
      </c>
      <c r="C14" s="53">
        <v>0.54</v>
      </c>
      <c r="D14" s="77">
        <v>0.83</v>
      </c>
      <c r="E14" s="77">
        <v>0.77</v>
      </c>
      <c r="F14" s="77">
        <v>0.73</v>
      </c>
      <c r="G14" s="77">
        <v>0.81</v>
      </c>
      <c r="H14" s="77">
        <v>0.8</v>
      </c>
      <c r="I14" s="77">
        <v>0.84</v>
      </c>
      <c r="J14" s="77">
        <v>0.79</v>
      </c>
      <c r="K14" s="77">
        <v>0.88</v>
      </c>
      <c r="L14" s="77">
        <v>0.86</v>
      </c>
      <c r="M14" s="77">
        <v>0.88</v>
      </c>
      <c r="N14" s="77">
        <v>0.81</v>
      </c>
      <c r="O14" s="77">
        <v>0.76</v>
      </c>
      <c r="P14" s="77">
        <v>0.88</v>
      </c>
      <c r="Q14" s="77">
        <v>0.79</v>
      </c>
      <c r="R14" s="77">
        <v>0.86</v>
      </c>
      <c r="S14" s="77">
        <v>0.9</v>
      </c>
      <c r="T14" s="77">
        <v>0.76</v>
      </c>
      <c r="U14" s="77">
        <v>0.96</v>
      </c>
      <c r="V14" s="77">
        <v>0.85</v>
      </c>
      <c r="W14" s="77">
        <v>0.77</v>
      </c>
      <c r="X14" s="77">
        <v>0.77</v>
      </c>
      <c r="Y14" s="77">
        <v>0.68</v>
      </c>
      <c r="Z14" s="77">
        <v>0.91</v>
      </c>
      <c r="AA14" s="77">
        <v>0.84</v>
      </c>
      <c r="AB14" s="33"/>
      <c r="AC14" s="33"/>
      <c r="AD14" s="33" t="s">
        <v>574</v>
      </c>
      <c r="AE14" t="str">
        <f>VLOOKUP(AD14,GroupLabels!$E$2:$H$145,3,0)</f>
        <v>Belgium (Flemish Community) - Dutch</v>
      </c>
    </row>
    <row r="15" spans="1:31" x14ac:dyDescent="0.25">
      <c r="A15" t="s">
        <v>3479</v>
      </c>
      <c r="B15" s="53">
        <v>0.73</v>
      </c>
      <c r="C15" s="53">
        <v>0.54</v>
      </c>
      <c r="D15" s="77">
        <v>0.85</v>
      </c>
      <c r="E15" s="77">
        <v>0.74</v>
      </c>
      <c r="F15" s="77">
        <v>0.79</v>
      </c>
      <c r="G15" s="77">
        <v>0.76</v>
      </c>
      <c r="H15" s="77">
        <v>0.79</v>
      </c>
      <c r="I15" s="77">
        <v>0.82</v>
      </c>
      <c r="J15" s="77">
        <v>0.78</v>
      </c>
      <c r="K15" s="77">
        <v>0.87</v>
      </c>
      <c r="L15" s="77">
        <v>0.83</v>
      </c>
      <c r="M15" s="77">
        <v>0.88</v>
      </c>
      <c r="N15" s="77">
        <v>0.76</v>
      </c>
      <c r="O15" s="77">
        <v>0.74</v>
      </c>
      <c r="P15" s="77">
        <v>0.84</v>
      </c>
      <c r="Q15" s="77">
        <v>0.76</v>
      </c>
      <c r="R15" s="77">
        <v>0.8</v>
      </c>
      <c r="S15" s="77">
        <v>0.83</v>
      </c>
      <c r="T15" s="77">
        <v>0.76</v>
      </c>
      <c r="U15" s="77">
        <v>0.92</v>
      </c>
      <c r="V15" s="77">
        <v>0.84</v>
      </c>
      <c r="W15" s="77">
        <v>0.76</v>
      </c>
      <c r="X15" s="77">
        <v>0.76</v>
      </c>
      <c r="Y15" s="77">
        <v>0.71</v>
      </c>
      <c r="Z15" s="77">
        <v>0.89</v>
      </c>
      <c r="AA15" s="77">
        <v>0.82</v>
      </c>
      <c r="AB15" s="33"/>
      <c r="AC15" s="33"/>
      <c r="AD15" s="33" t="s">
        <v>575</v>
      </c>
      <c r="AE15" t="str">
        <f>VLOOKUP(AD15,GroupLabels!$E$2:$H$145,3,0)</f>
        <v>Belgium (French Community) - French</v>
      </c>
    </row>
    <row r="16" spans="1:31" x14ac:dyDescent="0.25">
      <c r="A16" t="s">
        <v>3478</v>
      </c>
      <c r="B16" s="53">
        <v>0.69</v>
      </c>
      <c r="C16" s="53">
        <v>0.53</v>
      </c>
      <c r="D16" s="77">
        <v>0.86</v>
      </c>
      <c r="E16" s="77">
        <v>0.72</v>
      </c>
      <c r="F16" s="77">
        <v>0.79</v>
      </c>
      <c r="G16" s="77">
        <v>0.77</v>
      </c>
      <c r="H16" s="77">
        <v>0.8</v>
      </c>
      <c r="I16" s="77">
        <v>0.88</v>
      </c>
      <c r="J16" s="77">
        <v>0.79</v>
      </c>
      <c r="K16" s="77">
        <v>0.9</v>
      </c>
      <c r="L16" s="77">
        <v>0.87</v>
      </c>
      <c r="M16" s="77">
        <v>0.92</v>
      </c>
      <c r="N16" s="77">
        <v>0.78</v>
      </c>
      <c r="O16" s="77">
        <v>0.77</v>
      </c>
      <c r="P16" s="77">
        <v>0.89</v>
      </c>
      <c r="Q16" s="77">
        <v>0.82</v>
      </c>
      <c r="R16" s="77">
        <v>0.87</v>
      </c>
      <c r="S16" s="77">
        <v>0.79</v>
      </c>
      <c r="T16" s="77">
        <v>0.77</v>
      </c>
      <c r="U16" s="77">
        <v>0.95</v>
      </c>
      <c r="V16" s="77">
        <v>0.86</v>
      </c>
      <c r="W16" s="77">
        <v>0.68</v>
      </c>
      <c r="X16" s="77">
        <v>0.84</v>
      </c>
      <c r="Y16" s="77">
        <v>0.76</v>
      </c>
      <c r="Z16" s="77">
        <v>0.91</v>
      </c>
      <c r="AA16" s="77">
        <v>0.88</v>
      </c>
      <c r="AB16" s="33"/>
      <c r="AC16" s="33"/>
      <c r="AD16" s="33" t="s">
        <v>576</v>
      </c>
      <c r="AE16" t="str">
        <f>VLOOKUP(AD16,GroupLabels!$E$2:$H$145,3,0)</f>
        <v>Belgium (French Community) - German</v>
      </c>
    </row>
    <row r="17" spans="1:31" x14ac:dyDescent="0.25">
      <c r="A17" t="s">
        <v>3199</v>
      </c>
      <c r="B17" s="53">
        <v>0.82</v>
      </c>
      <c r="C17" s="53">
        <v>0.7</v>
      </c>
      <c r="D17" s="77">
        <v>0.87</v>
      </c>
      <c r="E17" s="77">
        <v>0.76</v>
      </c>
      <c r="F17" s="77">
        <v>0.73</v>
      </c>
      <c r="G17" s="77">
        <v>0.83</v>
      </c>
      <c r="H17" s="77">
        <v>0.84</v>
      </c>
      <c r="I17" s="77">
        <v>0.84</v>
      </c>
      <c r="J17" s="77">
        <v>0.72</v>
      </c>
      <c r="K17" s="77">
        <v>0.86</v>
      </c>
      <c r="L17" s="77">
        <v>0.88</v>
      </c>
      <c r="M17" s="77">
        <v>0.92</v>
      </c>
      <c r="N17" s="77">
        <v>0.77</v>
      </c>
      <c r="O17" s="77">
        <v>0.79</v>
      </c>
      <c r="P17" s="77">
        <v>0.9</v>
      </c>
      <c r="Q17" s="77">
        <v>0.83</v>
      </c>
      <c r="R17" s="77">
        <v>0.91</v>
      </c>
      <c r="S17" s="77">
        <v>0.84</v>
      </c>
      <c r="T17" s="77">
        <v>0.83</v>
      </c>
      <c r="U17" s="77">
        <v>0.88</v>
      </c>
      <c r="V17" s="77">
        <v>0.8</v>
      </c>
      <c r="W17" s="77">
        <v>0.57999999999999996</v>
      </c>
      <c r="X17" s="77">
        <v>0.83</v>
      </c>
      <c r="Y17" s="77">
        <v>0.76</v>
      </c>
      <c r="Z17" s="77">
        <v>0.9</v>
      </c>
      <c r="AA17" s="77">
        <v>0.88</v>
      </c>
      <c r="AB17" s="33"/>
      <c r="AC17" s="33"/>
      <c r="AD17" s="33" t="s">
        <v>577</v>
      </c>
      <c r="AE17" t="str">
        <f>VLOOKUP(AD17,GroupLabels!$E$2:$H$145,3,0)</f>
        <v>Brazil - Portuguese</v>
      </c>
    </row>
    <row r="18" spans="1:31" x14ac:dyDescent="0.25">
      <c r="A18" t="s">
        <v>2985</v>
      </c>
      <c r="B18" s="53">
        <v>0.79</v>
      </c>
      <c r="C18" s="53">
        <v>0.65</v>
      </c>
      <c r="D18" s="77">
        <v>0.85</v>
      </c>
      <c r="E18" s="77">
        <v>0.72</v>
      </c>
      <c r="F18" s="77">
        <v>0.73</v>
      </c>
      <c r="G18" s="77">
        <v>0.79</v>
      </c>
      <c r="H18" s="77">
        <v>0.78</v>
      </c>
      <c r="I18" s="77">
        <v>0.79</v>
      </c>
      <c r="J18" s="77">
        <v>0.71</v>
      </c>
      <c r="K18" s="77">
        <v>0.79</v>
      </c>
      <c r="L18" s="77">
        <v>0.82</v>
      </c>
      <c r="M18" s="77">
        <v>0.85</v>
      </c>
      <c r="N18" s="77">
        <v>0.75</v>
      </c>
      <c r="O18" s="77">
        <v>0.69</v>
      </c>
      <c r="P18" s="77">
        <v>0.85</v>
      </c>
      <c r="Q18" s="77">
        <v>0.69</v>
      </c>
      <c r="R18" s="77">
        <v>0.86</v>
      </c>
      <c r="S18" s="77">
        <v>0.79</v>
      </c>
      <c r="T18" s="77">
        <v>0.75</v>
      </c>
      <c r="U18" s="77">
        <v>0.9</v>
      </c>
      <c r="V18" s="77">
        <v>0.74</v>
      </c>
      <c r="W18" s="77">
        <v>0.66</v>
      </c>
      <c r="X18" s="77">
        <v>0.73</v>
      </c>
      <c r="Y18" s="77">
        <v>0.72</v>
      </c>
      <c r="Z18" s="77">
        <v>0.85</v>
      </c>
      <c r="AA18" s="77">
        <v>0.78</v>
      </c>
      <c r="AB18" s="33"/>
      <c r="AC18" s="33"/>
      <c r="AD18" s="33" t="s">
        <v>578</v>
      </c>
      <c r="AE18" t="str">
        <f>VLOOKUP(AD18,GroupLabels!$E$2:$H$145,3,0)</f>
        <v>Brunei Darussalam - English</v>
      </c>
    </row>
    <row r="19" spans="1:31" x14ac:dyDescent="0.25">
      <c r="A19" t="s">
        <v>3277</v>
      </c>
      <c r="B19" s="53">
        <v>0.75</v>
      </c>
      <c r="C19" s="53">
        <v>0.7</v>
      </c>
      <c r="D19" s="77">
        <v>0.88</v>
      </c>
      <c r="E19" s="77">
        <v>0.81</v>
      </c>
      <c r="F19" s="77">
        <v>0.73</v>
      </c>
      <c r="G19" s="77">
        <v>0.86</v>
      </c>
      <c r="H19" s="77">
        <v>0.91</v>
      </c>
      <c r="I19" s="77">
        <v>0.92</v>
      </c>
      <c r="J19" s="77">
        <v>0.77</v>
      </c>
      <c r="K19" s="77">
        <v>0.89</v>
      </c>
      <c r="L19" s="77">
        <v>0.88</v>
      </c>
      <c r="M19" s="77">
        <v>0.92</v>
      </c>
      <c r="N19" s="77">
        <v>0.85</v>
      </c>
      <c r="O19" s="77">
        <v>0.8</v>
      </c>
      <c r="P19" s="77">
        <v>0.89</v>
      </c>
      <c r="Q19" s="77">
        <v>0.82</v>
      </c>
      <c r="R19" s="77">
        <v>0.89</v>
      </c>
      <c r="S19" s="77">
        <v>0.89</v>
      </c>
      <c r="T19" s="77">
        <v>0.88</v>
      </c>
      <c r="U19" s="77">
        <v>0.96</v>
      </c>
      <c r="V19" s="77">
        <v>0.91</v>
      </c>
      <c r="W19" s="77">
        <v>0.75</v>
      </c>
      <c r="X19" s="77">
        <v>0.88</v>
      </c>
      <c r="Y19" s="77">
        <v>0.8</v>
      </c>
      <c r="Z19" s="77">
        <v>0.89</v>
      </c>
      <c r="AA19" s="77">
        <v>0.85</v>
      </c>
      <c r="AB19" s="33"/>
      <c r="AC19" s="33"/>
      <c r="AD19" s="33" t="s">
        <v>579</v>
      </c>
      <c r="AE19" t="str">
        <f>VLOOKUP(AD19,GroupLabels!$E$2:$H$145,3,0)</f>
        <v>B-S-J-G (China) - Chinese*</v>
      </c>
    </row>
    <row r="20" spans="1:31" x14ac:dyDescent="0.25">
      <c r="A20" t="s">
        <v>2928</v>
      </c>
      <c r="B20" s="53">
        <v>0.76</v>
      </c>
      <c r="C20" s="53">
        <v>0.67</v>
      </c>
      <c r="D20" s="77">
        <v>0.88</v>
      </c>
      <c r="E20" s="77">
        <v>0.71</v>
      </c>
      <c r="F20" s="77">
        <v>0.85</v>
      </c>
      <c r="G20" s="77">
        <v>0.84</v>
      </c>
      <c r="H20" s="77">
        <v>0.87</v>
      </c>
      <c r="I20" s="77">
        <v>0.84</v>
      </c>
      <c r="J20" s="77">
        <v>0.76</v>
      </c>
      <c r="K20" s="77">
        <v>0.91</v>
      </c>
      <c r="L20" s="77">
        <v>0.88</v>
      </c>
      <c r="M20" s="77">
        <v>0.91</v>
      </c>
      <c r="N20" s="77">
        <v>0.82</v>
      </c>
      <c r="O20" s="77">
        <v>0.84</v>
      </c>
      <c r="P20" s="77">
        <v>0.91</v>
      </c>
      <c r="Q20" s="77">
        <v>0.84</v>
      </c>
      <c r="R20" s="77">
        <v>0.9</v>
      </c>
      <c r="S20" s="77">
        <v>0.88</v>
      </c>
      <c r="T20" s="77">
        <v>0.78</v>
      </c>
      <c r="U20" s="77">
        <v>0.89</v>
      </c>
      <c r="V20" s="77">
        <v>0.83</v>
      </c>
      <c r="W20" s="77">
        <v>0.73</v>
      </c>
      <c r="X20" s="77">
        <v>0.84</v>
      </c>
      <c r="Y20" s="77">
        <v>0.76</v>
      </c>
      <c r="Z20" s="77">
        <v>0.91</v>
      </c>
      <c r="AA20" s="77">
        <v>0.89</v>
      </c>
      <c r="AB20" s="33"/>
      <c r="AC20" s="33"/>
      <c r="AD20" s="33" t="s">
        <v>580</v>
      </c>
      <c r="AE20" t="str">
        <f>VLOOKUP(AD20,GroupLabels!$E$2:$H$145,3,0)</f>
        <v>Bulgaria - Bulgarian</v>
      </c>
    </row>
    <row r="21" spans="1:31" x14ac:dyDescent="0.25">
      <c r="A21" t="s">
        <v>751</v>
      </c>
      <c r="B21" s="53">
        <v>0.84</v>
      </c>
      <c r="C21" s="53">
        <v>0.66</v>
      </c>
      <c r="D21" s="77" t="s">
        <v>3476</v>
      </c>
      <c r="E21" s="77">
        <v>0.57999999999999996</v>
      </c>
      <c r="F21" s="77">
        <v>0.69</v>
      </c>
      <c r="G21" s="77" t="s">
        <v>3476</v>
      </c>
      <c r="H21" s="77">
        <v>0.79</v>
      </c>
      <c r="I21" s="77">
        <v>0.59</v>
      </c>
      <c r="J21" s="77">
        <v>0.52</v>
      </c>
      <c r="K21" s="77" t="s">
        <v>3476</v>
      </c>
      <c r="L21" s="77">
        <v>0.78</v>
      </c>
      <c r="M21" s="77">
        <v>0.82</v>
      </c>
      <c r="N21" s="77" t="s">
        <v>3476</v>
      </c>
      <c r="O21" s="77">
        <v>0.64</v>
      </c>
      <c r="P21" s="77">
        <v>0.81</v>
      </c>
      <c r="Q21" s="77">
        <v>0.56000000000000005</v>
      </c>
      <c r="R21" s="77">
        <v>0.85</v>
      </c>
      <c r="S21" s="77">
        <v>0.79</v>
      </c>
      <c r="T21" s="77" t="s">
        <v>3476</v>
      </c>
      <c r="U21" s="77">
        <v>0.8</v>
      </c>
      <c r="V21" s="77">
        <v>0.53</v>
      </c>
      <c r="W21" s="77">
        <v>0.56000000000000005</v>
      </c>
      <c r="X21" s="77">
        <v>0.76</v>
      </c>
      <c r="Y21" s="77" t="s">
        <v>3476</v>
      </c>
      <c r="Z21" s="77" t="s">
        <v>3476</v>
      </c>
      <c r="AA21" s="77">
        <v>0.61</v>
      </c>
      <c r="AB21" s="33"/>
      <c r="AC21" s="33"/>
      <c r="AD21" s="33" t="s">
        <v>582</v>
      </c>
      <c r="AE21" t="str">
        <f>VLOOKUP(AD21,GroupLabels!$E$2:$H$145,3,0)</f>
        <v>Cambodia - Khmer</v>
      </c>
    </row>
    <row r="22" spans="1:31" x14ac:dyDescent="0.25">
      <c r="A22" t="s">
        <v>769</v>
      </c>
      <c r="B22" s="53">
        <v>0.77</v>
      </c>
      <c r="C22" s="53">
        <v>0.6</v>
      </c>
      <c r="D22" s="77">
        <v>0.91</v>
      </c>
      <c r="E22" s="77">
        <v>0.81</v>
      </c>
      <c r="F22" s="77">
        <v>0.81</v>
      </c>
      <c r="G22" s="77">
        <v>0.88</v>
      </c>
      <c r="H22" s="77">
        <v>0.82</v>
      </c>
      <c r="I22" s="77">
        <v>0.9</v>
      </c>
      <c r="J22" s="77">
        <v>0.76</v>
      </c>
      <c r="K22" s="77">
        <v>0.89</v>
      </c>
      <c r="L22" s="77">
        <v>0.88</v>
      </c>
      <c r="M22" s="77">
        <v>0.89</v>
      </c>
      <c r="N22" s="77">
        <v>0.84</v>
      </c>
      <c r="O22" s="77">
        <v>0.81</v>
      </c>
      <c r="P22" s="77">
        <v>0.9</v>
      </c>
      <c r="Q22" s="77">
        <v>0.84</v>
      </c>
      <c r="R22" s="77">
        <v>0.87</v>
      </c>
      <c r="S22" s="77">
        <v>0.89</v>
      </c>
      <c r="T22" s="77">
        <v>0.87</v>
      </c>
      <c r="U22" s="77">
        <v>0.95</v>
      </c>
      <c r="V22" s="77">
        <v>0.8</v>
      </c>
      <c r="W22" s="77">
        <v>0.78</v>
      </c>
      <c r="X22" s="77">
        <v>0.78</v>
      </c>
      <c r="Y22" s="77">
        <v>0.8</v>
      </c>
      <c r="Z22" s="77" t="s">
        <v>3476</v>
      </c>
      <c r="AA22" s="77">
        <v>0.91</v>
      </c>
      <c r="AB22" s="33"/>
      <c r="AC22" s="33"/>
      <c r="AD22" s="33" t="s">
        <v>583</v>
      </c>
      <c r="AE22" t="str">
        <f>VLOOKUP(AD22,GroupLabels!$E$2:$H$145,3,0)</f>
        <v>Canada - English</v>
      </c>
    </row>
    <row r="23" spans="1:31" x14ac:dyDescent="0.25">
      <c r="A23" t="s">
        <v>770</v>
      </c>
      <c r="B23" s="53">
        <v>0.74</v>
      </c>
      <c r="C23" s="53">
        <v>0.55000000000000004</v>
      </c>
      <c r="D23" s="77">
        <v>0.87</v>
      </c>
      <c r="E23" s="77">
        <v>0.79</v>
      </c>
      <c r="F23" s="77">
        <v>0.81</v>
      </c>
      <c r="G23" s="77">
        <v>0.81</v>
      </c>
      <c r="H23" s="77">
        <v>0.82</v>
      </c>
      <c r="I23" s="77">
        <v>0.86</v>
      </c>
      <c r="J23" s="77">
        <v>0.79</v>
      </c>
      <c r="K23" s="77">
        <v>0.87</v>
      </c>
      <c r="L23" s="77">
        <v>0.86</v>
      </c>
      <c r="M23" s="77">
        <v>0.91</v>
      </c>
      <c r="N23" s="77">
        <v>0.8</v>
      </c>
      <c r="O23" s="77">
        <v>0.76</v>
      </c>
      <c r="P23" s="77">
        <v>0.88</v>
      </c>
      <c r="Q23" s="77">
        <v>0.8</v>
      </c>
      <c r="R23" s="77">
        <v>0.83</v>
      </c>
      <c r="S23" s="77">
        <v>0.89</v>
      </c>
      <c r="T23" s="77">
        <v>0.84</v>
      </c>
      <c r="U23" s="77">
        <v>0.91</v>
      </c>
      <c r="V23" s="77">
        <v>0.83</v>
      </c>
      <c r="W23" s="77">
        <v>0.77</v>
      </c>
      <c r="X23" s="77">
        <v>0.72</v>
      </c>
      <c r="Y23" s="77">
        <v>0.74</v>
      </c>
      <c r="Z23" s="77" t="s">
        <v>3476</v>
      </c>
      <c r="AA23" s="77">
        <v>0.86</v>
      </c>
      <c r="AB23" s="33"/>
      <c r="AC23" s="33"/>
      <c r="AD23" s="33" t="s">
        <v>584</v>
      </c>
      <c r="AE23" t="str">
        <f>VLOOKUP(AD23,GroupLabels!$E$2:$H$145,3,0)</f>
        <v>Canada - French</v>
      </c>
    </row>
    <row r="24" spans="1:31" x14ac:dyDescent="0.25">
      <c r="A24" t="s">
        <v>3037</v>
      </c>
      <c r="B24" s="53">
        <v>0.82</v>
      </c>
      <c r="C24" s="53">
        <v>0.69</v>
      </c>
      <c r="D24" s="77">
        <v>0.86</v>
      </c>
      <c r="E24" s="77">
        <v>0.77</v>
      </c>
      <c r="F24" s="77">
        <v>0.79</v>
      </c>
      <c r="G24" s="77">
        <v>0.86</v>
      </c>
      <c r="H24" s="77">
        <v>0.88</v>
      </c>
      <c r="I24" s="77">
        <v>0.89</v>
      </c>
      <c r="J24" s="77">
        <v>0.74</v>
      </c>
      <c r="K24" s="77">
        <v>0.89</v>
      </c>
      <c r="L24" s="77">
        <v>0.88</v>
      </c>
      <c r="M24" s="77">
        <v>0.9</v>
      </c>
      <c r="N24" s="77">
        <v>0.79</v>
      </c>
      <c r="O24" s="77">
        <v>0.8</v>
      </c>
      <c r="P24" s="77">
        <v>0.88</v>
      </c>
      <c r="Q24" s="77">
        <v>0.85</v>
      </c>
      <c r="R24" s="77">
        <v>0.9</v>
      </c>
      <c r="S24" s="77">
        <v>0.84</v>
      </c>
      <c r="T24" s="77">
        <v>0.86</v>
      </c>
      <c r="U24" s="77">
        <v>0.93</v>
      </c>
      <c r="V24" s="77">
        <v>0.84</v>
      </c>
      <c r="W24" s="77">
        <v>0.69</v>
      </c>
      <c r="X24" s="77">
        <v>0.84</v>
      </c>
      <c r="Y24" s="77">
        <v>0.83</v>
      </c>
      <c r="Z24" s="77">
        <v>0.92</v>
      </c>
      <c r="AA24" s="77">
        <v>0.92</v>
      </c>
      <c r="AB24" s="33"/>
      <c r="AC24" s="33"/>
      <c r="AD24" s="33" t="s">
        <v>585</v>
      </c>
      <c r="AE24" t="str">
        <f>VLOOKUP(AD24,GroupLabels!$E$2:$H$145,3,0)</f>
        <v>Chile - Spanish</v>
      </c>
    </row>
    <row r="25" spans="1:31" x14ac:dyDescent="0.25">
      <c r="A25" t="s">
        <v>3040</v>
      </c>
      <c r="B25" s="53">
        <v>0.85</v>
      </c>
      <c r="C25" s="53">
        <v>0.74</v>
      </c>
      <c r="D25" s="77">
        <v>0.87</v>
      </c>
      <c r="E25" s="77">
        <v>0.73</v>
      </c>
      <c r="F25" s="77">
        <v>0.74</v>
      </c>
      <c r="G25" s="77">
        <v>0.83</v>
      </c>
      <c r="H25" s="77">
        <v>0.86</v>
      </c>
      <c r="I25" s="77">
        <v>0.88</v>
      </c>
      <c r="J25" s="77">
        <v>0.8</v>
      </c>
      <c r="K25" s="77">
        <v>0.85</v>
      </c>
      <c r="L25" s="77">
        <v>0.86</v>
      </c>
      <c r="M25" s="77">
        <v>0.91</v>
      </c>
      <c r="N25" s="77">
        <v>0.82</v>
      </c>
      <c r="O25" s="77">
        <v>0.77</v>
      </c>
      <c r="P25" s="77">
        <v>0.89</v>
      </c>
      <c r="Q25" s="77">
        <v>0.86</v>
      </c>
      <c r="R25" s="77">
        <v>0.91</v>
      </c>
      <c r="S25" s="77">
        <v>0.85</v>
      </c>
      <c r="T25" s="77">
        <v>0.83</v>
      </c>
      <c r="U25" s="77">
        <v>0.91</v>
      </c>
      <c r="V25" s="77">
        <v>0.82</v>
      </c>
      <c r="W25" s="77">
        <v>0.66</v>
      </c>
      <c r="X25" s="77">
        <v>0.82</v>
      </c>
      <c r="Y25" s="77">
        <v>0.82</v>
      </c>
      <c r="Z25" s="77">
        <v>0.9</v>
      </c>
      <c r="AA25" s="77">
        <v>0.91</v>
      </c>
      <c r="AB25" s="33"/>
      <c r="AC25" s="33"/>
      <c r="AD25" s="33" t="s">
        <v>586</v>
      </c>
      <c r="AE25" t="str">
        <f>VLOOKUP(AD25,GroupLabels!$E$2:$H$145,3,0)</f>
        <v>Colombia - Spanish</v>
      </c>
    </row>
    <row r="26" spans="1:31" x14ac:dyDescent="0.25">
      <c r="A26" t="s">
        <v>763</v>
      </c>
      <c r="B26" s="77" t="s">
        <v>3476</v>
      </c>
      <c r="C26" s="77" t="s">
        <v>3476</v>
      </c>
      <c r="D26" s="77">
        <v>0.88</v>
      </c>
      <c r="E26" s="77">
        <v>0.77</v>
      </c>
      <c r="F26" s="77">
        <v>0.76</v>
      </c>
      <c r="G26" s="77">
        <v>0.81</v>
      </c>
      <c r="H26" s="77" t="s">
        <v>3476</v>
      </c>
      <c r="I26" s="77">
        <v>0.86</v>
      </c>
      <c r="J26" s="77">
        <v>0.79</v>
      </c>
      <c r="K26" s="77">
        <v>0.81</v>
      </c>
      <c r="L26" s="77">
        <v>0.82</v>
      </c>
      <c r="M26" s="77">
        <v>0.88</v>
      </c>
      <c r="N26" s="77">
        <v>0.79</v>
      </c>
      <c r="O26" s="77">
        <v>0.74</v>
      </c>
      <c r="P26" s="77">
        <v>0.87</v>
      </c>
      <c r="Q26" s="77">
        <v>0.84</v>
      </c>
      <c r="R26" s="77" t="s">
        <v>3476</v>
      </c>
      <c r="S26" s="77">
        <v>0.83</v>
      </c>
      <c r="T26" s="77">
        <v>0.8</v>
      </c>
      <c r="U26" s="77">
        <v>0.92</v>
      </c>
      <c r="V26" s="77">
        <v>0.83</v>
      </c>
      <c r="W26" s="77">
        <v>0.77</v>
      </c>
      <c r="X26" s="77">
        <v>0.78</v>
      </c>
      <c r="Y26" s="77">
        <v>0.8</v>
      </c>
      <c r="Z26" s="77">
        <v>0.9</v>
      </c>
      <c r="AA26" s="77">
        <v>0.89</v>
      </c>
      <c r="AB26" s="33"/>
      <c r="AC26" s="33"/>
      <c r="AD26" s="33" t="s">
        <v>587</v>
      </c>
      <c r="AE26" t="str">
        <f>VLOOKUP(AD26,GroupLabels!$E$2:$H$145,3,0)</f>
        <v>Costa Rica - Spanish</v>
      </c>
    </row>
    <row r="27" spans="1:31" x14ac:dyDescent="0.25">
      <c r="A27" t="s">
        <v>3098</v>
      </c>
      <c r="B27" s="77">
        <v>0.63</v>
      </c>
      <c r="C27" s="77">
        <v>0.5</v>
      </c>
      <c r="D27" s="77">
        <v>0.9</v>
      </c>
      <c r="E27" s="77">
        <v>0.8</v>
      </c>
      <c r="F27" s="77">
        <v>0.75</v>
      </c>
      <c r="G27" s="77">
        <v>0.87</v>
      </c>
      <c r="H27" s="77">
        <v>0.84</v>
      </c>
      <c r="I27" s="77">
        <v>0.88</v>
      </c>
      <c r="J27" s="77">
        <v>0.73</v>
      </c>
      <c r="K27" s="77">
        <v>0.89</v>
      </c>
      <c r="L27" s="77">
        <v>0.87</v>
      </c>
      <c r="M27" s="77">
        <v>0.92</v>
      </c>
      <c r="N27" s="77">
        <v>0.8</v>
      </c>
      <c r="O27" s="77">
        <v>0.81</v>
      </c>
      <c r="P27" s="77">
        <v>0.89</v>
      </c>
      <c r="Q27" s="77">
        <v>0.85</v>
      </c>
      <c r="R27" s="77">
        <v>0.87</v>
      </c>
      <c r="S27" s="77">
        <v>0.87</v>
      </c>
      <c r="T27" s="77">
        <v>0.83</v>
      </c>
      <c r="U27" s="77">
        <v>0.93</v>
      </c>
      <c r="V27" s="77">
        <v>0.85</v>
      </c>
      <c r="W27" s="77">
        <v>0.74</v>
      </c>
      <c r="X27" s="77">
        <v>0.84</v>
      </c>
      <c r="Y27" s="77">
        <v>0.78</v>
      </c>
      <c r="Z27" s="77">
        <v>0.9</v>
      </c>
      <c r="AA27" s="77">
        <v>0.89</v>
      </c>
      <c r="AB27" s="33"/>
      <c r="AC27" s="33"/>
      <c r="AD27" s="33" t="s">
        <v>588</v>
      </c>
      <c r="AE27" t="str">
        <f>VLOOKUP(AD27,GroupLabels!$E$2:$H$145,3,0)</f>
        <v>Croatia - Croatian</v>
      </c>
    </row>
    <row r="28" spans="1:31" x14ac:dyDescent="0.25">
      <c r="A28" t="s">
        <v>2988</v>
      </c>
      <c r="B28" s="53">
        <v>0.8</v>
      </c>
      <c r="C28" s="53">
        <v>0.66</v>
      </c>
      <c r="D28" s="77">
        <v>0.88</v>
      </c>
      <c r="E28" s="77">
        <v>0.76</v>
      </c>
      <c r="F28" s="77">
        <v>0.86</v>
      </c>
      <c r="G28" s="77">
        <v>0.86</v>
      </c>
      <c r="H28" s="77">
        <v>0.84</v>
      </c>
      <c r="I28" s="77">
        <v>0.88</v>
      </c>
      <c r="J28" s="77">
        <v>0.76</v>
      </c>
      <c r="K28" s="77">
        <v>0.91</v>
      </c>
      <c r="L28" s="77">
        <v>0.88</v>
      </c>
      <c r="M28" s="77">
        <v>0.88</v>
      </c>
      <c r="N28" s="77">
        <v>0.83</v>
      </c>
      <c r="O28" s="77">
        <v>0.8</v>
      </c>
      <c r="P28" s="77">
        <v>0.9</v>
      </c>
      <c r="Q28" s="77">
        <v>0.83</v>
      </c>
      <c r="R28" s="77">
        <v>0.87</v>
      </c>
      <c r="S28" s="77">
        <v>0.9</v>
      </c>
      <c r="T28" s="77">
        <v>0.81</v>
      </c>
      <c r="U28" s="77">
        <v>0.95</v>
      </c>
      <c r="V28" s="77">
        <v>0.84</v>
      </c>
      <c r="W28" s="77">
        <v>0.76</v>
      </c>
      <c r="X28" s="77">
        <v>0.82</v>
      </c>
      <c r="Y28" s="77">
        <v>0.72</v>
      </c>
      <c r="Z28" s="77">
        <v>0.93</v>
      </c>
      <c r="AA28" s="77">
        <v>0.88</v>
      </c>
      <c r="AB28" s="33"/>
      <c r="AC28" s="33"/>
      <c r="AD28" s="33" t="s">
        <v>589</v>
      </c>
      <c r="AE28" t="str">
        <f>VLOOKUP(AD28,GroupLabels!$E$2:$H$145,3,0)</f>
        <v>Cyprus - English*</v>
      </c>
    </row>
    <row r="29" spans="1:31" x14ac:dyDescent="0.25">
      <c r="A29" t="s">
        <v>2974</v>
      </c>
      <c r="B29" s="53">
        <v>0.8</v>
      </c>
      <c r="C29" s="53">
        <v>0.7</v>
      </c>
      <c r="D29" s="77">
        <v>0.88</v>
      </c>
      <c r="E29" s="77">
        <v>0.76</v>
      </c>
      <c r="F29" s="77">
        <v>0.88</v>
      </c>
      <c r="G29" s="77">
        <v>0.84</v>
      </c>
      <c r="H29" s="77">
        <v>0.85</v>
      </c>
      <c r="I29" s="77">
        <v>0.86</v>
      </c>
      <c r="J29" s="77">
        <v>0.78</v>
      </c>
      <c r="K29" s="77">
        <v>0.9</v>
      </c>
      <c r="L29" s="77">
        <v>0.89</v>
      </c>
      <c r="M29" s="77">
        <v>0.91</v>
      </c>
      <c r="N29" s="77">
        <v>0.81</v>
      </c>
      <c r="O29" s="77">
        <v>0.85</v>
      </c>
      <c r="P29" s="77">
        <v>0.9</v>
      </c>
      <c r="Q29" s="77">
        <v>0.85</v>
      </c>
      <c r="R29" s="77">
        <v>0.89</v>
      </c>
      <c r="S29" s="77">
        <v>0.87</v>
      </c>
      <c r="T29" s="77">
        <v>0.82</v>
      </c>
      <c r="U29" s="77">
        <v>0.92</v>
      </c>
      <c r="V29" s="77">
        <v>0.86</v>
      </c>
      <c r="W29" s="77">
        <v>0.77</v>
      </c>
      <c r="X29" s="77">
        <v>0.83</v>
      </c>
      <c r="Y29" s="77">
        <v>0.8</v>
      </c>
      <c r="Z29" s="77">
        <v>0.93</v>
      </c>
      <c r="AA29" s="77">
        <v>0.9</v>
      </c>
      <c r="AB29" s="33"/>
      <c r="AC29" s="33"/>
      <c r="AD29" s="33" t="s">
        <v>590</v>
      </c>
      <c r="AE29" t="str">
        <f>VLOOKUP(AD29,GroupLabels!$E$2:$H$145,3,0)</f>
        <v>Cyprus - Modern Greek*</v>
      </c>
    </row>
    <row r="30" spans="1:31" x14ac:dyDescent="0.25">
      <c r="A30" t="s">
        <v>2946</v>
      </c>
      <c r="B30" s="77">
        <v>0.73</v>
      </c>
      <c r="C30" s="77">
        <v>0.5</v>
      </c>
      <c r="D30" s="77">
        <v>0.87</v>
      </c>
      <c r="E30" s="77">
        <v>0.79</v>
      </c>
      <c r="F30" s="77">
        <v>0.75</v>
      </c>
      <c r="G30" s="77">
        <v>0.8</v>
      </c>
      <c r="H30" s="77">
        <v>0.82</v>
      </c>
      <c r="I30" s="77">
        <v>0.81</v>
      </c>
      <c r="J30" s="77">
        <v>0.74</v>
      </c>
      <c r="K30" s="77">
        <v>0.87</v>
      </c>
      <c r="L30" s="77">
        <v>0.84</v>
      </c>
      <c r="M30" s="77">
        <v>0.92</v>
      </c>
      <c r="N30" s="77">
        <v>0.74</v>
      </c>
      <c r="O30" s="77">
        <v>0.74</v>
      </c>
      <c r="P30" s="77">
        <v>0.87</v>
      </c>
      <c r="Q30" s="77">
        <v>0.78</v>
      </c>
      <c r="R30" s="77">
        <v>0.87</v>
      </c>
      <c r="S30" s="77">
        <v>0.84</v>
      </c>
      <c r="T30" s="77">
        <v>0.79</v>
      </c>
      <c r="U30" s="77">
        <v>0.91</v>
      </c>
      <c r="V30" s="77">
        <v>0.8</v>
      </c>
      <c r="W30" s="77">
        <v>0.73</v>
      </c>
      <c r="X30" s="77">
        <v>0.82</v>
      </c>
      <c r="Y30" s="77">
        <v>0.68</v>
      </c>
      <c r="Z30" s="77">
        <v>0.88</v>
      </c>
      <c r="AA30" s="77">
        <v>0.87</v>
      </c>
      <c r="AB30" s="33"/>
      <c r="AC30" s="33"/>
      <c r="AD30" s="33" t="s">
        <v>591</v>
      </c>
      <c r="AE30" t="str">
        <f>VLOOKUP(AD30,GroupLabels!$E$2:$H$145,3,0)</f>
        <v>Czechia - Czech</v>
      </c>
    </row>
    <row r="31" spans="1:31" x14ac:dyDescent="0.25">
      <c r="A31" t="s">
        <v>765</v>
      </c>
      <c r="B31" s="77">
        <v>0.68</v>
      </c>
      <c r="C31" s="77">
        <v>0.5</v>
      </c>
      <c r="D31" s="77">
        <v>0.9</v>
      </c>
      <c r="E31" s="77">
        <v>0.79</v>
      </c>
      <c r="F31" s="77">
        <v>0.77</v>
      </c>
      <c r="G31" s="77">
        <v>0.83</v>
      </c>
      <c r="H31" s="77">
        <v>0.82</v>
      </c>
      <c r="I31" s="77">
        <v>0.81</v>
      </c>
      <c r="J31" s="77">
        <v>0.8</v>
      </c>
      <c r="K31" s="77">
        <v>0.86</v>
      </c>
      <c r="L31" s="77">
        <v>0.86</v>
      </c>
      <c r="M31" s="77">
        <v>0.86</v>
      </c>
      <c r="N31" s="77">
        <v>0.76</v>
      </c>
      <c r="O31" s="77">
        <v>0.75</v>
      </c>
      <c r="P31" s="77">
        <v>0.85</v>
      </c>
      <c r="Q31" s="77">
        <v>0.76</v>
      </c>
      <c r="R31" s="77">
        <v>0.85</v>
      </c>
      <c r="S31" s="77" t="s">
        <v>3476</v>
      </c>
      <c r="T31" s="77">
        <v>0.8</v>
      </c>
      <c r="U31" s="77">
        <v>0.94</v>
      </c>
      <c r="V31" s="77">
        <v>0.73</v>
      </c>
      <c r="W31" s="77">
        <v>0.79</v>
      </c>
      <c r="X31" s="77">
        <v>0.76</v>
      </c>
      <c r="Y31" s="77">
        <v>0.65</v>
      </c>
      <c r="Z31" s="77">
        <v>0.89</v>
      </c>
      <c r="AA31" s="77">
        <v>0.85</v>
      </c>
      <c r="AB31" s="33"/>
      <c r="AC31" s="33"/>
      <c r="AD31" s="33" t="s">
        <v>592</v>
      </c>
      <c r="AE31" t="str">
        <f>VLOOKUP(AD31,GroupLabels!$E$2:$H$145,3,0)</f>
        <v>Denmark - Danish</v>
      </c>
    </row>
    <row r="32" spans="1:31" x14ac:dyDescent="0.25">
      <c r="A32" t="s">
        <v>766</v>
      </c>
      <c r="B32" s="77">
        <v>0.56999999999999995</v>
      </c>
      <c r="C32" s="77">
        <v>0.5</v>
      </c>
      <c r="D32" s="77">
        <v>0.86</v>
      </c>
      <c r="E32" s="77">
        <v>0.84</v>
      </c>
      <c r="F32" s="77">
        <v>0.78</v>
      </c>
      <c r="G32" s="77">
        <v>0.81</v>
      </c>
      <c r="H32" s="77">
        <v>0.8</v>
      </c>
      <c r="I32" s="77">
        <v>0.76</v>
      </c>
      <c r="J32" s="77">
        <v>0.78</v>
      </c>
      <c r="K32" s="77">
        <v>0.85</v>
      </c>
      <c r="L32" s="77">
        <v>0.85</v>
      </c>
      <c r="M32" s="77">
        <v>0.79</v>
      </c>
      <c r="N32" s="77">
        <v>0.72</v>
      </c>
      <c r="O32" s="77">
        <v>0.72</v>
      </c>
      <c r="P32" s="77">
        <v>0.8</v>
      </c>
      <c r="Q32" s="77">
        <v>0.67</v>
      </c>
      <c r="R32" s="77">
        <v>0.86</v>
      </c>
      <c r="S32" s="77" t="s">
        <v>3476</v>
      </c>
      <c r="T32" s="77">
        <v>0.77</v>
      </c>
      <c r="U32" s="77">
        <v>0.92</v>
      </c>
      <c r="V32" s="77">
        <v>0.77</v>
      </c>
      <c r="W32" s="77">
        <v>0.75</v>
      </c>
      <c r="X32" s="77">
        <v>0.69</v>
      </c>
      <c r="Y32" s="77">
        <v>0.8</v>
      </c>
      <c r="Z32" s="77">
        <v>0.86</v>
      </c>
      <c r="AA32" s="77">
        <v>0.75</v>
      </c>
      <c r="AB32" s="33"/>
      <c r="AC32" s="33"/>
      <c r="AD32" s="33" t="s">
        <v>593</v>
      </c>
      <c r="AE32" t="str">
        <f>VLOOKUP(AD32,GroupLabels!$E$2:$H$145,3,0)</f>
        <v>Denmark - Faroese</v>
      </c>
    </row>
    <row r="33" spans="1:31" x14ac:dyDescent="0.25">
      <c r="A33" t="s">
        <v>3044</v>
      </c>
      <c r="B33" s="77">
        <v>0.83</v>
      </c>
      <c r="C33" s="77">
        <v>0.72</v>
      </c>
      <c r="D33" s="77">
        <v>0.86</v>
      </c>
      <c r="E33" s="77">
        <v>0.7</v>
      </c>
      <c r="F33" s="77">
        <v>0.73</v>
      </c>
      <c r="G33" s="77">
        <v>0.8</v>
      </c>
      <c r="H33" s="77">
        <v>0.85</v>
      </c>
      <c r="I33" s="77">
        <v>0.86</v>
      </c>
      <c r="J33" s="77">
        <v>0.8</v>
      </c>
      <c r="K33" s="77">
        <v>0.87</v>
      </c>
      <c r="L33" s="77">
        <v>0.85</v>
      </c>
      <c r="M33" s="77">
        <v>0.91</v>
      </c>
      <c r="N33" s="77">
        <v>0.78</v>
      </c>
      <c r="O33" s="77">
        <v>0.77</v>
      </c>
      <c r="P33" s="77">
        <v>0.89</v>
      </c>
      <c r="Q33" s="77">
        <v>0.88</v>
      </c>
      <c r="R33" s="77">
        <v>0.89</v>
      </c>
      <c r="S33" s="77">
        <v>0.78</v>
      </c>
      <c r="T33" s="77">
        <v>0.83</v>
      </c>
      <c r="U33" s="77">
        <v>0.91</v>
      </c>
      <c r="V33" s="77">
        <v>0.83</v>
      </c>
      <c r="W33" s="77">
        <v>0.81</v>
      </c>
      <c r="X33" s="77">
        <v>0.84</v>
      </c>
      <c r="Y33" s="77">
        <v>0.8</v>
      </c>
      <c r="Z33" s="77">
        <v>0.88</v>
      </c>
      <c r="AA33" s="77">
        <v>0.91</v>
      </c>
      <c r="AB33" s="33"/>
      <c r="AC33" s="33"/>
      <c r="AD33" s="33" t="s">
        <v>594</v>
      </c>
      <c r="AE33" t="str">
        <f>VLOOKUP(AD33,GroupLabels!$E$2:$H$145,3,0)</f>
        <v>Dominican Republic - Spanish</v>
      </c>
    </row>
    <row r="34" spans="1:31" x14ac:dyDescent="0.25">
      <c r="A34" t="s">
        <v>752</v>
      </c>
      <c r="B34" s="53">
        <v>0.76</v>
      </c>
      <c r="C34" s="53">
        <v>0.72</v>
      </c>
      <c r="D34" s="77" t="s">
        <v>3476</v>
      </c>
      <c r="E34" s="77">
        <v>0.69</v>
      </c>
      <c r="F34" s="77">
        <v>0.63</v>
      </c>
      <c r="G34" s="77" t="s">
        <v>3476</v>
      </c>
      <c r="H34" s="77">
        <v>0.82</v>
      </c>
      <c r="I34" s="77">
        <v>0.8</v>
      </c>
      <c r="J34" s="77">
        <v>0.7</v>
      </c>
      <c r="K34" s="77" t="s">
        <v>3476</v>
      </c>
      <c r="L34" s="77">
        <v>0.8</v>
      </c>
      <c r="M34" s="77">
        <v>0.84</v>
      </c>
      <c r="N34" s="77" t="s">
        <v>3476</v>
      </c>
      <c r="O34" s="77">
        <v>0.76</v>
      </c>
      <c r="P34" s="77">
        <v>0.88</v>
      </c>
      <c r="Q34" s="77">
        <v>0.75</v>
      </c>
      <c r="R34" s="77">
        <v>0.89</v>
      </c>
      <c r="S34" s="77">
        <v>0.87</v>
      </c>
      <c r="T34" s="77" t="s">
        <v>3476</v>
      </c>
      <c r="U34" s="77">
        <v>0.86</v>
      </c>
      <c r="V34" s="77">
        <v>0.74</v>
      </c>
      <c r="W34" s="77">
        <v>0.59</v>
      </c>
      <c r="X34" s="77">
        <v>0.8</v>
      </c>
      <c r="Y34" s="77" t="s">
        <v>3476</v>
      </c>
      <c r="Z34" s="77" t="s">
        <v>3476</v>
      </c>
      <c r="AA34" s="77">
        <v>0.85</v>
      </c>
      <c r="AB34" s="33"/>
      <c r="AC34" s="33"/>
      <c r="AD34" s="33" t="s">
        <v>595</v>
      </c>
      <c r="AE34" t="str">
        <f>VLOOKUP(AD34,GroupLabels!$E$2:$H$145,3,0)</f>
        <v>Dushanbe (Tajikistan) - Russian</v>
      </c>
    </row>
    <row r="35" spans="1:31" x14ac:dyDescent="0.25">
      <c r="A35" t="s">
        <v>753</v>
      </c>
      <c r="B35" s="53">
        <v>0.74</v>
      </c>
      <c r="C35" s="53">
        <v>0.72</v>
      </c>
      <c r="D35" s="77" t="s">
        <v>3476</v>
      </c>
      <c r="E35" s="77">
        <v>0.67</v>
      </c>
      <c r="F35" s="77">
        <v>0.79</v>
      </c>
      <c r="G35" s="77" t="s">
        <v>3476</v>
      </c>
      <c r="H35" s="77">
        <v>0.89</v>
      </c>
      <c r="I35" s="77">
        <v>0.81</v>
      </c>
      <c r="J35" s="77">
        <v>0.8</v>
      </c>
      <c r="K35" s="77" t="s">
        <v>3476</v>
      </c>
      <c r="L35" s="77">
        <v>0.86</v>
      </c>
      <c r="M35" s="77">
        <v>0.89</v>
      </c>
      <c r="N35" s="77" t="s">
        <v>3476</v>
      </c>
      <c r="O35" s="77">
        <v>0.8</v>
      </c>
      <c r="P35" s="77">
        <v>0.88</v>
      </c>
      <c r="Q35" s="77">
        <v>0.81</v>
      </c>
      <c r="R35" s="77">
        <v>0.92</v>
      </c>
      <c r="S35" s="77">
        <v>0.91</v>
      </c>
      <c r="T35" s="77" t="s">
        <v>3476</v>
      </c>
      <c r="U35" s="77">
        <v>0.9</v>
      </c>
      <c r="V35" s="77">
        <v>0.81</v>
      </c>
      <c r="W35" s="77">
        <v>0.85</v>
      </c>
      <c r="X35" s="77">
        <v>0.9</v>
      </c>
      <c r="Y35" s="77" t="s">
        <v>3476</v>
      </c>
      <c r="Z35" s="77" t="s">
        <v>3476</v>
      </c>
      <c r="AA35" s="77">
        <v>0.84</v>
      </c>
      <c r="AB35" s="33"/>
      <c r="AC35" s="33"/>
      <c r="AD35" s="33" t="s">
        <v>596</v>
      </c>
      <c r="AE35" t="str">
        <f>VLOOKUP(AD35,GroupLabels!$E$2:$H$145,3,0)</f>
        <v>Dushanbe (Tajikistan) - Tajik</v>
      </c>
    </row>
    <row r="36" spans="1:31" x14ac:dyDescent="0.25">
      <c r="A36" t="s">
        <v>3046</v>
      </c>
      <c r="B36" s="77">
        <v>0.85</v>
      </c>
      <c r="C36" s="77">
        <v>0.72</v>
      </c>
      <c r="D36" s="77">
        <v>0.87</v>
      </c>
      <c r="E36" s="77">
        <v>0.68</v>
      </c>
      <c r="F36" s="77">
        <v>0.7</v>
      </c>
      <c r="G36" s="77">
        <v>0.79</v>
      </c>
      <c r="H36" s="77">
        <v>0.85</v>
      </c>
      <c r="I36" s="77">
        <v>0.87</v>
      </c>
      <c r="J36" s="77">
        <v>0.78</v>
      </c>
      <c r="K36" s="77">
        <v>0.84</v>
      </c>
      <c r="L36" s="77">
        <v>0.84</v>
      </c>
      <c r="M36" s="77">
        <v>0.91</v>
      </c>
      <c r="N36" s="77">
        <v>0.78</v>
      </c>
      <c r="O36" s="77">
        <v>0.75</v>
      </c>
      <c r="P36" s="77">
        <v>0.87</v>
      </c>
      <c r="Q36" s="77">
        <v>0.84</v>
      </c>
      <c r="R36" s="77">
        <v>0.89</v>
      </c>
      <c r="S36" s="77">
        <v>0.8</v>
      </c>
      <c r="T36" s="77">
        <v>0.82</v>
      </c>
      <c r="U36" s="77">
        <v>0.93</v>
      </c>
      <c r="V36" s="77">
        <v>0.8</v>
      </c>
      <c r="W36" s="77">
        <v>0.67</v>
      </c>
      <c r="X36" s="77">
        <v>0.79</v>
      </c>
      <c r="Y36" s="77">
        <v>0.8</v>
      </c>
      <c r="Z36" s="77">
        <v>0.9</v>
      </c>
      <c r="AA36" s="77">
        <v>0.89</v>
      </c>
      <c r="AB36" s="33"/>
      <c r="AC36" s="33"/>
      <c r="AD36" s="33" t="s">
        <v>597</v>
      </c>
      <c r="AE36" t="str">
        <f>VLOOKUP(AD36,GroupLabels!$E$2:$H$145,3,0)</f>
        <v>Ecuador - Spanish</v>
      </c>
    </row>
    <row r="37" spans="1:31" x14ac:dyDescent="0.25">
      <c r="A37" t="s">
        <v>3062</v>
      </c>
      <c r="B37" s="53">
        <v>0.79</v>
      </c>
      <c r="C37" s="53">
        <v>0.59</v>
      </c>
      <c r="D37" s="77">
        <v>0.89</v>
      </c>
      <c r="E37" s="77">
        <v>0.72</v>
      </c>
      <c r="F37" s="77">
        <v>0.75</v>
      </c>
      <c r="G37" s="77">
        <v>0.86</v>
      </c>
      <c r="H37" s="77">
        <v>0.88</v>
      </c>
      <c r="I37" s="77">
        <v>0.88</v>
      </c>
      <c r="J37" s="77">
        <v>0.82</v>
      </c>
      <c r="K37" s="77">
        <v>0.88</v>
      </c>
      <c r="L37" s="77">
        <v>0.87</v>
      </c>
      <c r="M37" s="77">
        <v>0.93</v>
      </c>
      <c r="N37" s="77">
        <v>0.85</v>
      </c>
      <c r="O37" s="77">
        <v>0.8</v>
      </c>
      <c r="P37" s="77">
        <v>0.9</v>
      </c>
      <c r="Q37" s="77">
        <v>0.88</v>
      </c>
      <c r="R37" s="77">
        <v>0.91</v>
      </c>
      <c r="S37" s="77">
        <v>0.86</v>
      </c>
      <c r="T37" s="77">
        <v>0.86</v>
      </c>
      <c r="U37" s="77">
        <v>0.93</v>
      </c>
      <c r="V37" s="77">
        <v>0.82</v>
      </c>
      <c r="W37" s="77">
        <v>0.83</v>
      </c>
      <c r="X37" s="77">
        <v>0.85</v>
      </c>
      <c r="Y37" s="77">
        <v>0.82</v>
      </c>
      <c r="Z37" s="77">
        <v>0.91</v>
      </c>
      <c r="AA37" s="77">
        <v>0.92</v>
      </c>
      <c r="AB37" s="33"/>
      <c r="AC37" s="33"/>
      <c r="AD37" s="33" t="s">
        <v>598</v>
      </c>
      <c r="AE37" t="str">
        <f>VLOOKUP(AD37,GroupLabels!$E$2:$H$145,3,0)</f>
        <v>El Salvador - Spanish</v>
      </c>
    </row>
    <row r="38" spans="1:31" x14ac:dyDescent="0.25">
      <c r="A38" t="s">
        <v>3069</v>
      </c>
      <c r="B38" s="77">
        <v>0.68</v>
      </c>
      <c r="C38" s="77">
        <v>0.49</v>
      </c>
      <c r="D38" s="77">
        <v>0.86</v>
      </c>
      <c r="E38" s="77">
        <v>0.78</v>
      </c>
      <c r="F38" s="77">
        <v>0.77</v>
      </c>
      <c r="G38" s="77">
        <v>0.84</v>
      </c>
      <c r="H38" s="77">
        <v>0.79</v>
      </c>
      <c r="I38" s="77">
        <v>0.8</v>
      </c>
      <c r="J38" s="77">
        <v>0.79</v>
      </c>
      <c r="K38" s="77">
        <v>0.88</v>
      </c>
      <c r="L38" s="77">
        <v>0.82</v>
      </c>
      <c r="M38" s="77">
        <v>0.88</v>
      </c>
      <c r="N38" s="77">
        <v>0.8</v>
      </c>
      <c r="O38" s="77">
        <v>0.74</v>
      </c>
      <c r="P38" s="77">
        <v>0.83</v>
      </c>
      <c r="Q38" s="77">
        <v>0.75</v>
      </c>
      <c r="R38" s="77">
        <v>0.88</v>
      </c>
      <c r="S38" s="77">
        <v>0.87</v>
      </c>
      <c r="T38" s="77">
        <v>0.78</v>
      </c>
      <c r="U38" s="77">
        <v>0.92</v>
      </c>
      <c r="V38" s="77">
        <v>0.76</v>
      </c>
      <c r="W38" s="77">
        <v>0.76</v>
      </c>
      <c r="X38" s="77">
        <v>0.78</v>
      </c>
      <c r="Y38" s="77">
        <v>0.72</v>
      </c>
      <c r="Z38" s="77">
        <v>0.9</v>
      </c>
      <c r="AA38" s="77">
        <v>0.8</v>
      </c>
      <c r="AB38" s="33"/>
      <c r="AC38" s="33"/>
      <c r="AD38" s="33" t="s">
        <v>599</v>
      </c>
      <c r="AE38" t="str">
        <f>VLOOKUP(AD38,GroupLabels!$E$2:$H$145,3,0)</f>
        <v>Estonia - Estonian</v>
      </c>
    </row>
    <row r="39" spans="1:31" x14ac:dyDescent="0.25">
      <c r="A39" t="s">
        <v>3210</v>
      </c>
      <c r="B39" s="77">
        <v>0.69</v>
      </c>
      <c r="C39" s="77">
        <v>0.54</v>
      </c>
      <c r="D39" s="77">
        <v>0.84</v>
      </c>
      <c r="E39" s="77">
        <v>0.81</v>
      </c>
      <c r="F39" s="77">
        <v>0.78</v>
      </c>
      <c r="G39" s="77">
        <v>0.85</v>
      </c>
      <c r="H39" s="77">
        <v>0.83</v>
      </c>
      <c r="I39" s="77">
        <v>0.86</v>
      </c>
      <c r="J39" s="77">
        <v>0.82</v>
      </c>
      <c r="K39" s="77">
        <v>0.89</v>
      </c>
      <c r="L39" s="77">
        <v>0.84</v>
      </c>
      <c r="M39" s="77">
        <v>0.86</v>
      </c>
      <c r="N39" s="77">
        <v>0.77</v>
      </c>
      <c r="O39" s="77">
        <v>0.77</v>
      </c>
      <c r="P39" s="77">
        <v>0.86</v>
      </c>
      <c r="Q39" s="77">
        <v>0.79</v>
      </c>
      <c r="R39" s="77">
        <v>0.89</v>
      </c>
      <c r="S39" s="77">
        <v>0.88</v>
      </c>
      <c r="T39" s="77">
        <v>0.76</v>
      </c>
      <c r="U39" s="77">
        <v>0.9</v>
      </c>
      <c r="V39" s="77">
        <v>0.81</v>
      </c>
      <c r="W39" s="77">
        <v>0.72</v>
      </c>
      <c r="X39" s="77">
        <v>0.83</v>
      </c>
      <c r="Y39" s="77">
        <v>0.69</v>
      </c>
      <c r="Z39" s="77">
        <v>0.87</v>
      </c>
      <c r="AA39" s="77">
        <v>0.87</v>
      </c>
      <c r="AB39" s="33"/>
      <c r="AC39" s="33"/>
      <c r="AD39" s="33" t="s">
        <v>600</v>
      </c>
      <c r="AE39" t="str">
        <f>VLOOKUP(AD39,GroupLabels!$E$2:$H$145,3,0)</f>
        <v>Estonia - Russian</v>
      </c>
    </row>
    <row r="40" spans="1:31" x14ac:dyDescent="0.25">
      <c r="A40" t="s">
        <v>3076</v>
      </c>
      <c r="B40" s="77">
        <v>0.64</v>
      </c>
      <c r="C40" s="77">
        <v>0.51</v>
      </c>
      <c r="D40" s="77">
        <v>0.92</v>
      </c>
      <c r="E40" s="77">
        <v>0.84</v>
      </c>
      <c r="F40" s="77">
        <v>0.85</v>
      </c>
      <c r="G40" s="77">
        <v>0.86</v>
      </c>
      <c r="H40" s="77">
        <v>0.83</v>
      </c>
      <c r="I40" s="77">
        <v>0.9</v>
      </c>
      <c r="J40" s="77">
        <v>0.78</v>
      </c>
      <c r="K40" s="77">
        <v>0.9</v>
      </c>
      <c r="L40" s="77">
        <v>0.89</v>
      </c>
      <c r="M40" s="77">
        <v>0.91</v>
      </c>
      <c r="N40" s="77">
        <v>0.83</v>
      </c>
      <c r="O40" s="77">
        <v>0.79</v>
      </c>
      <c r="P40" s="77">
        <v>0.9</v>
      </c>
      <c r="Q40" s="77">
        <v>0.85</v>
      </c>
      <c r="R40" s="77">
        <v>0.91</v>
      </c>
      <c r="S40" s="77">
        <v>0.89</v>
      </c>
      <c r="T40" s="77">
        <v>0.84</v>
      </c>
      <c r="U40" s="77">
        <v>0.94</v>
      </c>
      <c r="V40" s="77">
        <v>0.82</v>
      </c>
      <c r="W40" s="77">
        <v>0.8</v>
      </c>
      <c r="X40" s="77">
        <v>0.77</v>
      </c>
      <c r="Y40" s="77">
        <v>0.78</v>
      </c>
      <c r="Z40" s="77">
        <v>0.92</v>
      </c>
      <c r="AA40" s="77">
        <v>0.91</v>
      </c>
      <c r="AB40" s="33"/>
      <c r="AC40" s="33"/>
      <c r="AD40" s="33" t="s">
        <v>601</v>
      </c>
      <c r="AE40" t="str">
        <f>VLOOKUP(AD40,GroupLabels!$E$2:$H$145,3,0)</f>
        <v>Finland - Finnish</v>
      </c>
    </row>
    <row r="41" spans="1:31" x14ac:dyDescent="0.25">
      <c r="A41" t="s">
        <v>3244</v>
      </c>
      <c r="B41" s="77">
        <v>0.65</v>
      </c>
      <c r="C41" s="77">
        <v>0.56000000000000005</v>
      </c>
      <c r="D41" s="77">
        <v>0.91</v>
      </c>
      <c r="E41" s="77">
        <v>0.84</v>
      </c>
      <c r="F41" s="77">
        <v>0.82</v>
      </c>
      <c r="G41" s="77">
        <v>0.86</v>
      </c>
      <c r="H41" s="77">
        <v>0.84</v>
      </c>
      <c r="I41" s="77">
        <v>0.88</v>
      </c>
      <c r="J41" s="77">
        <v>0.79</v>
      </c>
      <c r="K41" s="77">
        <v>0.88</v>
      </c>
      <c r="L41" s="77">
        <v>0.87</v>
      </c>
      <c r="M41" s="77">
        <v>0.91</v>
      </c>
      <c r="N41" s="77">
        <v>0.85</v>
      </c>
      <c r="O41" s="77">
        <v>0.73</v>
      </c>
      <c r="P41" s="77">
        <v>0.89</v>
      </c>
      <c r="Q41" s="77">
        <v>0.84</v>
      </c>
      <c r="R41" s="77">
        <v>0.89</v>
      </c>
      <c r="S41" s="77">
        <v>0.89</v>
      </c>
      <c r="T41" s="77">
        <v>0.84</v>
      </c>
      <c r="U41" s="77">
        <v>0.93</v>
      </c>
      <c r="V41" s="77">
        <v>0.79</v>
      </c>
      <c r="W41" s="77">
        <v>0.67</v>
      </c>
      <c r="X41" s="77">
        <v>0.8</v>
      </c>
      <c r="Y41" s="77">
        <v>0.77</v>
      </c>
      <c r="Z41" s="77">
        <v>0.9</v>
      </c>
      <c r="AA41" s="77">
        <v>0.89</v>
      </c>
      <c r="AB41" s="33"/>
      <c r="AC41" s="33"/>
      <c r="AD41" s="33" t="s">
        <v>602</v>
      </c>
      <c r="AE41" t="str">
        <f>VLOOKUP(AD41,GroupLabels!$E$2:$H$145,3,0)</f>
        <v>Finland - Swedish</v>
      </c>
    </row>
    <row r="42" spans="1:31" x14ac:dyDescent="0.25">
      <c r="A42" t="s">
        <v>3083</v>
      </c>
      <c r="B42" s="77">
        <v>0.7</v>
      </c>
      <c r="C42" s="77">
        <v>0.56999999999999995</v>
      </c>
      <c r="D42" s="77">
        <v>0.86</v>
      </c>
      <c r="E42" s="77">
        <v>0.71</v>
      </c>
      <c r="F42" s="77">
        <v>0.78</v>
      </c>
      <c r="G42" s="77">
        <v>0.81</v>
      </c>
      <c r="H42" s="77">
        <v>0.82</v>
      </c>
      <c r="I42" s="77">
        <v>0.87</v>
      </c>
      <c r="J42" s="77">
        <v>0.78</v>
      </c>
      <c r="K42" s="77">
        <v>0.88</v>
      </c>
      <c r="L42" s="77">
        <v>0.86</v>
      </c>
      <c r="M42" s="77">
        <v>0.87</v>
      </c>
      <c r="N42" s="77">
        <v>0.79</v>
      </c>
      <c r="O42" s="77">
        <v>0.75</v>
      </c>
      <c r="P42" s="77">
        <v>0.89</v>
      </c>
      <c r="Q42" s="77">
        <v>0.79</v>
      </c>
      <c r="R42" s="77">
        <v>0.84</v>
      </c>
      <c r="S42" s="77">
        <v>0.87</v>
      </c>
      <c r="T42" s="77">
        <v>0.8</v>
      </c>
      <c r="U42" s="77">
        <v>0.91</v>
      </c>
      <c r="V42" s="77">
        <v>0.81</v>
      </c>
      <c r="W42" s="77">
        <v>0.76</v>
      </c>
      <c r="X42" s="77">
        <v>0.71</v>
      </c>
      <c r="Y42" s="77">
        <v>0.74</v>
      </c>
      <c r="Z42" s="77">
        <v>0.9</v>
      </c>
      <c r="AA42" s="77">
        <v>0.86</v>
      </c>
      <c r="AB42" s="33"/>
      <c r="AC42" s="33"/>
      <c r="AD42" s="33" t="s">
        <v>603</v>
      </c>
      <c r="AE42" t="str">
        <f>VLOOKUP(AD42,GroupLabels!$E$2:$H$145,3,0)</f>
        <v>France - French</v>
      </c>
    </row>
    <row r="43" spans="1:31" x14ac:dyDescent="0.25">
      <c r="A43" t="s">
        <v>2920</v>
      </c>
      <c r="B43" s="77">
        <v>0.65</v>
      </c>
      <c r="C43" s="77">
        <v>0.55000000000000004</v>
      </c>
      <c r="D43" s="77">
        <v>0.85</v>
      </c>
      <c r="E43" s="77">
        <v>0.66</v>
      </c>
      <c r="F43" s="77">
        <v>0.81</v>
      </c>
      <c r="G43" s="77">
        <v>0.85</v>
      </c>
      <c r="H43" s="77">
        <v>0.84</v>
      </c>
      <c r="I43" s="77">
        <v>0.87</v>
      </c>
      <c r="J43" s="77">
        <v>0.82</v>
      </c>
      <c r="K43" s="77">
        <v>0.87</v>
      </c>
      <c r="L43" s="77">
        <v>0.88</v>
      </c>
      <c r="M43" s="77">
        <v>0.87</v>
      </c>
      <c r="N43" s="77">
        <v>0.82</v>
      </c>
      <c r="O43" s="77">
        <v>0.84</v>
      </c>
      <c r="P43" s="77">
        <v>0.89</v>
      </c>
      <c r="Q43" s="77">
        <v>0.88</v>
      </c>
      <c r="R43" s="77">
        <v>0.87</v>
      </c>
      <c r="S43" s="77">
        <v>0.9</v>
      </c>
      <c r="T43" s="77">
        <v>0.8</v>
      </c>
      <c r="U43" s="77">
        <v>0.93</v>
      </c>
      <c r="V43" s="77">
        <v>0.86</v>
      </c>
      <c r="W43" s="77">
        <v>0.86</v>
      </c>
      <c r="X43" s="77">
        <v>0.8</v>
      </c>
      <c r="Y43" s="77">
        <v>0.83</v>
      </c>
      <c r="Z43" s="77">
        <v>0.86</v>
      </c>
      <c r="AA43" s="77">
        <v>0.89</v>
      </c>
      <c r="AB43" s="33"/>
      <c r="AC43" s="33"/>
      <c r="AD43" s="33" t="s">
        <v>604</v>
      </c>
      <c r="AE43" t="str">
        <f>VLOOKUP(AD43,GroupLabels!$E$2:$H$145,3,0)</f>
        <v>Georgia - Azerbaijani</v>
      </c>
    </row>
    <row r="44" spans="1:31" x14ac:dyDescent="0.25">
      <c r="A44" t="s">
        <v>3136</v>
      </c>
      <c r="B44" s="77">
        <v>0.69</v>
      </c>
      <c r="C44" s="77">
        <v>0.61</v>
      </c>
      <c r="D44" s="77">
        <v>0.88</v>
      </c>
      <c r="E44" s="77">
        <v>0.69</v>
      </c>
      <c r="F44" s="77">
        <v>0.81</v>
      </c>
      <c r="G44" s="77">
        <v>0.84</v>
      </c>
      <c r="H44" s="77">
        <v>0.85</v>
      </c>
      <c r="I44" s="77">
        <v>0.85</v>
      </c>
      <c r="J44" s="77">
        <v>0.75</v>
      </c>
      <c r="K44" s="77">
        <v>0.9</v>
      </c>
      <c r="L44" s="77">
        <v>0.85</v>
      </c>
      <c r="M44" s="77">
        <v>0.9</v>
      </c>
      <c r="N44" s="77">
        <v>0.77</v>
      </c>
      <c r="O44" s="77">
        <v>0.8</v>
      </c>
      <c r="P44" s="77">
        <v>0.89</v>
      </c>
      <c r="Q44" s="77">
        <v>0.85</v>
      </c>
      <c r="R44" s="77">
        <v>0.89</v>
      </c>
      <c r="S44" s="77">
        <v>0.92</v>
      </c>
      <c r="T44" s="77">
        <v>0.82</v>
      </c>
      <c r="U44" s="77">
        <v>0.89</v>
      </c>
      <c r="V44" s="77">
        <v>0.82</v>
      </c>
      <c r="W44" s="77">
        <v>0.62</v>
      </c>
      <c r="X44" s="77">
        <v>0.84</v>
      </c>
      <c r="Y44" s="77">
        <v>0.78</v>
      </c>
      <c r="Z44" s="77">
        <v>0.87</v>
      </c>
      <c r="AA44" s="77">
        <v>0.9</v>
      </c>
      <c r="AB44" s="33"/>
      <c r="AC44" s="33"/>
      <c r="AD44" s="33" t="s">
        <v>605</v>
      </c>
      <c r="AE44" t="str">
        <f>VLOOKUP(AD44,GroupLabels!$E$2:$H$145,3,0)</f>
        <v>Georgia - Georgian</v>
      </c>
    </row>
    <row r="45" spans="1:31" x14ac:dyDescent="0.25">
      <c r="A45" t="s">
        <v>3211</v>
      </c>
      <c r="B45" s="77">
        <v>0.77</v>
      </c>
      <c r="C45" s="77">
        <v>0.61</v>
      </c>
      <c r="D45" s="77">
        <v>0.87</v>
      </c>
      <c r="E45" s="77">
        <v>0.72</v>
      </c>
      <c r="F45" s="77">
        <v>0.68</v>
      </c>
      <c r="G45" s="77">
        <v>0.82</v>
      </c>
      <c r="H45" s="77">
        <v>0.78</v>
      </c>
      <c r="I45" s="77">
        <v>0.74</v>
      </c>
      <c r="J45" s="77">
        <v>0.81</v>
      </c>
      <c r="K45" s="77">
        <v>0.93</v>
      </c>
      <c r="L45" s="77">
        <v>0.81</v>
      </c>
      <c r="M45" s="77">
        <v>0.86</v>
      </c>
      <c r="N45" s="77">
        <v>0.79</v>
      </c>
      <c r="O45" s="77">
        <v>0.76</v>
      </c>
      <c r="P45" s="77">
        <v>0.85</v>
      </c>
      <c r="Q45" s="77">
        <v>0.76</v>
      </c>
      <c r="R45" s="77">
        <v>0.9</v>
      </c>
      <c r="S45" s="77">
        <v>0.86</v>
      </c>
      <c r="T45" s="77">
        <v>0.75</v>
      </c>
      <c r="U45" s="77">
        <v>0.85</v>
      </c>
      <c r="V45" s="77">
        <v>0.77</v>
      </c>
      <c r="W45" s="77">
        <v>0.75</v>
      </c>
      <c r="X45" s="77">
        <v>0.85</v>
      </c>
      <c r="Y45" s="77">
        <v>0.76</v>
      </c>
      <c r="Z45" s="77">
        <v>0.85</v>
      </c>
      <c r="AA45" s="77">
        <v>0.91</v>
      </c>
      <c r="AB45" s="33"/>
      <c r="AC45" s="33"/>
      <c r="AD45" s="33" t="s">
        <v>606</v>
      </c>
      <c r="AE45" t="str">
        <f>VLOOKUP(AD45,GroupLabels!$E$2:$H$145,3,0)</f>
        <v>Georgia - Russian</v>
      </c>
    </row>
    <row r="46" spans="1:31" x14ac:dyDescent="0.25">
      <c r="A46" t="s">
        <v>767</v>
      </c>
      <c r="B46" s="77">
        <v>0.76</v>
      </c>
      <c r="C46" s="77">
        <v>0.59</v>
      </c>
      <c r="D46" s="77">
        <v>0.84</v>
      </c>
      <c r="E46" s="77">
        <v>0.78</v>
      </c>
      <c r="F46" s="77">
        <v>0.75</v>
      </c>
      <c r="G46" s="77">
        <v>0.76</v>
      </c>
      <c r="H46" s="77">
        <v>0.7</v>
      </c>
      <c r="I46" s="77">
        <v>0.82</v>
      </c>
      <c r="J46" s="77">
        <v>0.79</v>
      </c>
      <c r="K46" s="77">
        <v>0.84</v>
      </c>
      <c r="L46" s="77">
        <v>0.81</v>
      </c>
      <c r="M46" s="77">
        <v>0.82</v>
      </c>
      <c r="N46" s="77">
        <v>0.76</v>
      </c>
      <c r="O46" s="77">
        <v>0.74</v>
      </c>
      <c r="P46" s="77">
        <v>0.85</v>
      </c>
      <c r="Q46" s="77">
        <v>0.76</v>
      </c>
      <c r="R46" s="77">
        <v>0.85</v>
      </c>
      <c r="S46" s="77" t="s">
        <v>3476</v>
      </c>
      <c r="T46" s="77">
        <v>0.74</v>
      </c>
      <c r="U46" s="77">
        <v>0.93</v>
      </c>
      <c r="V46" s="77">
        <v>0.75</v>
      </c>
      <c r="W46" s="77">
        <v>0.72</v>
      </c>
      <c r="X46" s="77">
        <v>0.76</v>
      </c>
      <c r="Y46" s="77">
        <v>0.69</v>
      </c>
      <c r="Z46" s="77">
        <v>0.88</v>
      </c>
      <c r="AA46" s="77">
        <v>0.79</v>
      </c>
      <c r="AB46" s="33"/>
      <c r="AC46" s="33"/>
      <c r="AD46" s="33" t="s">
        <v>607</v>
      </c>
      <c r="AE46" t="str">
        <f>VLOOKUP(AD46,GroupLabels!$E$2:$H$145,3,0)</f>
        <v>Germany - German</v>
      </c>
    </row>
    <row r="47" spans="1:31" x14ac:dyDescent="0.25">
      <c r="A47" t="s">
        <v>2976</v>
      </c>
      <c r="B47" s="77">
        <v>0.69</v>
      </c>
      <c r="C47" s="77">
        <v>0.56999999999999995</v>
      </c>
      <c r="D47" s="77">
        <v>0.86</v>
      </c>
      <c r="E47" s="77">
        <v>0.79</v>
      </c>
      <c r="F47" s="77">
        <v>0.77</v>
      </c>
      <c r="G47" s="77">
        <v>0.81</v>
      </c>
      <c r="H47" s="77">
        <v>0.77</v>
      </c>
      <c r="I47" s="77">
        <v>0.81</v>
      </c>
      <c r="J47" s="77">
        <v>0.75</v>
      </c>
      <c r="K47" s="77">
        <v>0.84</v>
      </c>
      <c r="L47" s="77">
        <v>0.84</v>
      </c>
      <c r="M47" s="77">
        <v>0.89</v>
      </c>
      <c r="N47" s="77">
        <v>0.76</v>
      </c>
      <c r="O47" s="77">
        <v>0.75</v>
      </c>
      <c r="P47" s="77">
        <v>0.81</v>
      </c>
      <c r="Q47" s="77">
        <v>0.8</v>
      </c>
      <c r="R47" s="77">
        <v>0.88</v>
      </c>
      <c r="S47" s="77">
        <v>0.86</v>
      </c>
      <c r="T47" s="77">
        <v>0.76</v>
      </c>
      <c r="U47" s="77">
        <v>0.91</v>
      </c>
      <c r="V47" s="77">
        <v>0.85</v>
      </c>
      <c r="W47" s="77">
        <v>0.67</v>
      </c>
      <c r="X47" s="77">
        <v>0.75</v>
      </c>
      <c r="Y47" s="77">
        <v>0.69</v>
      </c>
      <c r="Z47" s="77">
        <v>0.88</v>
      </c>
      <c r="AA47" s="77">
        <v>0.85</v>
      </c>
      <c r="AB47" s="33"/>
      <c r="AC47" s="33"/>
      <c r="AD47" s="33" t="s">
        <v>608</v>
      </c>
      <c r="AE47" t="str">
        <f>VLOOKUP(AD47,GroupLabels!$E$2:$H$145,3,0)</f>
        <v>Greece - Modern Greek</v>
      </c>
    </row>
    <row r="48" spans="1:31" x14ac:dyDescent="0.25">
      <c r="A48" t="s">
        <v>3050</v>
      </c>
      <c r="B48" s="77">
        <v>0.83</v>
      </c>
      <c r="C48" s="77">
        <v>0.72</v>
      </c>
      <c r="D48" s="77">
        <v>0.89</v>
      </c>
      <c r="E48" s="77">
        <v>0.56000000000000005</v>
      </c>
      <c r="F48" s="77">
        <v>0.66</v>
      </c>
      <c r="G48" s="77">
        <v>0.81</v>
      </c>
      <c r="H48" s="77">
        <v>0.85</v>
      </c>
      <c r="I48" s="77">
        <v>0.87</v>
      </c>
      <c r="J48" s="77">
        <v>0.84</v>
      </c>
      <c r="K48" s="77">
        <v>0.86</v>
      </c>
      <c r="L48" s="77">
        <v>0.84</v>
      </c>
      <c r="M48" s="77">
        <v>0.92</v>
      </c>
      <c r="N48" s="77">
        <v>0.82</v>
      </c>
      <c r="O48" s="77">
        <v>0.77</v>
      </c>
      <c r="P48" s="77">
        <v>0.86</v>
      </c>
      <c r="Q48" s="77">
        <v>0.88</v>
      </c>
      <c r="R48" s="77">
        <v>0.91</v>
      </c>
      <c r="S48" s="77">
        <v>0.8</v>
      </c>
      <c r="T48" s="77">
        <v>0.84</v>
      </c>
      <c r="U48" s="77">
        <v>0.93</v>
      </c>
      <c r="V48" s="77">
        <v>0.84</v>
      </c>
      <c r="W48" s="77">
        <v>0.79</v>
      </c>
      <c r="X48" s="77">
        <v>0.82</v>
      </c>
      <c r="Y48" s="77">
        <v>0.84</v>
      </c>
      <c r="Z48" s="77">
        <v>0.87</v>
      </c>
      <c r="AA48" s="77">
        <v>0.89</v>
      </c>
      <c r="AB48" s="33"/>
      <c r="AC48" s="33"/>
      <c r="AD48" s="33" t="s">
        <v>609</v>
      </c>
      <c r="AE48" t="str">
        <f>VLOOKUP(AD48,GroupLabels!$E$2:$H$145,3,0)</f>
        <v>Guatemala - Spanish</v>
      </c>
    </row>
    <row r="49" spans="1:31" x14ac:dyDescent="0.25">
      <c r="A49" t="s">
        <v>3278</v>
      </c>
      <c r="B49" s="77">
        <v>0.77</v>
      </c>
      <c r="C49" s="77">
        <v>0.63</v>
      </c>
      <c r="D49" s="77">
        <v>0.9</v>
      </c>
      <c r="E49" s="77">
        <v>0.77</v>
      </c>
      <c r="F49" s="77">
        <v>0.8</v>
      </c>
      <c r="G49" s="77">
        <v>0.88</v>
      </c>
      <c r="H49" s="77">
        <v>0.91</v>
      </c>
      <c r="I49" s="77">
        <v>0.93</v>
      </c>
      <c r="J49" s="77">
        <v>0.75</v>
      </c>
      <c r="K49" s="77">
        <v>0.92</v>
      </c>
      <c r="L49" s="77">
        <v>0.92</v>
      </c>
      <c r="M49" s="77">
        <v>0.93</v>
      </c>
      <c r="N49" s="77">
        <v>0.86</v>
      </c>
      <c r="O49" s="77">
        <v>0.83</v>
      </c>
      <c r="P49" s="77">
        <v>0.92</v>
      </c>
      <c r="Q49" s="77">
        <v>0.87</v>
      </c>
      <c r="R49" s="77">
        <v>0.91</v>
      </c>
      <c r="S49" s="77">
        <v>0.9</v>
      </c>
      <c r="T49" s="77">
        <v>0.89</v>
      </c>
      <c r="U49" s="77">
        <v>0.97</v>
      </c>
      <c r="V49" s="77">
        <v>0.89</v>
      </c>
      <c r="W49" s="77">
        <v>0.68</v>
      </c>
      <c r="X49" s="77">
        <v>0.89</v>
      </c>
      <c r="Y49" s="77">
        <v>0.81</v>
      </c>
      <c r="Z49" s="77">
        <v>0.94</v>
      </c>
      <c r="AA49" s="77">
        <v>0.92</v>
      </c>
      <c r="AB49" s="33"/>
      <c r="AC49" s="33"/>
      <c r="AD49" s="33" t="s">
        <v>610</v>
      </c>
      <c r="AE49" t="str">
        <f>VLOOKUP(AD49,GroupLabels!$E$2:$H$145,3,0)</f>
        <v>Hong Kong (China) - Chinese</v>
      </c>
    </row>
    <row r="50" spans="1:31" x14ac:dyDescent="0.25">
      <c r="A50" t="s">
        <v>2993</v>
      </c>
      <c r="B50" s="77">
        <v>0.78</v>
      </c>
      <c r="C50" s="77">
        <v>0.6</v>
      </c>
      <c r="D50" s="77">
        <v>0.88</v>
      </c>
      <c r="E50" s="77">
        <v>0.73</v>
      </c>
      <c r="F50" s="77">
        <v>0.79</v>
      </c>
      <c r="G50" s="77">
        <v>0.85</v>
      </c>
      <c r="H50" s="77">
        <v>0.88</v>
      </c>
      <c r="I50" s="77">
        <v>0.9</v>
      </c>
      <c r="J50" s="77">
        <v>0.76</v>
      </c>
      <c r="K50" s="77">
        <v>0.88</v>
      </c>
      <c r="L50" s="77">
        <v>0.89</v>
      </c>
      <c r="M50" s="77">
        <v>0.9</v>
      </c>
      <c r="N50" s="77">
        <v>0.82</v>
      </c>
      <c r="O50" s="77">
        <v>0.84</v>
      </c>
      <c r="P50" s="77">
        <v>0.9</v>
      </c>
      <c r="Q50" s="77">
        <v>0.84</v>
      </c>
      <c r="R50" s="77">
        <v>0.9</v>
      </c>
      <c r="S50" s="77">
        <v>0.92</v>
      </c>
      <c r="T50" s="77">
        <v>0.82</v>
      </c>
      <c r="U50" s="77">
        <v>0.96</v>
      </c>
      <c r="V50" s="77">
        <v>0.86</v>
      </c>
      <c r="W50" s="77">
        <v>0.73</v>
      </c>
      <c r="X50" s="77">
        <v>0.85</v>
      </c>
      <c r="Y50" s="77">
        <v>0.77</v>
      </c>
      <c r="Z50" s="77">
        <v>0.93</v>
      </c>
      <c r="AA50" s="77">
        <v>0.91</v>
      </c>
      <c r="AB50" s="33"/>
      <c r="AC50" s="33"/>
      <c r="AD50" s="33" t="s">
        <v>611</v>
      </c>
      <c r="AE50" t="str">
        <f>VLOOKUP(AD50,GroupLabels!$E$2:$H$145,3,0)</f>
        <v>Hong Kong (China) - English</v>
      </c>
    </row>
    <row r="51" spans="1:31" x14ac:dyDescent="0.25">
      <c r="A51" t="s">
        <v>3103</v>
      </c>
      <c r="B51" s="77">
        <v>0.76</v>
      </c>
      <c r="C51" s="77">
        <v>0.6</v>
      </c>
      <c r="D51" s="77">
        <v>0.86</v>
      </c>
      <c r="E51" s="77">
        <v>0.77</v>
      </c>
      <c r="F51" s="77">
        <v>0.79</v>
      </c>
      <c r="G51" s="77">
        <v>0.8</v>
      </c>
      <c r="H51" s="77">
        <v>0.77</v>
      </c>
      <c r="I51" s="77">
        <v>0.83</v>
      </c>
      <c r="J51" s="77">
        <v>0.76</v>
      </c>
      <c r="K51" s="77">
        <v>0.89</v>
      </c>
      <c r="L51" s="77">
        <v>0.84</v>
      </c>
      <c r="M51" s="77">
        <v>0.89</v>
      </c>
      <c r="N51" s="77">
        <v>0.77</v>
      </c>
      <c r="O51" s="77">
        <v>0.72</v>
      </c>
      <c r="P51" s="77">
        <v>0.85</v>
      </c>
      <c r="Q51" s="77">
        <v>0.78</v>
      </c>
      <c r="R51" s="77">
        <v>0.86</v>
      </c>
      <c r="S51" s="77">
        <v>0.87</v>
      </c>
      <c r="T51" s="77">
        <v>0.75</v>
      </c>
      <c r="U51" s="77">
        <v>0.92</v>
      </c>
      <c r="V51" s="77">
        <v>0.82</v>
      </c>
      <c r="W51" s="77">
        <v>0.73</v>
      </c>
      <c r="X51" s="77">
        <v>0.8</v>
      </c>
      <c r="Y51" s="77">
        <v>0.71</v>
      </c>
      <c r="Z51" s="77">
        <v>0.9</v>
      </c>
      <c r="AA51" s="77">
        <v>0.83</v>
      </c>
      <c r="AB51" s="33"/>
      <c r="AC51" s="33"/>
      <c r="AD51" s="33" t="s">
        <v>612</v>
      </c>
      <c r="AE51" t="str">
        <f>VLOOKUP(AD51,GroupLabels!$E$2:$H$145,3,0)</f>
        <v>Hungary - Hungarian</v>
      </c>
    </row>
    <row r="52" spans="1:31" x14ac:dyDescent="0.25">
      <c r="A52" t="s">
        <v>3122</v>
      </c>
      <c r="B52" s="77">
        <v>0.72</v>
      </c>
      <c r="C52" s="77">
        <v>0.53</v>
      </c>
      <c r="D52" s="77">
        <v>0.92</v>
      </c>
      <c r="E52" s="77">
        <v>0.83</v>
      </c>
      <c r="F52" s="77">
        <v>0.8</v>
      </c>
      <c r="G52" s="77">
        <v>0.89</v>
      </c>
      <c r="H52" s="77">
        <v>0.87</v>
      </c>
      <c r="I52" s="77">
        <v>0.91</v>
      </c>
      <c r="J52" s="77">
        <v>0.79</v>
      </c>
      <c r="K52" s="77">
        <v>0.88</v>
      </c>
      <c r="L52" s="77">
        <v>0.92</v>
      </c>
      <c r="M52" s="77">
        <v>0.92</v>
      </c>
      <c r="N52" s="77">
        <v>0.84</v>
      </c>
      <c r="O52" s="77">
        <v>0.82</v>
      </c>
      <c r="P52" s="77">
        <v>0.88</v>
      </c>
      <c r="Q52" s="77">
        <v>0.89</v>
      </c>
      <c r="R52" s="77">
        <v>0.85</v>
      </c>
      <c r="S52" s="77">
        <v>0.94</v>
      </c>
      <c r="T52" s="77">
        <v>0.83</v>
      </c>
      <c r="U52" s="77">
        <v>0.95</v>
      </c>
      <c r="V52" s="77">
        <v>0.84</v>
      </c>
      <c r="W52" s="77">
        <v>0.81</v>
      </c>
      <c r="X52" s="77">
        <v>0.85</v>
      </c>
      <c r="Y52" s="77">
        <v>0.8</v>
      </c>
      <c r="Z52" s="77">
        <v>0.93</v>
      </c>
      <c r="AA52" s="77">
        <v>0.91</v>
      </c>
      <c r="AB52" s="33"/>
      <c r="AC52" s="33"/>
      <c r="AD52" s="33" t="s">
        <v>613</v>
      </c>
      <c r="AE52" t="str">
        <f>VLOOKUP(AD52,GroupLabels!$E$2:$H$145,3,0)</f>
        <v>Iceland - Icelandic</v>
      </c>
    </row>
    <row r="53" spans="1:31" x14ac:dyDescent="0.25">
      <c r="A53" t="s">
        <v>3118</v>
      </c>
      <c r="B53" s="77">
        <v>0.79</v>
      </c>
      <c r="C53" s="77">
        <v>0.63</v>
      </c>
      <c r="D53" s="77">
        <v>0.85</v>
      </c>
      <c r="E53" s="77">
        <v>0.72</v>
      </c>
      <c r="F53" s="77">
        <v>0.73</v>
      </c>
      <c r="G53" s="77">
        <v>0.84</v>
      </c>
      <c r="H53" s="77">
        <v>0.88</v>
      </c>
      <c r="I53" s="77">
        <v>0.84</v>
      </c>
      <c r="J53" s="77">
        <v>0.74</v>
      </c>
      <c r="K53" s="77">
        <v>0.84</v>
      </c>
      <c r="L53" s="77">
        <v>0.87</v>
      </c>
      <c r="M53" s="77">
        <v>0.91</v>
      </c>
      <c r="N53" s="77">
        <v>0.68</v>
      </c>
      <c r="O53" s="77">
        <v>0.76</v>
      </c>
      <c r="P53" s="77">
        <v>0.89</v>
      </c>
      <c r="Q53" s="77">
        <v>0.82</v>
      </c>
      <c r="R53" s="77">
        <v>0.88</v>
      </c>
      <c r="S53" s="77">
        <v>0.81</v>
      </c>
      <c r="T53" s="77">
        <v>0.8</v>
      </c>
      <c r="U53" s="77">
        <v>0.91</v>
      </c>
      <c r="V53" s="77">
        <v>0.82</v>
      </c>
      <c r="W53" s="77">
        <v>0.56000000000000005</v>
      </c>
      <c r="X53" s="77">
        <v>0.76</v>
      </c>
      <c r="Y53" s="77">
        <v>0.81</v>
      </c>
      <c r="Z53" s="77">
        <v>0.88</v>
      </c>
      <c r="AA53" s="77">
        <v>0.84</v>
      </c>
      <c r="AB53" s="33"/>
      <c r="AC53" s="33"/>
      <c r="AD53" s="33" t="s">
        <v>614</v>
      </c>
      <c r="AE53" t="str">
        <f>VLOOKUP(AD53,GroupLabels!$E$2:$H$145,3,0)</f>
        <v>Indonesia - Indonesian</v>
      </c>
    </row>
    <row r="54" spans="1:31" x14ac:dyDescent="0.25">
      <c r="A54" t="s">
        <v>2995</v>
      </c>
      <c r="B54" s="77">
        <v>0.75</v>
      </c>
      <c r="C54" s="77">
        <v>0.57999999999999996</v>
      </c>
      <c r="D54" s="77">
        <v>0.89</v>
      </c>
      <c r="E54" s="77">
        <v>0.82</v>
      </c>
      <c r="F54" s="77">
        <v>0.77</v>
      </c>
      <c r="G54" s="77">
        <v>0.81</v>
      </c>
      <c r="H54" s="77">
        <v>0.8</v>
      </c>
      <c r="I54" s="77">
        <v>0.88</v>
      </c>
      <c r="J54" s="77">
        <v>0.78</v>
      </c>
      <c r="K54" s="77">
        <v>0.87</v>
      </c>
      <c r="L54" s="77">
        <v>0.86</v>
      </c>
      <c r="M54" s="77">
        <v>0.85</v>
      </c>
      <c r="N54" s="77">
        <v>0.79</v>
      </c>
      <c r="O54" s="77">
        <v>0.72</v>
      </c>
      <c r="P54" s="77">
        <v>0.87</v>
      </c>
      <c r="Q54" s="77">
        <v>0.78</v>
      </c>
      <c r="R54" s="77">
        <v>0.84</v>
      </c>
      <c r="S54" s="77">
        <v>0.88</v>
      </c>
      <c r="T54" s="77">
        <v>0.82</v>
      </c>
      <c r="U54" s="77">
        <v>0.94</v>
      </c>
      <c r="V54" s="77">
        <v>0.77</v>
      </c>
      <c r="W54" s="77">
        <v>0.79</v>
      </c>
      <c r="X54" s="77">
        <v>0.72</v>
      </c>
      <c r="Y54" s="77">
        <v>0.7</v>
      </c>
      <c r="Z54" s="77">
        <v>0.91</v>
      </c>
      <c r="AA54" s="77">
        <v>0.81</v>
      </c>
      <c r="AB54" s="33"/>
      <c r="AC54" s="33"/>
      <c r="AD54" s="33" t="s">
        <v>615</v>
      </c>
      <c r="AE54" t="str">
        <f>VLOOKUP(AD54,GroupLabels!$E$2:$H$145,3,0)</f>
        <v>Ireland - English</v>
      </c>
    </row>
    <row r="55" spans="1:31" x14ac:dyDescent="0.25">
      <c r="A55" t="s">
        <v>3088</v>
      </c>
      <c r="B55" s="77">
        <v>0.64</v>
      </c>
      <c r="C55" s="77">
        <v>0.56000000000000005</v>
      </c>
      <c r="D55" s="77">
        <v>0.92</v>
      </c>
      <c r="E55" s="77">
        <v>0.8</v>
      </c>
      <c r="F55" s="77">
        <v>0.81</v>
      </c>
      <c r="G55" s="77">
        <v>0.82</v>
      </c>
      <c r="H55" s="77">
        <v>0.85</v>
      </c>
      <c r="I55" s="77">
        <v>0.88</v>
      </c>
      <c r="J55" s="77">
        <v>0.77</v>
      </c>
      <c r="K55" s="77">
        <v>0.9</v>
      </c>
      <c r="L55" s="77">
        <v>0.88</v>
      </c>
      <c r="M55" s="77">
        <v>0.89</v>
      </c>
      <c r="N55" s="77">
        <v>0.77</v>
      </c>
      <c r="O55" s="77">
        <v>0.8</v>
      </c>
      <c r="P55" s="77">
        <v>0.87</v>
      </c>
      <c r="Q55" s="77">
        <v>0.83</v>
      </c>
      <c r="R55" s="77">
        <v>0.89</v>
      </c>
      <c r="S55" s="77">
        <v>0.94</v>
      </c>
      <c r="T55" s="77">
        <v>0.81</v>
      </c>
      <c r="U55" s="77">
        <v>0.94</v>
      </c>
      <c r="V55" s="77">
        <v>0.84</v>
      </c>
      <c r="W55" s="77">
        <v>0.63</v>
      </c>
      <c r="X55" s="77">
        <v>0.83</v>
      </c>
      <c r="Y55" s="77">
        <v>0.71</v>
      </c>
      <c r="Z55" s="77">
        <v>0.93</v>
      </c>
      <c r="AA55" s="77">
        <v>0.85</v>
      </c>
      <c r="AB55" s="33"/>
      <c r="AC55" s="33"/>
      <c r="AD55" s="33" t="s">
        <v>616</v>
      </c>
      <c r="AE55" t="str">
        <f>VLOOKUP(AD55,GroupLabels!$E$2:$H$145,3,0)</f>
        <v>Ireland - Irish Gaeilge</v>
      </c>
    </row>
    <row r="56" spans="1:31" x14ac:dyDescent="0.25">
      <c r="A56" t="s">
        <v>2901</v>
      </c>
      <c r="B56" s="77">
        <v>0.76</v>
      </c>
      <c r="C56" s="77">
        <v>0.75</v>
      </c>
      <c r="D56" s="77">
        <v>0.88</v>
      </c>
      <c r="E56" s="77">
        <v>0.64</v>
      </c>
      <c r="F56" s="77">
        <v>0.89</v>
      </c>
      <c r="G56" s="77">
        <v>0.88</v>
      </c>
      <c r="H56" s="77">
        <v>0.88</v>
      </c>
      <c r="I56" s="77">
        <v>0.88</v>
      </c>
      <c r="J56" s="77">
        <v>0.82</v>
      </c>
      <c r="K56" s="77">
        <v>0.92</v>
      </c>
      <c r="L56" s="77">
        <v>0.88</v>
      </c>
      <c r="M56" s="77">
        <v>0.92</v>
      </c>
      <c r="N56" s="77">
        <v>0.84</v>
      </c>
      <c r="O56" s="77">
        <v>0.87</v>
      </c>
      <c r="P56" s="77">
        <v>0.9</v>
      </c>
      <c r="Q56" s="77">
        <v>0.87</v>
      </c>
      <c r="R56" s="77">
        <v>0.93</v>
      </c>
      <c r="S56" s="77">
        <v>0.87</v>
      </c>
      <c r="T56" s="77">
        <v>0.83</v>
      </c>
      <c r="U56" s="77">
        <v>0.9</v>
      </c>
      <c r="V56" s="77">
        <v>0.89</v>
      </c>
      <c r="W56" s="77">
        <v>0.79</v>
      </c>
      <c r="X56" s="77">
        <v>0.87</v>
      </c>
      <c r="Y56" s="77">
        <v>0.83</v>
      </c>
      <c r="Z56" s="77">
        <v>0.91</v>
      </c>
      <c r="AA56" s="77">
        <v>0.88</v>
      </c>
      <c r="AB56" s="33"/>
      <c r="AC56" s="33"/>
      <c r="AD56" s="33" t="s">
        <v>617</v>
      </c>
      <c r="AE56" t="str">
        <f>VLOOKUP(AD56,GroupLabels!$E$2:$H$145,3,0)</f>
        <v>Israel - Arabic*</v>
      </c>
    </row>
    <row r="57" spans="1:31" x14ac:dyDescent="0.25">
      <c r="A57" t="s">
        <v>2467</v>
      </c>
      <c r="B57" s="53">
        <v>0.32</v>
      </c>
      <c r="C57" s="77" t="s">
        <v>3476</v>
      </c>
      <c r="D57" s="77" t="s">
        <v>3476</v>
      </c>
      <c r="E57" s="77">
        <v>0.79</v>
      </c>
      <c r="F57" s="77" t="s">
        <v>3476</v>
      </c>
      <c r="G57" s="77">
        <v>0.82</v>
      </c>
      <c r="H57" s="77">
        <v>0.85</v>
      </c>
      <c r="I57" s="77">
        <v>0.86</v>
      </c>
      <c r="J57" s="77">
        <v>0.77</v>
      </c>
      <c r="K57" s="77">
        <v>0.93</v>
      </c>
      <c r="L57" s="77">
        <v>0.91</v>
      </c>
      <c r="M57" s="77">
        <v>0.92</v>
      </c>
      <c r="N57" s="77">
        <v>0.85</v>
      </c>
      <c r="O57" s="77">
        <v>0.69</v>
      </c>
      <c r="P57" s="77">
        <v>0.86</v>
      </c>
      <c r="Q57" s="77">
        <v>0.84</v>
      </c>
      <c r="R57" s="77">
        <v>0.85</v>
      </c>
      <c r="S57" s="77">
        <v>0.86</v>
      </c>
      <c r="T57" s="77">
        <v>0.77</v>
      </c>
      <c r="U57" s="77">
        <v>0.95</v>
      </c>
      <c r="V57" s="77">
        <v>0.82</v>
      </c>
      <c r="W57" s="77">
        <v>0.67</v>
      </c>
      <c r="X57" s="77">
        <v>0.84</v>
      </c>
      <c r="Y57" s="77">
        <v>0.79</v>
      </c>
      <c r="Z57" s="77">
        <v>0.91</v>
      </c>
      <c r="AA57" s="77">
        <v>0.9</v>
      </c>
      <c r="AB57" s="33"/>
      <c r="AC57" s="33"/>
      <c r="AD57" s="33" t="s">
        <v>618</v>
      </c>
      <c r="AE57" t="str">
        <f>VLOOKUP(AD57,GroupLabels!$E$2:$H$145,3,0)</f>
        <v>Israel - Haredi*</v>
      </c>
    </row>
    <row r="58" spans="1:31" x14ac:dyDescent="0.25">
      <c r="A58" t="s">
        <v>3094</v>
      </c>
      <c r="B58" s="77">
        <v>0.52</v>
      </c>
      <c r="C58" s="77">
        <v>0.6</v>
      </c>
      <c r="D58" s="77">
        <v>0.89</v>
      </c>
      <c r="E58" s="77">
        <v>0.79</v>
      </c>
      <c r="F58" s="77">
        <v>0.84</v>
      </c>
      <c r="G58" s="77">
        <v>0.84</v>
      </c>
      <c r="H58" s="77">
        <v>0.85</v>
      </c>
      <c r="I58" s="77">
        <v>0.88</v>
      </c>
      <c r="J58" s="77">
        <v>0.79</v>
      </c>
      <c r="K58" s="77">
        <v>0.9</v>
      </c>
      <c r="L58" s="77">
        <v>0.91</v>
      </c>
      <c r="M58" s="77">
        <v>0.93</v>
      </c>
      <c r="N58" s="77">
        <v>0.83</v>
      </c>
      <c r="O58" s="77">
        <v>0.84</v>
      </c>
      <c r="P58" s="77">
        <v>0.89</v>
      </c>
      <c r="Q58" s="77">
        <v>0.84</v>
      </c>
      <c r="R58" s="77">
        <v>0.87</v>
      </c>
      <c r="S58" s="77">
        <v>0.87</v>
      </c>
      <c r="T58" s="77">
        <v>0.82</v>
      </c>
      <c r="U58" s="77">
        <v>0.95</v>
      </c>
      <c r="V58" s="77">
        <v>0.82</v>
      </c>
      <c r="W58" s="77">
        <v>0.68</v>
      </c>
      <c r="X58" s="77">
        <v>0.84</v>
      </c>
      <c r="Y58" s="77">
        <v>0.77</v>
      </c>
      <c r="Z58" s="77">
        <v>0.91</v>
      </c>
      <c r="AA58" s="77">
        <v>0.9</v>
      </c>
      <c r="AB58" s="33"/>
      <c r="AC58" s="33"/>
      <c r="AD58" s="33" t="s">
        <v>619</v>
      </c>
      <c r="AE58" t="str">
        <f>VLOOKUP(AD58,GroupLabels!$E$2:$H$145,3,0)</f>
        <v>Israel - Hebrew*</v>
      </c>
    </row>
    <row r="59" spans="1:31" x14ac:dyDescent="0.25">
      <c r="A59" t="s">
        <v>2967</v>
      </c>
      <c r="B59" s="53">
        <v>0.68</v>
      </c>
      <c r="C59" s="53">
        <v>0.5</v>
      </c>
      <c r="D59" s="77">
        <v>0.86</v>
      </c>
      <c r="E59" s="77">
        <v>0.74</v>
      </c>
      <c r="F59" s="77">
        <v>0.85</v>
      </c>
      <c r="G59" s="77">
        <v>0.78</v>
      </c>
      <c r="H59" s="77">
        <v>0.76</v>
      </c>
      <c r="I59" s="77">
        <v>0.83</v>
      </c>
      <c r="J59" s="77">
        <v>0.78</v>
      </c>
      <c r="K59" s="77">
        <v>0.86</v>
      </c>
      <c r="L59" s="77">
        <v>0.83</v>
      </c>
      <c r="M59" s="77">
        <v>0.88</v>
      </c>
      <c r="N59" s="77">
        <v>0.77</v>
      </c>
      <c r="O59" s="77">
        <v>0.73</v>
      </c>
      <c r="P59" s="77">
        <v>0.86</v>
      </c>
      <c r="Q59" s="77">
        <v>0.8</v>
      </c>
      <c r="R59" s="77">
        <v>0.84</v>
      </c>
      <c r="S59" s="77">
        <v>0.83</v>
      </c>
      <c r="T59" s="77">
        <v>0.72</v>
      </c>
      <c r="U59" s="77">
        <v>0.93</v>
      </c>
      <c r="V59" s="77">
        <v>0.8</v>
      </c>
      <c r="W59" s="77">
        <v>0.71</v>
      </c>
      <c r="X59" s="77">
        <v>0.82</v>
      </c>
      <c r="Y59" s="77">
        <v>0.72</v>
      </c>
      <c r="Z59" s="77">
        <v>0.89</v>
      </c>
      <c r="AA59" s="77">
        <v>0.86</v>
      </c>
      <c r="AB59" s="33"/>
      <c r="AC59" s="33"/>
      <c r="AD59" s="33" t="s">
        <v>620</v>
      </c>
      <c r="AE59" t="str">
        <f>VLOOKUP(AD59,GroupLabels!$E$2:$H$145,3,0)</f>
        <v>Italy - German</v>
      </c>
    </row>
    <row r="60" spans="1:31" x14ac:dyDescent="0.25">
      <c r="A60" t="s">
        <v>3126</v>
      </c>
      <c r="B60" s="53">
        <v>0.74</v>
      </c>
      <c r="C60" s="53">
        <v>0.56000000000000005</v>
      </c>
      <c r="D60" s="77">
        <v>0.86</v>
      </c>
      <c r="E60" s="77">
        <v>0.79</v>
      </c>
      <c r="F60" s="77">
        <v>0.72</v>
      </c>
      <c r="G60" s="77">
        <v>0.72</v>
      </c>
      <c r="H60" s="77">
        <v>0.73</v>
      </c>
      <c r="I60" s="77">
        <v>0.8</v>
      </c>
      <c r="J60" s="77">
        <v>0.77</v>
      </c>
      <c r="K60" s="77">
        <v>0.87</v>
      </c>
      <c r="L60" s="77">
        <v>0.81</v>
      </c>
      <c r="M60" s="77">
        <v>0.87</v>
      </c>
      <c r="N60" s="77">
        <v>0.73</v>
      </c>
      <c r="O60" s="77">
        <v>0.71</v>
      </c>
      <c r="P60" s="77">
        <v>0.82</v>
      </c>
      <c r="Q60" s="77">
        <v>0.75</v>
      </c>
      <c r="R60" s="77">
        <v>0.79</v>
      </c>
      <c r="S60" s="77">
        <v>0.8</v>
      </c>
      <c r="T60" s="77">
        <v>0.67</v>
      </c>
      <c r="U60" s="77">
        <v>0.91</v>
      </c>
      <c r="V60" s="77">
        <v>0.79</v>
      </c>
      <c r="W60" s="77">
        <v>0.75</v>
      </c>
      <c r="X60" s="77">
        <v>0.75</v>
      </c>
      <c r="Y60" s="77">
        <v>0.63</v>
      </c>
      <c r="Z60" s="77">
        <v>0.89</v>
      </c>
      <c r="AA60" s="77">
        <v>0.77</v>
      </c>
      <c r="AB60" s="33"/>
      <c r="AC60" s="33"/>
      <c r="AD60" s="33" t="s">
        <v>621</v>
      </c>
      <c r="AE60" t="str">
        <f>VLOOKUP(AD60,GroupLabels!$E$2:$H$145,3,0)</f>
        <v>Italy - Italian</v>
      </c>
    </row>
    <row r="61" spans="1:31" x14ac:dyDescent="0.25">
      <c r="A61" t="s">
        <v>768</v>
      </c>
      <c r="B61" s="53">
        <v>0.68</v>
      </c>
      <c r="C61" s="53">
        <v>0.57999999999999996</v>
      </c>
      <c r="D61" s="77">
        <v>0.88</v>
      </c>
      <c r="E61" s="77">
        <v>0.79</v>
      </c>
      <c r="F61" s="77">
        <v>0.73</v>
      </c>
      <c r="G61" s="77">
        <v>0.87</v>
      </c>
      <c r="H61" s="77">
        <v>0.88</v>
      </c>
      <c r="I61" s="77">
        <v>0.88</v>
      </c>
      <c r="J61" s="77">
        <v>0.8</v>
      </c>
      <c r="K61" s="77">
        <v>0.85</v>
      </c>
      <c r="L61" s="77">
        <v>0.89</v>
      </c>
      <c r="M61" s="77">
        <v>0.9</v>
      </c>
      <c r="N61" s="77">
        <v>0.86</v>
      </c>
      <c r="O61" s="77">
        <v>0.65</v>
      </c>
      <c r="P61" s="77">
        <v>0.89</v>
      </c>
      <c r="Q61" s="77">
        <v>0.8</v>
      </c>
      <c r="R61" s="77">
        <v>0.86</v>
      </c>
      <c r="S61" s="77" t="s">
        <v>3476</v>
      </c>
      <c r="T61" s="77">
        <v>0.81</v>
      </c>
      <c r="U61" s="77">
        <v>0.95</v>
      </c>
      <c r="V61" s="77">
        <v>0.91</v>
      </c>
      <c r="W61" s="77">
        <v>0.84</v>
      </c>
      <c r="X61" s="77">
        <v>0.88</v>
      </c>
      <c r="Y61" s="77">
        <v>0.69</v>
      </c>
      <c r="Z61" s="77">
        <v>0.9</v>
      </c>
      <c r="AA61" s="77">
        <v>0.88</v>
      </c>
      <c r="AB61" s="33"/>
      <c r="AC61" s="33"/>
      <c r="AD61" s="33" t="s">
        <v>622</v>
      </c>
      <c r="AE61" t="str">
        <f>VLOOKUP(AD61,GroupLabels!$E$2:$H$145,3,0)</f>
        <v>Japan - Japanese</v>
      </c>
    </row>
    <row r="62" spans="1:31" x14ac:dyDescent="0.25">
      <c r="A62" t="s">
        <v>2903</v>
      </c>
      <c r="B62" s="53">
        <v>0.82</v>
      </c>
      <c r="C62" s="53">
        <v>0.71</v>
      </c>
      <c r="D62" s="77">
        <v>0.87</v>
      </c>
      <c r="E62" s="77">
        <v>0.67</v>
      </c>
      <c r="F62" s="77">
        <v>0.74</v>
      </c>
      <c r="G62" s="77">
        <v>0.83</v>
      </c>
      <c r="H62" s="77">
        <v>0.84</v>
      </c>
      <c r="I62" s="77">
        <v>0.81</v>
      </c>
      <c r="J62" s="77">
        <v>0.76</v>
      </c>
      <c r="K62" s="77">
        <v>0.88</v>
      </c>
      <c r="L62" s="77">
        <v>0.83</v>
      </c>
      <c r="M62" s="77">
        <v>0.89</v>
      </c>
      <c r="N62" s="77">
        <v>0.79</v>
      </c>
      <c r="O62" s="77">
        <v>0.79</v>
      </c>
      <c r="P62" s="77">
        <v>0.9</v>
      </c>
      <c r="Q62" s="77">
        <v>0.82</v>
      </c>
      <c r="R62" s="77">
        <v>0.89</v>
      </c>
      <c r="S62" s="77">
        <v>0.82</v>
      </c>
      <c r="T62" s="77">
        <v>0.75</v>
      </c>
      <c r="U62" s="77">
        <v>0.88</v>
      </c>
      <c r="V62" s="77">
        <v>0.81</v>
      </c>
      <c r="W62" s="77">
        <v>0.72</v>
      </c>
      <c r="X62" s="77">
        <v>0.84</v>
      </c>
      <c r="Y62" s="77">
        <v>0.79</v>
      </c>
      <c r="Z62" s="77">
        <v>0.89</v>
      </c>
      <c r="AA62" s="77">
        <v>0.84</v>
      </c>
      <c r="AB62" s="33"/>
      <c r="AC62" s="33"/>
      <c r="AD62" s="33" t="s">
        <v>623</v>
      </c>
      <c r="AE62" t="str">
        <f>VLOOKUP(AD62,GroupLabels!$E$2:$H$145,3,0)</f>
        <v>Jordan - Arabic</v>
      </c>
    </row>
    <row r="63" spans="1:31" x14ac:dyDescent="0.25">
      <c r="A63" t="s">
        <v>3141</v>
      </c>
      <c r="B63" s="53">
        <v>0.76</v>
      </c>
      <c r="C63" s="53">
        <v>0.66</v>
      </c>
      <c r="D63" s="77">
        <v>0.9</v>
      </c>
      <c r="E63" s="77">
        <v>0.71</v>
      </c>
      <c r="F63" s="77">
        <v>0.8</v>
      </c>
      <c r="G63" s="77">
        <v>0.83</v>
      </c>
      <c r="H63" s="77">
        <v>0.89</v>
      </c>
      <c r="I63" s="77">
        <v>0.88</v>
      </c>
      <c r="J63" s="77">
        <v>0.78</v>
      </c>
      <c r="K63" s="77">
        <v>0.88</v>
      </c>
      <c r="L63" s="77">
        <v>0.88</v>
      </c>
      <c r="M63" s="77">
        <v>0.91</v>
      </c>
      <c r="N63" s="77">
        <v>0.84</v>
      </c>
      <c r="O63" s="77">
        <v>0.79</v>
      </c>
      <c r="P63" s="77">
        <v>0.91</v>
      </c>
      <c r="Q63" s="77">
        <v>0.88</v>
      </c>
      <c r="R63" s="77">
        <v>0.92</v>
      </c>
      <c r="S63" s="77">
        <v>0.96</v>
      </c>
      <c r="T63" s="77">
        <v>0.87</v>
      </c>
      <c r="U63" s="77">
        <v>0.93</v>
      </c>
      <c r="V63" s="77">
        <v>0.86</v>
      </c>
      <c r="W63" s="77">
        <v>0.76</v>
      </c>
      <c r="X63" s="77">
        <v>0.89</v>
      </c>
      <c r="Y63" s="77">
        <v>0.85</v>
      </c>
      <c r="Z63" s="77">
        <v>0.9</v>
      </c>
      <c r="AA63" s="77">
        <v>0.9</v>
      </c>
      <c r="AB63" s="33"/>
      <c r="AC63" s="33"/>
      <c r="AD63" s="33" t="s">
        <v>624</v>
      </c>
      <c r="AE63" t="str">
        <f>VLOOKUP(AD63,GroupLabels!$E$2:$H$145,3,0)</f>
        <v>Kazakhstan - Kazakh</v>
      </c>
    </row>
    <row r="64" spans="1:31" x14ac:dyDescent="0.25">
      <c r="A64" t="s">
        <v>3213</v>
      </c>
      <c r="B64" s="53">
        <v>0.73</v>
      </c>
      <c r="C64" s="53">
        <v>0.57999999999999996</v>
      </c>
      <c r="D64" s="77">
        <v>0.87</v>
      </c>
      <c r="E64" s="77">
        <v>0.75</v>
      </c>
      <c r="F64" s="77">
        <v>0.82</v>
      </c>
      <c r="G64" s="77">
        <v>0.87</v>
      </c>
      <c r="H64" s="77">
        <v>0.86</v>
      </c>
      <c r="I64" s="77">
        <v>0.9</v>
      </c>
      <c r="J64" s="77">
        <v>0.79</v>
      </c>
      <c r="K64" s="77">
        <v>0.91</v>
      </c>
      <c r="L64" s="77">
        <v>0.86</v>
      </c>
      <c r="M64" s="77">
        <v>0.91</v>
      </c>
      <c r="N64" s="77">
        <v>0.83</v>
      </c>
      <c r="O64" s="77">
        <v>0.83</v>
      </c>
      <c r="P64" s="77">
        <v>0.92</v>
      </c>
      <c r="Q64" s="77">
        <v>0.86</v>
      </c>
      <c r="R64" s="77">
        <v>0.91</v>
      </c>
      <c r="S64" s="77">
        <v>0.91</v>
      </c>
      <c r="T64" s="77">
        <v>0.84</v>
      </c>
      <c r="U64" s="77">
        <v>0.95</v>
      </c>
      <c r="V64" s="77">
        <v>0.85</v>
      </c>
      <c r="W64" s="77">
        <v>0.55000000000000004</v>
      </c>
      <c r="X64" s="77">
        <v>0.87</v>
      </c>
      <c r="Y64" s="77">
        <v>0.81</v>
      </c>
      <c r="Z64" s="77">
        <v>0.91</v>
      </c>
      <c r="AA64" s="77">
        <v>0.92</v>
      </c>
      <c r="AB64" s="33"/>
      <c r="AC64" s="33"/>
      <c r="AD64" s="33" t="s">
        <v>625</v>
      </c>
      <c r="AE64" t="str">
        <f>VLOOKUP(AD64,GroupLabels!$E$2:$H$145,3,0)</f>
        <v>Kazakhstan - Russian</v>
      </c>
    </row>
    <row r="65" spans="1:31" x14ac:dyDescent="0.25">
      <c r="A65" t="s">
        <v>940</v>
      </c>
      <c r="B65" s="53">
        <v>0.87</v>
      </c>
      <c r="C65" s="53">
        <v>0.76</v>
      </c>
      <c r="D65" s="77">
        <v>0.86</v>
      </c>
      <c r="E65" s="77">
        <v>0.6</v>
      </c>
      <c r="F65" s="77">
        <v>0.61</v>
      </c>
      <c r="G65" s="77">
        <v>0.74</v>
      </c>
      <c r="H65" s="77">
        <v>0.78</v>
      </c>
      <c r="I65" s="77">
        <v>0.71</v>
      </c>
      <c r="J65" s="77">
        <v>0.64</v>
      </c>
      <c r="K65" s="77">
        <v>0.79</v>
      </c>
      <c r="L65" s="77">
        <v>0.78</v>
      </c>
      <c r="M65" s="77">
        <v>0.83</v>
      </c>
      <c r="N65" s="77">
        <v>0.7</v>
      </c>
      <c r="O65" s="77">
        <v>0.71</v>
      </c>
      <c r="P65" s="77">
        <v>0.79</v>
      </c>
      <c r="Q65" s="77">
        <v>0.76</v>
      </c>
      <c r="R65" s="77">
        <v>0.86</v>
      </c>
      <c r="S65" s="77">
        <v>0.65</v>
      </c>
      <c r="T65" s="77">
        <v>0.77</v>
      </c>
      <c r="U65" s="77">
        <v>0.83</v>
      </c>
      <c r="V65" s="77">
        <v>0.75</v>
      </c>
      <c r="W65" s="77">
        <v>0.56000000000000005</v>
      </c>
      <c r="X65" s="77">
        <v>0.73</v>
      </c>
      <c r="Y65" s="77">
        <v>0.79</v>
      </c>
      <c r="Z65" s="77">
        <v>0.79</v>
      </c>
      <c r="AA65" s="77">
        <v>0.69</v>
      </c>
      <c r="AB65" s="33"/>
      <c r="AC65" s="33"/>
      <c r="AD65" s="33" t="s">
        <v>626</v>
      </c>
      <c r="AE65" t="str">
        <f>VLOOKUP(AD65,GroupLabels!$E$2:$H$145,3,0)</f>
        <v>Kenya - English</v>
      </c>
    </row>
    <row r="66" spans="1:31" x14ac:dyDescent="0.25">
      <c r="A66" t="s">
        <v>3154</v>
      </c>
      <c r="B66" s="53">
        <v>0.72</v>
      </c>
      <c r="C66" s="53">
        <v>0.52</v>
      </c>
      <c r="D66" s="77">
        <v>0.91</v>
      </c>
      <c r="E66" s="77">
        <v>0.82</v>
      </c>
      <c r="F66" s="77">
        <v>0.73</v>
      </c>
      <c r="G66" s="77">
        <v>0.84</v>
      </c>
      <c r="H66" s="77">
        <v>0.88</v>
      </c>
      <c r="I66" s="77">
        <v>0.92</v>
      </c>
      <c r="J66" s="77">
        <v>0.8</v>
      </c>
      <c r="K66" s="77">
        <v>0.87</v>
      </c>
      <c r="L66" s="77">
        <v>0.91</v>
      </c>
      <c r="M66" s="77">
        <v>0.92</v>
      </c>
      <c r="N66" s="77">
        <v>0.85</v>
      </c>
      <c r="O66" s="77">
        <v>0.81</v>
      </c>
      <c r="P66" s="77">
        <v>0.88</v>
      </c>
      <c r="Q66" s="77">
        <v>0.87</v>
      </c>
      <c r="R66" s="77">
        <v>0.92</v>
      </c>
      <c r="S66" s="77">
        <v>0.92</v>
      </c>
      <c r="T66" s="77">
        <v>0.84</v>
      </c>
      <c r="U66" s="77">
        <v>0.96</v>
      </c>
      <c r="V66" s="77">
        <v>0.91</v>
      </c>
      <c r="W66" s="77">
        <v>0.81</v>
      </c>
      <c r="X66" s="77">
        <v>0.93</v>
      </c>
      <c r="Y66" s="77">
        <v>0.8</v>
      </c>
      <c r="Z66" s="77">
        <v>0.92</v>
      </c>
      <c r="AA66" s="77">
        <v>0.88</v>
      </c>
      <c r="AB66" s="33"/>
      <c r="AC66" s="33"/>
      <c r="AD66" s="33" t="s">
        <v>627</v>
      </c>
      <c r="AE66" t="str">
        <f>VLOOKUP(AD66,GroupLabels!$E$2:$H$145,3,0)</f>
        <v>Korea - Korean</v>
      </c>
    </row>
    <row r="67" spans="1:31" x14ac:dyDescent="0.25">
      <c r="A67" t="s">
        <v>3236</v>
      </c>
      <c r="B67" s="53">
        <v>0.73</v>
      </c>
      <c r="C67" s="53">
        <v>0.61</v>
      </c>
      <c r="D67" s="77">
        <v>0.86</v>
      </c>
      <c r="E67" s="77">
        <v>0.63</v>
      </c>
      <c r="F67" s="77">
        <v>0.79</v>
      </c>
      <c r="G67" s="77">
        <v>0.83</v>
      </c>
      <c r="H67" s="77">
        <v>0.79</v>
      </c>
      <c r="I67" s="77">
        <v>0.81</v>
      </c>
      <c r="J67" s="77">
        <v>0.75</v>
      </c>
      <c r="K67" s="77">
        <v>0.89</v>
      </c>
      <c r="L67" s="77">
        <v>0.84</v>
      </c>
      <c r="M67" s="77">
        <v>0.89</v>
      </c>
      <c r="N67" s="77">
        <v>0.79</v>
      </c>
      <c r="O67" s="77">
        <v>0.78</v>
      </c>
      <c r="P67" s="77">
        <v>0.87</v>
      </c>
      <c r="Q67" s="77">
        <v>0.83</v>
      </c>
      <c r="R67" s="77">
        <v>0.92</v>
      </c>
      <c r="S67" s="77">
        <v>0.85</v>
      </c>
      <c r="T67" s="77">
        <v>0.82</v>
      </c>
      <c r="U67" s="77">
        <v>0.86</v>
      </c>
      <c r="V67" s="77">
        <v>0.8</v>
      </c>
      <c r="W67" s="77">
        <v>0.71</v>
      </c>
      <c r="X67" s="77">
        <v>0.76</v>
      </c>
      <c r="Y67" s="77">
        <v>0.82</v>
      </c>
      <c r="Z67" s="77">
        <v>0.83</v>
      </c>
      <c r="AA67" s="77">
        <v>0.83</v>
      </c>
      <c r="AB67" s="33"/>
      <c r="AC67" s="33"/>
      <c r="AD67" s="33" t="s">
        <v>628</v>
      </c>
      <c r="AE67" t="str">
        <f>VLOOKUP(AD67,GroupLabels!$E$2:$H$145,3,0)</f>
        <v>Kosovo - Albanian*</v>
      </c>
    </row>
    <row r="68" spans="1:31" x14ac:dyDescent="0.25">
      <c r="A68" t="s">
        <v>755</v>
      </c>
      <c r="B68" s="53">
        <v>0.75</v>
      </c>
      <c r="C68" s="53">
        <v>0.66</v>
      </c>
      <c r="D68" s="77" t="s">
        <v>3476</v>
      </c>
      <c r="E68" s="77">
        <v>0.51</v>
      </c>
      <c r="F68" s="77">
        <v>0.73</v>
      </c>
      <c r="G68" s="77" t="s">
        <v>3476</v>
      </c>
      <c r="H68" s="77">
        <v>0.83</v>
      </c>
      <c r="I68" s="77">
        <v>0.76</v>
      </c>
      <c r="J68" s="77">
        <v>0.72</v>
      </c>
      <c r="K68" s="77" t="s">
        <v>3476</v>
      </c>
      <c r="L68" s="77">
        <v>0.79</v>
      </c>
      <c r="M68" s="77">
        <v>0.82</v>
      </c>
      <c r="N68" s="77" t="s">
        <v>3476</v>
      </c>
      <c r="O68" s="77">
        <v>0.75</v>
      </c>
      <c r="P68" s="77">
        <v>0.81</v>
      </c>
      <c r="Q68" s="77">
        <v>0.75</v>
      </c>
      <c r="R68" s="77">
        <v>0.85</v>
      </c>
      <c r="S68" s="77">
        <v>0.78</v>
      </c>
      <c r="T68" s="77" t="s">
        <v>3476</v>
      </c>
      <c r="U68" s="77">
        <v>0.9</v>
      </c>
      <c r="V68" s="77">
        <v>0.8</v>
      </c>
      <c r="W68" s="77">
        <v>0.7</v>
      </c>
      <c r="X68" s="77">
        <v>0.84</v>
      </c>
      <c r="Y68" s="77" t="s">
        <v>3476</v>
      </c>
      <c r="Z68" s="77" t="s">
        <v>3476</v>
      </c>
      <c r="AA68" s="77">
        <v>0.76</v>
      </c>
      <c r="AB68" s="33"/>
      <c r="AC68" s="33"/>
      <c r="AD68" s="33" t="s">
        <v>629</v>
      </c>
      <c r="AE68" t="str">
        <f>VLOOKUP(AD68,GroupLabels!$E$2:$H$145,3,0)</f>
        <v>Kurdistan Region (Iraq) - Bahdini*</v>
      </c>
    </row>
    <row r="69" spans="1:31" x14ac:dyDescent="0.25">
      <c r="A69" t="s">
        <v>754</v>
      </c>
      <c r="B69" s="53">
        <v>0.81</v>
      </c>
      <c r="C69" s="53">
        <v>0.68</v>
      </c>
      <c r="D69" s="77" t="s">
        <v>3476</v>
      </c>
      <c r="E69" s="77">
        <v>0.73</v>
      </c>
      <c r="F69" s="77">
        <v>0.7</v>
      </c>
      <c r="G69" s="77" t="s">
        <v>3476</v>
      </c>
      <c r="H69" s="77">
        <v>0.77</v>
      </c>
      <c r="I69" s="77">
        <v>0.8</v>
      </c>
      <c r="J69" s="77">
        <v>0.71</v>
      </c>
      <c r="K69" s="77" t="s">
        <v>3476</v>
      </c>
      <c r="L69" s="77">
        <v>0.77</v>
      </c>
      <c r="M69" s="77">
        <v>0.76</v>
      </c>
      <c r="N69" s="77" t="s">
        <v>3476</v>
      </c>
      <c r="O69" s="77">
        <v>0.65</v>
      </c>
      <c r="P69" s="77">
        <v>0.79</v>
      </c>
      <c r="Q69" s="77">
        <v>0.74</v>
      </c>
      <c r="R69" s="77">
        <v>0.85</v>
      </c>
      <c r="S69" s="77">
        <v>0.75</v>
      </c>
      <c r="T69" s="77" t="s">
        <v>3476</v>
      </c>
      <c r="U69" s="77">
        <v>0.9</v>
      </c>
      <c r="V69" s="77">
        <v>0.75</v>
      </c>
      <c r="W69" s="77">
        <v>0.75</v>
      </c>
      <c r="X69" s="77">
        <v>0.81</v>
      </c>
      <c r="Y69" s="77" t="s">
        <v>3476</v>
      </c>
      <c r="Z69" s="77" t="s">
        <v>3476</v>
      </c>
      <c r="AA69" s="77">
        <v>0.62</v>
      </c>
      <c r="AB69" s="33"/>
      <c r="AC69" s="33"/>
      <c r="AD69" s="33" t="s">
        <v>630</v>
      </c>
      <c r="AE69" t="str">
        <f>VLOOKUP(AD69,GroupLabels!$E$2:$H$145,3,0)</f>
        <v>Kurdistan Region (Iraq) - English*</v>
      </c>
    </row>
    <row r="70" spans="1:31" x14ac:dyDescent="0.25">
      <c r="A70" t="s">
        <v>756</v>
      </c>
      <c r="B70" s="53">
        <v>0.72</v>
      </c>
      <c r="C70" s="53">
        <v>0.57999999999999996</v>
      </c>
      <c r="D70" s="77" t="s">
        <v>3476</v>
      </c>
      <c r="E70" s="77">
        <v>0.62</v>
      </c>
      <c r="F70" s="77">
        <v>0.7</v>
      </c>
      <c r="G70" s="77" t="s">
        <v>3476</v>
      </c>
      <c r="H70" s="77">
        <v>0.85</v>
      </c>
      <c r="I70" s="77">
        <v>0.77</v>
      </c>
      <c r="J70" s="77">
        <v>0.75</v>
      </c>
      <c r="K70" s="77" t="s">
        <v>3476</v>
      </c>
      <c r="L70" s="77">
        <v>0.8</v>
      </c>
      <c r="M70" s="77">
        <v>0.87</v>
      </c>
      <c r="N70" s="77" t="s">
        <v>3476</v>
      </c>
      <c r="O70" s="77">
        <v>0.72</v>
      </c>
      <c r="P70" s="77">
        <v>0.83</v>
      </c>
      <c r="Q70" s="77">
        <v>0.81</v>
      </c>
      <c r="R70" s="77">
        <v>0.88</v>
      </c>
      <c r="S70" s="77">
        <v>0.83</v>
      </c>
      <c r="T70" s="77" t="s">
        <v>3476</v>
      </c>
      <c r="U70" s="77">
        <v>0.9</v>
      </c>
      <c r="V70" s="77">
        <v>0.82</v>
      </c>
      <c r="W70" s="77">
        <v>0.67</v>
      </c>
      <c r="X70" s="77">
        <v>0.83</v>
      </c>
      <c r="Y70" s="77" t="s">
        <v>3476</v>
      </c>
      <c r="Z70" s="77" t="s">
        <v>3476</v>
      </c>
      <c r="AA70" s="77">
        <v>0.78</v>
      </c>
      <c r="AB70" s="33"/>
      <c r="AC70" s="33"/>
      <c r="AD70" s="33" t="s">
        <v>631</v>
      </c>
      <c r="AE70" t="str">
        <f>VLOOKUP(AD70,GroupLabels!$E$2:$H$145,3,0)</f>
        <v>Kurdistan Region (Iraq) - Sorani*</v>
      </c>
    </row>
    <row r="71" spans="1:31" x14ac:dyDescent="0.25">
      <c r="A71" t="s">
        <v>3159</v>
      </c>
      <c r="B71" s="53">
        <v>0.68</v>
      </c>
      <c r="C71" s="53">
        <v>0.56999999999999995</v>
      </c>
      <c r="D71" s="77">
        <v>0.87</v>
      </c>
      <c r="E71" s="77">
        <v>0.64</v>
      </c>
      <c r="F71" s="77">
        <v>0.75</v>
      </c>
      <c r="G71" s="77">
        <v>0.79</v>
      </c>
      <c r="H71" s="77">
        <v>0.84</v>
      </c>
      <c r="I71" s="77">
        <v>0.79</v>
      </c>
      <c r="J71" s="77">
        <v>0.74</v>
      </c>
      <c r="K71" s="77">
        <v>0.84</v>
      </c>
      <c r="L71" s="77">
        <v>0.81</v>
      </c>
      <c r="M71" s="77">
        <v>0.87</v>
      </c>
      <c r="N71" s="77">
        <v>0.73</v>
      </c>
      <c r="O71" s="77">
        <v>0.76</v>
      </c>
      <c r="P71" s="77">
        <v>0.86</v>
      </c>
      <c r="Q71" s="77">
        <v>0.79</v>
      </c>
      <c r="R71" s="77">
        <v>0.88</v>
      </c>
      <c r="S71" s="77">
        <v>0.96</v>
      </c>
      <c r="T71" s="77">
        <v>0.77</v>
      </c>
      <c r="U71" s="77">
        <v>0.86</v>
      </c>
      <c r="V71" s="77">
        <v>0.81</v>
      </c>
      <c r="W71" s="77">
        <v>0.74</v>
      </c>
      <c r="X71" s="77">
        <v>0.84</v>
      </c>
      <c r="Y71" s="77">
        <v>0.76</v>
      </c>
      <c r="Z71" s="77">
        <v>0.85</v>
      </c>
      <c r="AA71" s="77">
        <v>0.8</v>
      </c>
      <c r="AB71" s="33"/>
      <c r="AC71" s="33"/>
      <c r="AD71" s="33" t="s">
        <v>632</v>
      </c>
      <c r="AE71" t="str">
        <f>VLOOKUP(AD71,GroupLabels!$E$2:$H$145,3,0)</f>
        <v>Kyrgyzstan - Kyrgyz / Kirghiz</v>
      </c>
    </row>
    <row r="72" spans="1:31" x14ac:dyDescent="0.25">
      <c r="A72" t="s">
        <v>3212</v>
      </c>
      <c r="B72" s="53">
        <v>0.7</v>
      </c>
      <c r="C72" s="53">
        <v>0.64</v>
      </c>
      <c r="D72" s="77">
        <v>0.88</v>
      </c>
      <c r="E72" s="77">
        <v>0.77</v>
      </c>
      <c r="F72" s="77">
        <v>0.68</v>
      </c>
      <c r="G72" s="77">
        <v>0.84</v>
      </c>
      <c r="H72" s="77">
        <v>0.81</v>
      </c>
      <c r="I72" s="77">
        <v>0.86</v>
      </c>
      <c r="J72" s="77">
        <v>0.81</v>
      </c>
      <c r="K72" s="77">
        <v>0.88</v>
      </c>
      <c r="L72" s="77">
        <v>0.84</v>
      </c>
      <c r="M72" s="77">
        <v>0.89</v>
      </c>
      <c r="N72" s="77">
        <v>0.78</v>
      </c>
      <c r="O72" s="77">
        <v>0.77</v>
      </c>
      <c r="P72" s="77">
        <v>0.88</v>
      </c>
      <c r="Q72" s="77">
        <v>0.78</v>
      </c>
      <c r="R72" s="77">
        <v>0.91</v>
      </c>
      <c r="S72" s="77">
        <v>0.9</v>
      </c>
      <c r="T72" s="77">
        <v>0.77</v>
      </c>
      <c r="U72" s="77">
        <v>0.85</v>
      </c>
      <c r="V72" s="77">
        <v>0.82</v>
      </c>
      <c r="W72" s="77">
        <v>0.64</v>
      </c>
      <c r="X72" s="77">
        <v>0.82</v>
      </c>
      <c r="Y72" s="77">
        <v>0.72</v>
      </c>
      <c r="Z72" s="77">
        <v>0.87</v>
      </c>
      <c r="AA72" s="77">
        <v>0.87</v>
      </c>
      <c r="AB72" s="33"/>
      <c r="AC72" s="33"/>
      <c r="AD72" s="33" t="s">
        <v>633</v>
      </c>
      <c r="AE72" t="str">
        <f>VLOOKUP(AD72,GroupLabels!$E$2:$H$145,3,0)</f>
        <v>Kyrgyzstan - Russian</v>
      </c>
    </row>
    <row r="73" spans="1:31" x14ac:dyDescent="0.25">
      <c r="A73" t="s">
        <v>3266</v>
      </c>
      <c r="B73" s="53">
        <v>0.69</v>
      </c>
      <c r="C73" s="53">
        <v>0.61</v>
      </c>
      <c r="D73" s="77">
        <v>0.88</v>
      </c>
      <c r="E73" s="77">
        <v>0.61</v>
      </c>
      <c r="F73" s="77">
        <v>0.67</v>
      </c>
      <c r="G73" s="77">
        <v>0.83</v>
      </c>
      <c r="H73" s="77">
        <v>0.85</v>
      </c>
      <c r="I73" s="77">
        <v>0.82</v>
      </c>
      <c r="J73" s="77">
        <v>0.79</v>
      </c>
      <c r="K73" s="77">
        <v>0.86</v>
      </c>
      <c r="L73" s="77">
        <v>0.82</v>
      </c>
      <c r="M73" s="77">
        <v>0.85</v>
      </c>
      <c r="N73" s="77">
        <v>0.77</v>
      </c>
      <c r="O73" s="77">
        <v>0.76</v>
      </c>
      <c r="P73" s="77">
        <v>0.88</v>
      </c>
      <c r="Q73" s="77">
        <v>0.83</v>
      </c>
      <c r="R73" s="77">
        <v>0.86</v>
      </c>
      <c r="S73" s="77">
        <v>0.93</v>
      </c>
      <c r="T73" s="77">
        <v>0.73</v>
      </c>
      <c r="U73" s="77">
        <v>0.88</v>
      </c>
      <c r="V73" s="77">
        <v>0.76</v>
      </c>
      <c r="W73" s="77">
        <v>0.76</v>
      </c>
      <c r="X73" s="77">
        <v>0.77</v>
      </c>
      <c r="Y73" s="77">
        <v>0.79</v>
      </c>
      <c r="Z73" s="77">
        <v>0.85</v>
      </c>
      <c r="AA73" s="77">
        <v>0.84</v>
      </c>
      <c r="AB73" s="33"/>
      <c r="AC73" s="33"/>
      <c r="AD73" s="33" t="s">
        <v>634</v>
      </c>
      <c r="AE73" t="str">
        <f>VLOOKUP(AD73,GroupLabels!$E$2:$H$145,3,0)</f>
        <v>Kyrgyzstan - Uzbekistani</v>
      </c>
    </row>
    <row r="74" spans="1:31" x14ac:dyDescent="0.25">
      <c r="A74" t="s">
        <v>3167</v>
      </c>
      <c r="B74" s="53">
        <v>0.74</v>
      </c>
      <c r="C74" s="53">
        <v>0.56000000000000005</v>
      </c>
      <c r="D74" s="77">
        <v>0.87</v>
      </c>
      <c r="E74" s="77">
        <v>0.77</v>
      </c>
      <c r="F74" s="77">
        <v>0.82</v>
      </c>
      <c r="G74" s="77">
        <v>0.84</v>
      </c>
      <c r="H74" s="77">
        <v>0.84</v>
      </c>
      <c r="I74" s="77">
        <v>0.83</v>
      </c>
      <c r="J74" s="77">
        <v>0.75</v>
      </c>
      <c r="K74" s="77">
        <v>0.89</v>
      </c>
      <c r="L74" s="77">
        <v>0.82</v>
      </c>
      <c r="M74" s="77">
        <v>0.86</v>
      </c>
      <c r="N74" s="77">
        <v>0.79</v>
      </c>
      <c r="O74" s="77">
        <v>0.76</v>
      </c>
      <c r="P74" s="77">
        <v>0.85</v>
      </c>
      <c r="Q74" s="77">
        <v>0.8</v>
      </c>
      <c r="R74" s="77">
        <v>0.9</v>
      </c>
      <c r="S74" s="77">
        <v>0.84</v>
      </c>
      <c r="T74" s="77">
        <v>0.77</v>
      </c>
      <c r="U74" s="77">
        <v>0.92</v>
      </c>
      <c r="V74" s="77">
        <v>0.78</v>
      </c>
      <c r="W74" s="77">
        <v>0.64</v>
      </c>
      <c r="X74" s="77">
        <v>0.82</v>
      </c>
      <c r="Y74" s="77">
        <v>0.75</v>
      </c>
      <c r="Z74" s="77">
        <v>0.87</v>
      </c>
      <c r="AA74" s="77">
        <v>0.88</v>
      </c>
      <c r="AB74" s="33"/>
      <c r="AC74" s="33"/>
      <c r="AD74" s="33" t="s">
        <v>635</v>
      </c>
      <c r="AE74" t="str">
        <f>VLOOKUP(AD74,GroupLabels!$E$2:$H$145,3,0)</f>
        <v>Latvia - Latvian</v>
      </c>
    </row>
    <row r="75" spans="1:31" x14ac:dyDescent="0.25">
      <c r="A75" t="s">
        <v>3003</v>
      </c>
      <c r="B75" s="53">
        <v>0.81</v>
      </c>
      <c r="C75" s="53">
        <v>0.7</v>
      </c>
      <c r="D75" s="77">
        <v>0.83</v>
      </c>
      <c r="E75" s="77">
        <v>0.69</v>
      </c>
      <c r="F75" s="77">
        <v>0.79</v>
      </c>
      <c r="G75" s="77">
        <v>0.84</v>
      </c>
      <c r="H75" s="77">
        <v>0.81</v>
      </c>
      <c r="I75" s="77">
        <v>0.8</v>
      </c>
      <c r="J75" s="77">
        <v>0.7</v>
      </c>
      <c r="K75" s="77">
        <v>0.88</v>
      </c>
      <c r="L75" s="77">
        <v>0.83</v>
      </c>
      <c r="M75" s="77">
        <v>0.84</v>
      </c>
      <c r="N75" s="77">
        <v>0.79</v>
      </c>
      <c r="O75" s="77">
        <v>0.79</v>
      </c>
      <c r="P75" s="77">
        <v>0.84</v>
      </c>
      <c r="Q75" s="77">
        <v>0.79</v>
      </c>
      <c r="R75" s="77">
        <v>0.87</v>
      </c>
      <c r="S75" s="77">
        <v>0.83</v>
      </c>
      <c r="T75" s="77">
        <v>0.75</v>
      </c>
      <c r="U75" s="77">
        <v>0.89</v>
      </c>
      <c r="V75" s="77">
        <v>0.77</v>
      </c>
      <c r="W75" s="77">
        <v>0.6</v>
      </c>
      <c r="X75" s="77">
        <v>0.82</v>
      </c>
      <c r="Y75" s="77">
        <v>0.76</v>
      </c>
      <c r="Z75" s="77">
        <v>0.86</v>
      </c>
      <c r="AA75" s="77">
        <v>0.84</v>
      </c>
      <c r="AB75" s="33"/>
      <c r="AC75" s="33"/>
      <c r="AD75" s="33" t="s">
        <v>636</v>
      </c>
      <c r="AE75" t="str">
        <f>VLOOKUP(AD75,GroupLabels!$E$2:$H$145,3,0)</f>
        <v>Lebanon - English*</v>
      </c>
    </row>
    <row r="76" spans="1:31" x14ac:dyDescent="0.25">
      <c r="A76" t="s">
        <v>3084</v>
      </c>
      <c r="B76" s="53">
        <v>0.81</v>
      </c>
      <c r="C76" s="53">
        <v>0.72</v>
      </c>
      <c r="D76" s="77">
        <v>0.81</v>
      </c>
      <c r="E76" s="77">
        <v>0.56999999999999995</v>
      </c>
      <c r="F76" s="77">
        <v>0.84</v>
      </c>
      <c r="G76" s="77">
        <v>0.76</v>
      </c>
      <c r="H76" s="77">
        <v>0.82</v>
      </c>
      <c r="I76" s="77">
        <v>0.73</v>
      </c>
      <c r="J76" s="77">
        <v>0.7</v>
      </c>
      <c r="K76" s="77">
        <v>0.86</v>
      </c>
      <c r="L76" s="77">
        <v>0.81</v>
      </c>
      <c r="M76" s="77">
        <v>0.79</v>
      </c>
      <c r="N76" s="77">
        <v>0.7</v>
      </c>
      <c r="O76" s="77">
        <v>0.74</v>
      </c>
      <c r="P76" s="77">
        <v>0.84</v>
      </c>
      <c r="Q76" s="77">
        <v>0.71</v>
      </c>
      <c r="R76" s="77">
        <v>0.84</v>
      </c>
      <c r="S76" s="77">
        <v>0.79</v>
      </c>
      <c r="T76" s="77">
        <v>0.7</v>
      </c>
      <c r="U76" s="77">
        <v>0.79</v>
      </c>
      <c r="V76" s="77">
        <v>0.68</v>
      </c>
      <c r="W76" s="77">
        <v>0.72</v>
      </c>
      <c r="X76" s="77">
        <v>0.74</v>
      </c>
      <c r="Y76" s="77">
        <v>0.7</v>
      </c>
      <c r="Z76" s="77">
        <v>0.81</v>
      </c>
      <c r="AA76" s="77">
        <v>0.8</v>
      </c>
      <c r="AB76" s="33"/>
      <c r="AC76" s="33"/>
      <c r="AD76" s="33" t="s">
        <v>637</v>
      </c>
      <c r="AE76" t="str">
        <f>VLOOKUP(AD76,GroupLabels!$E$2:$H$145,3,0)</f>
        <v>Lebanon - French*</v>
      </c>
    </row>
    <row r="77" spans="1:31" x14ac:dyDescent="0.25">
      <c r="A77" t="s">
        <v>3163</v>
      </c>
      <c r="B77" s="53">
        <v>0.69</v>
      </c>
      <c r="C77" s="53">
        <v>0.5</v>
      </c>
      <c r="D77" s="77">
        <v>0.88</v>
      </c>
      <c r="E77" s="77">
        <v>0.73</v>
      </c>
      <c r="F77" s="77">
        <v>0.83</v>
      </c>
      <c r="G77" s="77">
        <v>0.86</v>
      </c>
      <c r="H77" s="77">
        <v>0.83</v>
      </c>
      <c r="I77" s="77">
        <v>0.87</v>
      </c>
      <c r="J77" s="77">
        <v>0.76</v>
      </c>
      <c r="K77" s="77">
        <v>0.91</v>
      </c>
      <c r="L77" s="77">
        <v>0.86</v>
      </c>
      <c r="M77" s="77">
        <v>0.88</v>
      </c>
      <c r="N77" s="77">
        <v>0.78</v>
      </c>
      <c r="O77" s="77">
        <v>0.8</v>
      </c>
      <c r="P77" s="77">
        <v>0.89</v>
      </c>
      <c r="Q77" s="77">
        <v>0.84</v>
      </c>
      <c r="R77" s="77">
        <v>0.91</v>
      </c>
      <c r="S77" s="77">
        <v>0.88</v>
      </c>
      <c r="T77" s="77">
        <v>0.83</v>
      </c>
      <c r="U77" s="77">
        <v>0.92</v>
      </c>
      <c r="V77" s="77">
        <v>0.84</v>
      </c>
      <c r="W77" s="77">
        <v>0.69</v>
      </c>
      <c r="X77" s="77">
        <v>0.81</v>
      </c>
      <c r="Y77" s="77">
        <v>0.77</v>
      </c>
      <c r="Z77" s="77">
        <v>0.9</v>
      </c>
      <c r="AA77" s="77">
        <v>0.89</v>
      </c>
      <c r="AB77" s="33"/>
      <c r="AC77" s="33"/>
      <c r="AD77" s="33" t="s">
        <v>638</v>
      </c>
      <c r="AE77" t="str">
        <f>VLOOKUP(AD77,GroupLabels!$E$2:$H$145,3,0)</f>
        <v>Lithuania - Lithuanian</v>
      </c>
    </row>
    <row r="78" spans="1:31" x14ac:dyDescent="0.25">
      <c r="A78" t="s">
        <v>3192</v>
      </c>
      <c r="B78" s="53">
        <v>0.67</v>
      </c>
      <c r="C78" s="53">
        <v>0.51</v>
      </c>
      <c r="D78" s="77">
        <v>0.9</v>
      </c>
      <c r="E78" s="77">
        <v>0.57999999999999996</v>
      </c>
      <c r="F78" s="77">
        <v>0.85</v>
      </c>
      <c r="G78" s="77">
        <v>0.86</v>
      </c>
      <c r="H78" s="77">
        <v>0.85</v>
      </c>
      <c r="I78" s="77">
        <v>0.88</v>
      </c>
      <c r="J78" s="77">
        <v>0.8</v>
      </c>
      <c r="K78" s="77">
        <v>0.92</v>
      </c>
      <c r="L78" s="77">
        <v>0.86</v>
      </c>
      <c r="M78" s="77">
        <v>0.91</v>
      </c>
      <c r="N78" s="77">
        <v>0.8</v>
      </c>
      <c r="O78" s="77">
        <v>0.87</v>
      </c>
      <c r="P78" s="77">
        <v>0.9</v>
      </c>
      <c r="Q78" s="77">
        <v>0.86</v>
      </c>
      <c r="R78" s="77">
        <v>0.91</v>
      </c>
      <c r="S78" s="77">
        <v>0.89</v>
      </c>
      <c r="T78" s="77">
        <v>0.85</v>
      </c>
      <c r="U78" s="77">
        <v>0.89</v>
      </c>
      <c r="V78" s="77">
        <v>0.82</v>
      </c>
      <c r="W78" s="77">
        <v>0.78</v>
      </c>
      <c r="X78" s="77">
        <v>0.84</v>
      </c>
      <c r="Y78" s="77">
        <v>0.8</v>
      </c>
      <c r="Z78" s="77">
        <v>0.9</v>
      </c>
      <c r="AA78" s="77">
        <v>0.89</v>
      </c>
      <c r="AB78" s="33"/>
      <c r="AC78" s="33"/>
      <c r="AD78" s="33" t="s">
        <v>639</v>
      </c>
      <c r="AE78" t="str">
        <f>VLOOKUP(AD78,GroupLabels!$E$2:$H$145,3,0)</f>
        <v>Lithuania - Polish</v>
      </c>
    </row>
    <row r="79" spans="1:31" x14ac:dyDescent="0.25">
      <c r="A79" t="s">
        <v>3214</v>
      </c>
      <c r="B79" s="53">
        <v>0.74</v>
      </c>
      <c r="C79" s="53">
        <v>0.59</v>
      </c>
      <c r="D79" s="77">
        <v>0.89</v>
      </c>
      <c r="E79" s="77">
        <v>0.78</v>
      </c>
      <c r="F79" s="77">
        <v>0.79</v>
      </c>
      <c r="G79" s="77">
        <v>0.87</v>
      </c>
      <c r="H79" s="77">
        <v>0.86</v>
      </c>
      <c r="I79" s="77">
        <v>0.89</v>
      </c>
      <c r="J79" s="77">
        <v>0.76</v>
      </c>
      <c r="K79" s="77">
        <v>0.92</v>
      </c>
      <c r="L79" s="77">
        <v>0.85</v>
      </c>
      <c r="M79" s="77">
        <v>0.87</v>
      </c>
      <c r="N79" s="77">
        <v>0.8</v>
      </c>
      <c r="O79" s="77">
        <v>0.81</v>
      </c>
      <c r="P79" s="77">
        <v>0.9</v>
      </c>
      <c r="Q79" s="77">
        <v>0.82</v>
      </c>
      <c r="R79" s="77">
        <v>0.9</v>
      </c>
      <c r="S79" s="77">
        <v>0.85</v>
      </c>
      <c r="T79" s="77">
        <v>0.81</v>
      </c>
      <c r="U79" s="77">
        <v>0.9</v>
      </c>
      <c r="V79" s="77">
        <v>0.83</v>
      </c>
      <c r="W79" s="77">
        <v>0.69</v>
      </c>
      <c r="X79" s="77">
        <v>0.84</v>
      </c>
      <c r="Y79" s="77">
        <v>0.73</v>
      </c>
      <c r="Z79" s="77">
        <v>0.89</v>
      </c>
      <c r="AA79" s="77">
        <v>0.91</v>
      </c>
      <c r="AB79" s="33"/>
      <c r="AC79" s="33"/>
      <c r="AD79" s="33" t="s">
        <v>640</v>
      </c>
      <c r="AE79" t="str">
        <f>VLOOKUP(AD79,GroupLabels!$E$2:$H$145,3,0)</f>
        <v>Lithuania - Russian</v>
      </c>
    </row>
    <row r="80" spans="1:31" x14ac:dyDescent="0.25">
      <c r="A80" t="s">
        <v>3004</v>
      </c>
      <c r="B80" s="53">
        <v>0.79</v>
      </c>
      <c r="C80" s="53">
        <v>0.61</v>
      </c>
      <c r="D80" s="77">
        <v>0.87</v>
      </c>
      <c r="E80" s="77">
        <v>0.83</v>
      </c>
      <c r="F80" s="77">
        <v>0.8</v>
      </c>
      <c r="G80" s="77">
        <v>0.82</v>
      </c>
      <c r="H80" s="77">
        <v>0.71</v>
      </c>
      <c r="I80" s="77">
        <v>0.85</v>
      </c>
      <c r="J80" s="77">
        <v>0.81</v>
      </c>
      <c r="K80" s="77">
        <v>0.84</v>
      </c>
      <c r="L80" s="77">
        <v>0.85</v>
      </c>
      <c r="M80" s="77">
        <v>0.82</v>
      </c>
      <c r="N80" s="77">
        <v>0.82</v>
      </c>
      <c r="O80" s="77">
        <v>0.69</v>
      </c>
      <c r="P80" s="77">
        <v>0.87</v>
      </c>
      <c r="Q80" s="77">
        <v>0.79</v>
      </c>
      <c r="R80" s="77">
        <v>0.85</v>
      </c>
      <c r="S80" s="77">
        <v>0.86</v>
      </c>
      <c r="T80" s="77">
        <v>0.79</v>
      </c>
      <c r="U80" s="77">
        <v>0.93</v>
      </c>
      <c r="V80" s="77">
        <v>0.82</v>
      </c>
      <c r="W80" s="77">
        <v>0.81</v>
      </c>
      <c r="X80" s="77">
        <v>0.74</v>
      </c>
      <c r="Y80" s="77">
        <v>0.67</v>
      </c>
      <c r="Z80" s="77">
        <v>0.9</v>
      </c>
      <c r="AA80" s="77">
        <v>0.79</v>
      </c>
      <c r="AB80" s="33"/>
      <c r="AC80" s="33"/>
      <c r="AD80" s="33" t="s">
        <v>641</v>
      </c>
      <c r="AE80" t="str">
        <f>VLOOKUP(AD80,GroupLabels!$E$2:$H$145,3,0)</f>
        <v>Luxembourg - English</v>
      </c>
    </row>
    <row r="81" spans="1:31" x14ac:dyDescent="0.25">
      <c r="A81" t="s">
        <v>3085</v>
      </c>
      <c r="B81" s="53">
        <v>0.79</v>
      </c>
      <c r="C81" s="53">
        <v>0.61</v>
      </c>
      <c r="D81" s="77">
        <v>0.86</v>
      </c>
      <c r="E81" s="77">
        <v>0.74</v>
      </c>
      <c r="F81" s="77">
        <v>0.78</v>
      </c>
      <c r="G81" s="77">
        <v>0.81</v>
      </c>
      <c r="H81" s="77">
        <v>0.83</v>
      </c>
      <c r="I81" s="77">
        <v>0.84</v>
      </c>
      <c r="J81" s="77">
        <v>0.78</v>
      </c>
      <c r="K81" s="77">
        <v>0.86</v>
      </c>
      <c r="L81" s="77">
        <v>0.86</v>
      </c>
      <c r="M81" s="77">
        <v>0.88</v>
      </c>
      <c r="N81" s="77">
        <v>0.78</v>
      </c>
      <c r="O81" s="77">
        <v>0.74</v>
      </c>
      <c r="P81" s="77">
        <v>0.88</v>
      </c>
      <c r="Q81" s="77">
        <v>0.77</v>
      </c>
      <c r="R81" s="77">
        <v>0.82</v>
      </c>
      <c r="S81" s="77">
        <v>0.85</v>
      </c>
      <c r="T81" s="77">
        <v>0.77</v>
      </c>
      <c r="U81" s="77">
        <v>0.91</v>
      </c>
      <c r="V81" s="77">
        <v>0.79</v>
      </c>
      <c r="W81" s="77">
        <v>0.74</v>
      </c>
      <c r="X81" s="77">
        <v>0.75</v>
      </c>
      <c r="Y81" s="77">
        <v>0.67</v>
      </c>
      <c r="Z81" s="77">
        <v>0.9</v>
      </c>
      <c r="AA81" s="77">
        <v>0.86</v>
      </c>
      <c r="AB81" s="33"/>
      <c r="AC81" s="33"/>
      <c r="AD81" s="33" t="s">
        <v>642</v>
      </c>
      <c r="AE81" t="str">
        <f>VLOOKUP(AD81,GroupLabels!$E$2:$H$145,3,0)</f>
        <v>Luxembourg - French</v>
      </c>
    </row>
    <row r="82" spans="1:31" x14ac:dyDescent="0.25">
      <c r="A82" t="s">
        <v>2969</v>
      </c>
      <c r="B82" s="53">
        <v>0.77</v>
      </c>
      <c r="C82" s="53">
        <v>0.6</v>
      </c>
      <c r="D82" s="77">
        <v>0.88</v>
      </c>
      <c r="E82" s="77">
        <v>0.76</v>
      </c>
      <c r="F82" s="77">
        <v>0.84</v>
      </c>
      <c r="G82" s="77">
        <v>0.8</v>
      </c>
      <c r="H82" s="77">
        <v>0.81</v>
      </c>
      <c r="I82" s="77">
        <v>0.85</v>
      </c>
      <c r="J82" s="77">
        <v>0.78</v>
      </c>
      <c r="K82" s="77">
        <v>0.89</v>
      </c>
      <c r="L82" s="77">
        <v>0.86</v>
      </c>
      <c r="M82" s="77">
        <v>0.88</v>
      </c>
      <c r="N82" s="77">
        <v>0.83</v>
      </c>
      <c r="O82" s="77">
        <v>0.75</v>
      </c>
      <c r="P82" s="77">
        <v>0.86</v>
      </c>
      <c r="Q82" s="77">
        <v>0.79</v>
      </c>
      <c r="R82" s="77">
        <v>0.87</v>
      </c>
      <c r="S82" s="77">
        <v>0.85</v>
      </c>
      <c r="T82" s="77">
        <v>0.76</v>
      </c>
      <c r="U82" s="77">
        <v>0.93</v>
      </c>
      <c r="V82" s="77">
        <v>0.82</v>
      </c>
      <c r="W82" s="77">
        <v>0.73</v>
      </c>
      <c r="X82" s="77">
        <v>0.82</v>
      </c>
      <c r="Y82" s="77">
        <v>0.68</v>
      </c>
      <c r="Z82" s="77">
        <v>0.9</v>
      </c>
      <c r="AA82" s="77">
        <v>0.87</v>
      </c>
      <c r="AB82" s="33"/>
      <c r="AC82" s="33"/>
      <c r="AD82" s="33" t="s">
        <v>643</v>
      </c>
      <c r="AE82" t="str">
        <f>VLOOKUP(AD82,GroupLabels!$E$2:$H$145,3,0)</f>
        <v>Luxembourg - German</v>
      </c>
    </row>
    <row r="83" spans="1:31" x14ac:dyDescent="0.25">
      <c r="A83" t="s">
        <v>3007</v>
      </c>
      <c r="B83" s="53">
        <v>0.75</v>
      </c>
      <c r="C83" s="53">
        <v>0.57999999999999996</v>
      </c>
      <c r="D83" s="77">
        <v>0.87</v>
      </c>
      <c r="E83" s="77">
        <v>0.75</v>
      </c>
      <c r="F83" s="77">
        <v>0.8</v>
      </c>
      <c r="G83" s="77">
        <v>0.84</v>
      </c>
      <c r="H83" s="77">
        <v>0.84</v>
      </c>
      <c r="I83" s="77">
        <v>0.85</v>
      </c>
      <c r="J83" s="77">
        <v>0.74</v>
      </c>
      <c r="K83" s="77">
        <v>0.86</v>
      </c>
      <c r="L83" s="77">
        <v>0.88</v>
      </c>
      <c r="M83" s="77">
        <v>0.86</v>
      </c>
      <c r="N83" s="77">
        <v>0.78</v>
      </c>
      <c r="O83" s="77">
        <v>0.79</v>
      </c>
      <c r="P83" s="77">
        <v>0.88</v>
      </c>
      <c r="Q83" s="77">
        <v>0.76</v>
      </c>
      <c r="R83" s="77">
        <v>0.89</v>
      </c>
      <c r="S83" s="77">
        <v>0.9</v>
      </c>
      <c r="T83" s="77">
        <v>0.78</v>
      </c>
      <c r="U83" s="77">
        <v>0.95</v>
      </c>
      <c r="V83" s="77">
        <v>0.8</v>
      </c>
      <c r="W83" s="77">
        <v>0.7</v>
      </c>
      <c r="X83" s="77">
        <v>0.75</v>
      </c>
      <c r="Y83" s="77">
        <v>0.66</v>
      </c>
      <c r="Z83" s="77">
        <v>0.91</v>
      </c>
      <c r="AA83" s="77">
        <v>0.86</v>
      </c>
      <c r="AB83" s="33"/>
      <c r="AC83" s="33"/>
      <c r="AD83" s="33" t="s">
        <v>644</v>
      </c>
      <c r="AE83" t="str">
        <f>VLOOKUP(AD83,GroupLabels!$E$2:$H$145,3,0)</f>
        <v>Macao (China) - English</v>
      </c>
    </row>
    <row r="84" spans="1:31" x14ac:dyDescent="0.25">
      <c r="A84" t="s">
        <v>3200</v>
      </c>
      <c r="B84" s="53">
        <v>0.8</v>
      </c>
      <c r="C84" s="53">
        <v>0.54</v>
      </c>
      <c r="D84" s="77">
        <v>0.8</v>
      </c>
      <c r="E84" s="77">
        <v>0.74</v>
      </c>
      <c r="F84" s="77">
        <v>0.53</v>
      </c>
      <c r="G84" s="77">
        <v>0.74</v>
      </c>
      <c r="H84" s="77">
        <v>0.86</v>
      </c>
      <c r="I84" s="77">
        <v>0.93</v>
      </c>
      <c r="J84" s="77">
        <v>0.75</v>
      </c>
      <c r="K84" s="77">
        <v>0.91</v>
      </c>
      <c r="L84" s="77">
        <v>0.91</v>
      </c>
      <c r="M84" s="77">
        <v>0.88</v>
      </c>
      <c r="N84" s="77">
        <v>0.64</v>
      </c>
      <c r="O84" s="77">
        <v>0.59</v>
      </c>
      <c r="P84" s="77">
        <v>0.84</v>
      </c>
      <c r="Q84" s="77">
        <v>0.85</v>
      </c>
      <c r="R84" s="77">
        <v>0.86</v>
      </c>
      <c r="S84" s="77">
        <v>0.88</v>
      </c>
      <c r="T84" s="77">
        <v>0.76</v>
      </c>
      <c r="U84" s="77">
        <v>0.95</v>
      </c>
      <c r="V84" s="77">
        <v>0.82</v>
      </c>
      <c r="W84" s="77">
        <v>0.76</v>
      </c>
      <c r="X84" s="77">
        <v>0.82</v>
      </c>
      <c r="Y84" s="77">
        <v>0.64</v>
      </c>
      <c r="Z84" s="77">
        <v>0.97</v>
      </c>
      <c r="AA84" s="77">
        <v>0.89</v>
      </c>
      <c r="AB84" s="33"/>
      <c r="AC84" s="33"/>
      <c r="AD84" s="33" t="s">
        <v>645</v>
      </c>
      <c r="AE84" t="str">
        <f>VLOOKUP(AD84,GroupLabels!$E$2:$H$145,3,0)</f>
        <v>Macao (China) - Portuguese</v>
      </c>
    </row>
    <row r="85" spans="1:31" x14ac:dyDescent="0.25">
      <c r="A85" t="s">
        <v>3279</v>
      </c>
      <c r="B85" s="53">
        <v>0.78</v>
      </c>
      <c r="C85" s="53">
        <v>0.63</v>
      </c>
      <c r="D85" s="77">
        <v>0.85</v>
      </c>
      <c r="E85" s="77">
        <v>0.79</v>
      </c>
      <c r="F85" s="77">
        <v>0.74</v>
      </c>
      <c r="G85" s="77">
        <v>0.84</v>
      </c>
      <c r="H85" s="77">
        <v>0.86</v>
      </c>
      <c r="I85" s="77">
        <v>0.88</v>
      </c>
      <c r="J85" s="77">
        <v>0.76</v>
      </c>
      <c r="K85" s="77">
        <v>0.88</v>
      </c>
      <c r="L85" s="77">
        <v>0.86</v>
      </c>
      <c r="M85" s="77">
        <v>0.88</v>
      </c>
      <c r="N85" s="77">
        <v>0.8</v>
      </c>
      <c r="O85" s="77">
        <v>0.75</v>
      </c>
      <c r="P85" s="77">
        <v>0.88</v>
      </c>
      <c r="Q85" s="77">
        <v>0.77</v>
      </c>
      <c r="R85" s="77">
        <v>0.9</v>
      </c>
      <c r="S85" s="77">
        <v>0.87</v>
      </c>
      <c r="T85" s="77">
        <v>0.83</v>
      </c>
      <c r="U85" s="77">
        <v>0.94</v>
      </c>
      <c r="V85" s="77">
        <v>0.8</v>
      </c>
      <c r="W85" s="77">
        <v>0.72</v>
      </c>
      <c r="X85" s="77">
        <v>0.83</v>
      </c>
      <c r="Y85" s="77">
        <v>0.73</v>
      </c>
      <c r="Z85" s="77">
        <v>0.9</v>
      </c>
      <c r="AA85" s="77">
        <v>0.8</v>
      </c>
      <c r="AB85" s="33"/>
      <c r="AC85" s="33"/>
      <c r="AD85" s="33" t="s">
        <v>646</v>
      </c>
      <c r="AE85" t="str">
        <f>VLOOKUP(AD85,GroupLabels!$E$2:$H$145,3,0)</f>
        <v>Macao (China) - Chinese</v>
      </c>
    </row>
    <row r="86" spans="1:31" x14ac:dyDescent="0.25">
      <c r="A86" t="s">
        <v>3234</v>
      </c>
      <c r="B86" s="53">
        <v>0.74</v>
      </c>
      <c r="C86" s="53">
        <v>0.65</v>
      </c>
      <c r="D86" s="77">
        <v>0.87</v>
      </c>
      <c r="E86" s="77">
        <v>0.66</v>
      </c>
      <c r="F86" s="77">
        <v>0.82</v>
      </c>
      <c r="G86" s="77">
        <v>0.85</v>
      </c>
      <c r="H86" s="77">
        <v>0.79</v>
      </c>
      <c r="I86" s="77">
        <v>0.81</v>
      </c>
      <c r="J86" s="77">
        <v>0.8</v>
      </c>
      <c r="K86" s="77">
        <v>0.89</v>
      </c>
      <c r="L86" s="77">
        <v>0.85</v>
      </c>
      <c r="M86" s="77">
        <v>0.89</v>
      </c>
      <c r="N86" s="77">
        <v>0.78</v>
      </c>
      <c r="O86" s="77">
        <v>0.76</v>
      </c>
      <c r="P86" s="77">
        <v>0.85</v>
      </c>
      <c r="Q86" s="77">
        <v>0.82</v>
      </c>
      <c r="R86" s="77">
        <v>0.92</v>
      </c>
      <c r="S86" s="77">
        <v>0.83</v>
      </c>
      <c r="T86" s="77">
        <v>0.81</v>
      </c>
      <c r="U86" s="77">
        <v>0.87</v>
      </c>
      <c r="V86" s="77">
        <v>0.8</v>
      </c>
      <c r="W86" s="77">
        <v>0.74</v>
      </c>
      <c r="X86" s="77">
        <v>0.82</v>
      </c>
      <c r="Y86" s="77">
        <v>0.79</v>
      </c>
      <c r="Z86" s="77">
        <v>0.88</v>
      </c>
      <c r="AA86" s="77">
        <v>0.85</v>
      </c>
      <c r="AB86" s="33"/>
      <c r="AC86" s="33"/>
      <c r="AD86" s="33" t="s">
        <v>647</v>
      </c>
      <c r="AE86" t="str">
        <f>VLOOKUP(AD86,GroupLabels!$E$2:$H$145,3,0)</f>
        <v>Macedonia - Albanian</v>
      </c>
    </row>
    <row r="87" spans="1:31" x14ac:dyDescent="0.25">
      <c r="A87" t="s">
        <v>3172</v>
      </c>
      <c r="B87" s="53">
        <v>0.7</v>
      </c>
      <c r="C87" s="53">
        <v>0.56999999999999995</v>
      </c>
      <c r="D87" s="77">
        <v>0.89</v>
      </c>
      <c r="E87" s="77">
        <v>0.75</v>
      </c>
      <c r="F87" s="77">
        <v>0.85</v>
      </c>
      <c r="G87" s="77">
        <v>0.86</v>
      </c>
      <c r="H87" s="77">
        <v>0.86</v>
      </c>
      <c r="I87" s="77">
        <v>0.85</v>
      </c>
      <c r="J87" s="77">
        <v>0.75</v>
      </c>
      <c r="K87" s="77">
        <v>0.91</v>
      </c>
      <c r="L87" s="77">
        <v>0.88</v>
      </c>
      <c r="M87" s="77">
        <v>0.92</v>
      </c>
      <c r="N87" s="77">
        <v>0.82</v>
      </c>
      <c r="O87" s="77">
        <v>0.82</v>
      </c>
      <c r="P87" s="77">
        <v>0.89</v>
      </c>
      <c r="Q87" s="77">
        <v>0.86</v>
      </c>
      <c r="R87" s="77">
        <v>0.9</v>
      </c>
      <c r="S87" s="77">
        <v>0.88</v>
      </c>
      <c r="T87" s="77">
        <v>0.82</v>
      </c>
      <c r="U87" s="77">
        <v>0.91</v>
      </c>
      <c r="V87" s="77">
        <v>0.81</v>
      </c>
      <c r="W87" s="77">
        <v>0.67</v>
      </c>
      <c r="X87" s="77">
        <v>0.84</v>
      </c>
      <c r="Y87" s="77">
        <v>0.74</v>
      </c>
      <c r="Z87" s="77">
        <v>0.91</v>
      </c>
      <c r="AA87" s="77">
        <v>0.89</v>
      </c>
      <c r="AB87" s="33"/>
      <c r="AC87" s="33"/>
      <c r="AD87" s="33" t="s">
        <v>648</v>
      </c>
      <c r="AE87" t="str">
        <f>VLOOKUP(AD87,GroupLabels!$E$2:$H$145,3,0)</f>
        <v>Macedonia - Macedonian</v>
      </c>
    </row>
    <row r="88" spans="1:31" x14ac:dyDescent="0.25">
      <c r="A88" t="s">
        <v>3013</v>
      </c>
      <c r="B88" s="53">
        <v>0.77</v>
      </c>
      <c r="C88" s="53">
        <v>0.6</v>
      </c>
      <c r="D88" s="77">
        <v>0.87</v>
      </c>
      <c r="E88" s="77">
        <v>0.7</v>
      </c>
      <c r="F88" s="77">
        <v>0.73</v>
      </c>
      <c r="G88" s="77">
        <v>0.85</v>
      </c>
      <c r="H88" s="77">
        <v>0.84</v>
      </c>
      <c r="I88" s="77">
        <v>0.84</v>
      </c>
      <c r="J88" s="77">
        <v>0.73</v>
      </c>
      <c r="K88" s="77">
        <v>0.86</v>
      </c>
      <c r="L88" s="77">
        <v>0.88</v>
      </c>
      <c r="M88" s="77">
        <v>0.88</v>
      </c>
      <c r="N88" s="77">
        <v>0.81</v>
      </c>
      <c r="O88" s="77">
        <v>0.79</v>
      </c>
      <c r="P88" s="77">
        <v>0.89</v>
      </c>
      <c r="Q88" s="77">
        <v>0.78</v>
      </c>
      <c r="R88" s="77">
        <v>0.89</v>
      </c>
      <c r="S88" s="77">
        <v>0.86</v>
      </c>
      <c r="T88" s="77">
        <v>0.81</v>
      </c>
      <c r="U88" s="77">
        <v>0.95</v>
      </c>
      <c r="V88" s="77">
        <v>0.83</v>
      </c>
      <c r="W88" s="77">
        <v>0.72</v>
      </c>
      <c r="X88" s="77">
        <v>0.79</v>
      </c>
      <c r="Y88" s="77">
        <v>0.75</v>
      </c>
      <c r="Z88" s="77">
        <v>0.89</v>
      </c>
      <c r="AA88" s="77">
        <v>0.86</v>
      </c>
      <c r="AB88" s="33"/>
      <c r="AC88" s="33"/>
      <c r="AD88" s="33" t="s">
        <v>649</v>
      </c>
      <c r="AE88" t="str">
        <f>VLOOKUP(AD88,GroupLabels!$E$2:$H$145,3,0)</f>
        <v>Malaysia - English</v>
      </c>
    </row>
    <row r="89" spans="1:31" x14ac:dyDescent="0.25">
      <c r="A89" t="s">
        <v>3179</v>
      </c>
      <c r="B89" s="53">
        <v>0.8</v>
      </c>
      <c r="C89" s="53">
        <v>0.7</v>
      </c>
      <c r="D89" s="77">
        <v>0.88</v>
      </c>
      <c r="E89" s="77">
        <v>0.71</v>
      </c>
      <c r="F89" s="77">
        <v>0.7</v>
      </c>
      <c r="G89" s="77">
        <v>0.78</v>
      </c>
      <c r="H89" s="77">
        <v>0.85</v>
      </c>
      <c r="I89" s="77">
        <v>0.81</v>
      </c>
      <c r="J89" s="77">
        <v>0.74</v>
      </c>
      <c r="K89" s="77">
        <v>0.83</v>
      </c>
      <c r="L89" s="77">
        <v>0.85</v>
      </c>
      <c r="M89" s="77">
        <v>0.88</v>
      </c>
      <c r="N89" s="77">
        <v>0.72</v>
      </c>
      <c r="O89" s="77">
        <v>0.75</v>
      </c>
      <c r="P89" s="77">
        <v>0.88</v>
      </c>
      <c r="Q89" s="77">
        <v>0.78</v>
      </c>
      <c r="R89" s="77">
        <v>0.88</v>
      </c>
      <c r="S89" s="77">
        <v>0.81</v>
      </c>
      <c r="T89" s="77">
        <v>0.81</v>
      </c>
      <c r="U89" s="77">
        <v>0.91</v>
      </c>
      <c r="V89" s="77">
        <v>0.77</v>
      </c>
      <c r="W89" s="77">
        <v>0.67</v>
      </c>
      <c r="X89" s="77">
        <v>0.8</v>
      </c>
      <c r="Y89" s="77">
        <v>0.78</v>
      </c>
      <c r="Z89" s="77">
        <v>0.84</v>
      </c>
      <c r="AA89" s="77">
        <v>0.77</v>
      </c>
      <c r="AB89" s="33"/>
      <c r="AC89" s="33"/>
      <c r="AD89" s="33" t="s">
        <v>650</v>
      </c>
      <c r="AE89" t="str">
        <f>VLOOKUP(AD89,GroupLabels!$E$2:$H$145,3,0)</f>
        <v>Malaysia - Malay</v>
      </c>
    </row>
    <row r="90" spans="1:31" x14ac:dyDescent="0.25">
      <c r="A90" t="s">
        <v>3009</v>
      </c>
      <c r="B90" s="53">
        <v>0.75</v>
      </c>
      <c r="C90" s="53">
        <v>0.65</v>
      </c>
      <c r="D90" s="77">
        <v>0.88</v>
      </c>
      <c r="E90" s="77">
        <v>0.76</v>
      </c>
      <c r="F90" s="77">
        <v>0.83</v>
      </c>
      <c r="G90" s="77">
        <v>0.85</v>
      </c>
      <c r="H90" s="77">
        <v>0.85</v>
      </c>
      <c r="I90" s="77">
        <v>0.87</v>
      </c>
      <c r="J90" s="77">
        <v>0.73</v>
      </c>
      <c r="K90" s="77">
        <v>0.91</v>
      </c>
      <c r="L90" s="77">
        <v>0.89</v>
      </c>
      <c r="M90" s="77">
        <v>0.9</v>
      </c>
      <c r="N90" s="77">
        <v>0.81</v>
      </c>
      <c r="O90" s="77">
        <v>0.82</v>
      </c>
      <c r="P90" s="77">
        <v>0.91</v>
      </c>
      <c r="Q90" s="77">
        <v>0.84</v>
      </c>
      <c r="R90" s="77">
        <v>0.88</v>
      </c>
      <c r="S90" s="77">
        <v>0.88</v>
      </c>
      <c r="T90" s="77">
        <v>0.82</v>
      </c>
      <c r="U90" s="77">
        <v>0.94</v>
      </c>
      <c r="V90" s="77">
        <v>0.84</v>
      </c>
      <c r="W90" s="77">
        <v>0.74</v>
      </c>
      <c r="X90" s="77">
        <v>0.83</v>
      </c>
      <c r="Y90" s="77">
        <v>0.75</v>
      </c>
      <c r="Z90" s="77">
        <v>0.93</v>
      </c>
      <c r="AA90" s="77">
        <v>0.89</v>
      </c>
      <c r="AB90" s="33"/>
      <c r="AC90" s="33"/>
      <c r="AD90" s="33" t="s">
        <v>651</v>
      </c>
      <c r="AE90" t="str">
        <f>VLOOKUP(AD90,GroupLabels!$E$2:$H$145,3,0)</f>
        <v>Malta - English</v>
      </c>
    </row>
    <row r="91" spans="1:31" x14ac:dyDescent="0.25">
      <c r="A91" t="s">
        <v>757</v>
      </c>
      <c r="B91" s="53">
        <v>0.79</v>
      </c>
      <c r="C91" s="53">
        <v>0.68</v>
      </c>
      <c r="D91" s="77" t="s">
        <v>3476</v>
      </c>
      <c r="E91" s="77">
        <v>0.72</v>
      </c>
      <c r="F91" s="77">
        <v>0.7</v>
      </c>
      <c r="G91" s="77" t="s">
        <v>3476</v>
      </c>
      <c r="H91" s="77">
        <v>0.8</v>
      </c>
      <c r="I91" s="77">
        <v>0.8</v>
      </c>
      <c r="J91" s="77">
        <v>0.72</v>
      </c>
      <c r="K91" s="77" t="s">
        <v>3476</v>
      </c>
      <c r="L91" s="77">
        <v>0.83</v>
      </c>
      <c r="M91" s="77">
        <v>0.9</v>
      </c>
      <c r="N91" s="77" t="s">
        <v>3476</v>
      </c>
      <c r="O91" s="77">
        <v>0.67</v>
      </c>
      <c r="P91" s="77">
        <v>0.88</v>
      </c>
      <c r="Q91" s="77">
        <v>0.74</v>
      </c>
      <c r="R91" s="77">
        <v>0.88</v>
      </c>
      <c r="S91" s="77">
        <v>0.78</v>
      </c>
      <c r="T91" s="77" t="s">
        <v>3476</v>
      </c>
      <c r="U91" s="77">
        <v>0.89</v>
      </c>
      <c r="V91" s="77">
        <v>0.78</v>
      </c>
      <c r="W91" s="77">
        <v>0.69</v>
      </c>
      <c r="X91" s="77">
        <v>0.78</v>
      </c>
      <c r="Y91" s="77" t="s">
        <v>3476</v>
      </c>
      <c r="Z91" s="77" t="s">
        <v>3476</v>
      </c>
      <c r="AA91" s="77">
        <v>0.8</v>
      </c>
      <c r="AB91" s="33"/>
      <c r="AC91" s="33"/>
      <c r="AD91" s="33" t="s">
        <v>652</v>
      </c>
      <c r="AE91" t="str">
        <f>VLOOKUP(AD91,GroupLabels!$E$2:$H$145,3,0)</f>
        <v>Mauritius - English</v>
      </c>
    </row>
    <row r="92" spans="1:31" x14ac:dyDescent="0.25">
      <c r="A92" t="s">
        <v>3053</v>
      </c>
      <c r="B92" s="53">
        <v>0.83</v>
      </c>
      <c r="C92" s="53">
        <v>0.74</v>
      </c>
      <c r="D92" s="77">
        <v>0.88</v>
      </c>
      <c r="E92" s="77">
        <v>0.76</v>
      </c>
      <c r="F92" s="77">
        <v>0.74</v>
      </c>
      <c r="G92" s="77">
        <v>0.82</v>
      </c>
      <c r="H92" s="77">
        <v>0.85</v>
      </c>
      <c r="I92" s="77">
        <v>0.89</v>
      </c>
      <c r="J92" s="77">
        <v>0.81</v>
      </c>
      <c r="K92" s="77">
        <v>0.86</v>
      </c>
      <c r="L92" s="77">
        <v>0.85</v>
      </c>
      <c r="M92" s="77">
        <v>0.9</v>
      </c>
      <c r="N92" s="77">
        <v>0.8</v>
      </c>
      <c r="O92" s="77">
        <v>0.72</v>
      </c>
      <c r="P92" s="77">
        <v>0.87</v>
      </c>
      <c r="Q92" s="77">
        <v>0.85</v>
      </c>
      <c r="R92" s="77">
        <v>0.87</v>
      </c>
      <c r="S92" s="77">
        <v>0.81</v>
      </c>
      <c r="T92" s="77">
        <v>0.83</v>
      </c>
      <c r="U92" s="77">
        <v>0.92</v>
      </c>
      <c r="V92" s="77">
        <v>0.82</v>
      </c>
      <c r="W92" s="77">
        <v>0.66</v>
      </c>
      <c r="X92" s="77">
        <v>0.82</v>
      </c>
      <c r="Y92" s="77">
        <v>0.79</v>
      </c>
      <c r="Z92" s="77">
        <v>0.91</v>
      </c>
      <c r="AA92" s="77">
        <v>0.89</v>
      </c>
      <c r="AB92" s="33"/>
      <c r="AC92" s="33"/>
      <c r="AD92" s="33" t="s">
        <v>653</v>
      </c>
      <c r="AE92" t="str">
        <f>VLOOKUP(AD92,GroupLabels!$E$2:$H$145,3,0)</f>
        <v>Mexico - Spanish</v>
      </c>
    </row>
    <row r="93" spans="1:31" x14ac:dyDescent="0.25">
      <c r="A93" t="s">
        <v>3206</v>
      </c>
      <c r="B93" s="53">
        <v>0.76</v>
      </c>
      <c r="C93" s="53">
        <v>0.63</v>
      </c>
      <c r="D93" s="77">
        <v>0.88</v>
      </c>
      <c r="E93" s="77">
        <v>0.7</v>
      </c>
      <c r="F93" s="77">
        <v>0.76</v>
      </c>
      <c r="G93" s="77">
        <v>0.85</v>
      </c>
      <c r="H93" s="77">
        <v>0.85</v>
      </c>
      <c r="I93" s="77">
        <v>0.83</v>
      </c>
      <c r="J93" s="77">
        <v>0.73</v>
      </c>
      <c r="K93" s="77">
        <v>0.89</v>
      </c>
      <c r="L93" s="77">
        <v>0.85</v>
      </c>
      <c r="M93" s="77">
        <v>0.89</v>
      </c>
      <c r="N93" s="77">
        <v>0.77</v>
      </c>
      <c r="O93" s="77">
        <v>0.77</v>
      </c>
      <c r="P93" s="77">
        <v>0.86</v>
      </c>
      <c r="Q93" s="77">
        <v>0.82</v>
      </c>
      <c r="R93" s="77">
        <v>0.92</v>
      </c>
      <c r="S93" s="77">
        <v>0.94</v>
      </c>
      <c r="T93" s="77">
        <v>0.78</v>
      </c>
      <c r="U93" s="77">
        <v>0.89</v>
      </c>
      <c r="V93" s="77">
        <v>0.78</v>
      </c>
      <c r="W93" s="77">
        <v>0.62</v>
      </c>
      <c r="X93" s="77">
        <v>0.81</v>
      </c>
      <c r="Y93" s="77">
        <v>0.77</v>
      </c>
      <c r="Z93" s="77">
        <v>0.89</v>
      </c>
      <c r="AA93" s="77">
        <v>0.85</v>
      </c>
      <c r="AB93" s="33"/>
      <c r="AC93" s="33"/>
      <c r="AD93" s="33" t="s">
        <v>654</v>
      </c>
      <c r="AE93" t="str">
        <f>VLOOKUP(AD93,GroupLabels!$E$2:$H$145,3,0)</f>
        <v>Moldova - Romanian</v>
      </c>
    </row>
    <row r="94" spans="1:31" x14ac:dyDescent="0.25">
      <c r="A94" t="s">
        <v>3215</v>
      </c>
      <c r="B94" s="53">
        <v>0.72</v>
      </c>
      <c r="C94" s="53">
        <v>0.63</v>
      </c>
      <c r="D94" s="77">
        <v>0.89</v>
      </c>
      <c r="E94" s="77">
        <v>0.81</v>
      </c>
      <c r="F94" s="77">
        <v>0.77</v>
      </c>
      <c r="G94" s="77">
        <v>0.88</v>
      </c>
      <c r="H94" s="77">
        <v>0.86</v>
      </c>
      <c r="I94" s="77">
        <v>0.89</v>
      </c>
      <c r="J94" s="77">
        <v>0.77</v>
      </c>
      <c r="K94" s="77">
        <v>0.9</v>
      </c>
      <c r="L94" s="77">
        <v>0.85</v>
      </c>
      <c r="M94" s="77">
        <v>0.9</v>
      </c>
      <c r="N94" s="77">
        <v>0.84</v>
      </c>
      <c r="O94" s="77">
        <v>0.85</v>
      </c>
      <c r="P94" s="77">
        <v>0.89</v>
      </c>
      <c r="Q94" s="77">
        <v>0.89</v>
      </c>
      <c r="R94" s="77">
        <v>0.93</v>
      </c>
      <c r="S94" s="77">
        <v>0.88</v>
      </c>
      <c r="T94" s="77">
        <v>0.81</v>
      </c>
      <c r="U94" s="77">
        <v>0.93</v>
      </c>
      <c r="V94" s="77">
        <v>0.83</v>
      </c>
      <c r="W94" s="77">
        <v>0.65</v>
      </c>
      <c r="X94" s="77">
        <v>0.86</v>
      </c>
      <c r="Y94" s="77">
        <v>0.77</v>
      </c>
      <c r="Z94" s="77">
        <v>0.86</v>
      </c>
      <c r="AA94" s="77">
        <v>0.92</v>
      </c>
      <c r="AB94" s="33"/>
      <c r="AC94" s="33"/>
      <c r="AD94" s="33" t="s">
        <v>655</v>
      </c>
      <c r="AE94" t="str">
        <f>VLOOKUP(AD94,GroupLabels!$E$2:$H$145,3,0)</f>
        <v>Moldova - Russian</v>
      </c>
    </row>
    <row r="95" spans="1:31" x14ac:dyDescent="0.25">
      <c r="A95" t="s">
        <v>3143</v>
      </c>
      <c r="B95" s="53">
        <v>0.74</v>
      </c>
      <c r="C95" s="53">
        <v>0.59</v>
      </c>
      <c r="D95" s="77">
        <v>0.9</v>
      </c>
      <c r="E95" s="77">
        <v>0.66</v>
      </c>
      <c r="F95" s="77">
        <v>0.77</v>
      </c>
      <c r="G95" s="77">
        <v>0.79</v>
      </c>
      <c r="H95" s="77">
        <v>0.89</v>
      </c>
      <c r="I95" s="77">
        <v>0.77</v>
      </c>
      <c r="J95" s="77">
        <v>0.79</v>
      </c>
      <c r="K95" s="77">
        <v>0.74</v>
      </c>
      <c r="L95" s="77">
        <v>0.85</v>
      </c>
      <c r="M95" s="77">
        <v>0.89</v>
      </c>
      <c r="N95" s="77">
        <v>0.74</v>
      </c>
      <c r="O95" s="77">
        <v>0.71</v>
      </c>
      <c r="P95" s="77">
        <v>0.82</v>
      </c>
      <c r="Q95" s="77">
        <v>0.8</v>
      </c>
      <c r="R95" s="77">
        <v>0.88</v>
      </c>
      <c r="S95" s="77">
        <v>0.86</v>
      </c>
      <c r="T95" s="77">
        <v>0.76</v>
      </c>
      <c r="U95" s="77">
        <v>0.92</v>
      </c>
      <c r="V95" s="77">
        <v>0.91</v>
      </c>
      <c r="W95" s="77">
        <v>0.81</v>
      </c>
      <c r="X95" s="77">
        <v>0.85</v>
      </c>
      <c r="Y95" s="77">
        <v>0.54</v>
      </c>
      <c r="Z95" s="77">
        <v>0.91</v>
      </c>
      <c r="AA95" s="77">
        <v>0.85</v>
      </c>
      <c r="AB95" s="33"/>
      <c r="AC95" s="33"/>
      <c r="AD95" s="33" t="s">
        <v>656</v>
      </c>
      <c r="AE95" t="str">
        <f>VLOOKUP(AD95,GroupLabels!$E$2:$H$145,3,0)</f>
        <v>Mongolia - Kazakh</v>
      </c>
    </row>
    <row r="96" spans="1:31" x14ac:dyDescent="0.25">
      <c r="A96" t="s">
        <v>3175</v>
      </c>
      <c r="B96" s="53">
        <v>0.78</v>
      </c>
      <c r="C96" s="53">
        <v>0.65</v>
      </c>
      <c r="D96" s="77">
        <v>0.87</v>
      </c>
      <c r="E96" s="77">
        <v>0.75</v>
      </c>
      <c r="F96" s="77">
        <v>0.78</v>
      </c>
      <c r="G96" s="77">
        <v>0.84</v>
      </c>
      <c r="H96" s="77">
        <v>0.89</v>
      </c>
      <c r="I96" s="77">
        <v>0.85</v>
      </c>
      <c r="J96" s="77">
        <v>0.73</v>
      </c>
      <c r="K96" s="77">
        <v>0.86</v>
      </c>
      <c r="L96" s="77">
        <v>0.85</v>
      </c>
      <c r="M96" s="77">
        <v>0.89</v>
      </c>
      <c r="N96" s="77">
        <v>0.78</v>
      </c>
      <c r="O96" s="77">
        <v>0.79</v>
      </c>
      <c r="P96" s="77">
        <v>0.85</v>
      </c>
      <c r="Q96" s="77">
        <v>0.82</v>
      </c>
      <c r="R96" s="77">
        <v>0.89</v>
      </c>
      <c r="S96" s="77">
        <v>0.84</v>
      </c>
      <c r="T96" s="77">
        <v>0.82</v>
      </c>
      <c r="U96" s="77">
        <v>0.88</v>
      </c>
      <c r="V96" s="77">
        <v>0.82</v>
      </c>
      <c r="W96" s="77">
        <v>0.61</v>
      </c>
      <c r="X96" s="77">
        <v>0.85</v>
      </c>
      <c r="Y96" s="77">
        <v>0.8</v>
      </c>
      <c r="Z96" s="77">
        <v>0.9</v>
      </c>
      <c r="AA96" s="77">
        <v>0.87</v>
      </c>
      <c r="AB96" s="33"/>
      <c r="AC96" s="33"/>
      <c r="AD96" s="33" t="s">
        <v>657</v>
      </c>
      <c r="AE96" t="str">
        <f>VLOOKUP(AD96,GroupLabels!$E$2:$H$145,3,0)</f>
        <v>Mongolia - Mongolian</v>
      </c>
    </row>
    <row r="97" spans="1:31" x14ac:dyDescent="0.25">
      <c r="A97" t="s">
        <v>3233</v>
      </c>
      <c r="B97" s="53">
        <v>0.6</v>
      </c>
      <c r="C97" s="53">
        <v>0.51</v>
      </c>
      <c r="D97" s="77">
        <v>0.9</v>
      </c>
      <c r="E97" s="77">
        <v>0.64</v>
      </c>
      <c r="F97" s="77">
        <v>0.74</v>
      </c>
      <c r="G97" s="77">
        <v>0.86</v>
      </c>
      <c r="H97" s="77">
        <v>0.85</v>
      </c>
      <c r="I97" s="77">
        <v>0.75</v>
      </c>
      <c r="J97" s="77">
        <v>0.9</v>
      </c>
      <c r="K97" s="77">
        <v>0.89</v>
      </c>
      <c r="L97" s="77">
        <v>0.89</v>
      </c>
      <c r="M97" s="77">
        <v>0.83</v>
      </c>
      <c r="N97" s="77">
        <v>0.82</v>
      </c>
      <c r="O97" s="77">
        <v>0.87</v>
      </c>
      <c r="P97" s="77">
        <v>0.87</v>
      </c>
      <c r="Q97" s="77">
        <v>0.78</v>
      </c>
      <c r="R97" s="77">
        <v>0.91</v>
      </c>
      <c r="S97" s="77">
        <v>0.84</v>
      </c>
      <c r="T97" s="77">
        <v>0.87</v>
      </c>
      <c r="U97" s="77">
        <v>0.88</v>
      </c>
      <c r="V97" s="77">
        <v>0.8</v>
      </c>
      <c r="W97" s="77">
        <v>0.86</v>
      </c>
      <c r="X97" s="77">
        <v>0.87</v>
      </c>
      <c r="Y97" s="77">
        <v>0.82</v>
      </c>
      <c r="Z97" s="77">
        <v>0.89</v>
      </c>
      <c r="AA97" s="77">
        <v>0.85</v>
      </c>
      <c r="AB97" s="33"/>
      <c r="AC97" s="33"/>
      <c r="AD97" s="33" t="s">
        <v>658</v>
      </c>
      <c r="AE97" t="str">
        <f>VLOOKUP(AD97,GroupLabels!$E$2:$H$145,3,0)</f>
        <v>Montenegro - Albanian</v>
      </c>
    </row>
    <row r="98" spans="1:31" x14ac:dyDescent="0.25">
      <c r="A98" t="s">
        <v>2941</v>
      </c>
      <c r="B98" s="53">
        <v>0.71</v>
      </c>
      <c r="C98" s="53">
        <v>0.65</v>
      </c>
      <c r="D98" s="77">
        <v>0.88</v>
      </c>
      <c r="E98" s="77">
        <v>0.75</v>
      </c>
      <c r="F98" s="77">
        <v>0.78</v>
      </c>
      <c r="G98" s="77">
        <v>0.86</v>
      </c>
      <c r="H98" s="77">
        <v>0.85</v>
      </c>
      <c r="I98" s="77">
        <v>0.87</v>
      </c>
      <c r="J98" s="77">
        <v>0.75</v>
      </c>
      <c r="K98" s="77">
        <v>0.89</v>
      </c>
      <c r="L98" s="77">
        <v>0.88</v>
      </c>
      <c r="M98" s="77">
        <v>0.93</v>
      </c>
      <c r="N98" s="77">
        <v>0.82</v>
      </c>
      <c r="O98" s="77">
        <v>0.82</v>
      </c>
      <c r="P98" s="77">
        <v>0.89</v>
      </c>
      <c r="Q98" s="77">
        <v>0.86</v>
      </c>
      <c r="R98" s="77">
        <v>0.91</v>
      </c>
      <c r="S98" s="77">
        <v>0.89</v>
      </c>
      <c r="T98" s="77">
        <v>0.82</v>
      </c>
      <c r="U98" s="77">
        <v>0.91</v>
      </c>
      <c r="V98" s="77">
        <v>0.85</v>
      </c>
      <c r="W98" s="77">
        <v>0.64</v>
      </c>
      <c r="X98" s="77">
        <v>0.84</v>
      </c>
      <c r="Y98" s="77">
        <v>0.8</v>
      </c>
      <c r="Z98" s="77">
        <v>0.93</v>
      </c>
      <c r="AA98" s="77">
        <v>0.89</v>
      </c>
      <c r="AB98" s="33"/>
      <c r="AC98" s="33"/>
      <c r="AD98" s="33" t="s">
        <v>659</v>
      </c>
      <c r="AE98" t="str">
        <f>VLOOKUP(AD98,GroupLabels!$E$2:$H$145,3,0)</f>
        <v>Montenegro - Montenegrin</v>
      </c>
    </row>
    <row r="99" spans="1:31" x14ac:dyDescent="0.25">
      <c r="A99" t="s">
        <v>2906</v>
      </c>
      <c r="B99" s="53">
        <v>0.84</v>
      </c>
      <c r="C99" s="53">
        <v>0.74</v>
      </c>
      <c r="D99" s="77">
        <v>0.82</v>
      </c>
      <c r="E99" s="77">
        <v>0.68</v>
      </c>
      <c r="F99" s="77">
        <v>0.74</v>
      </c>
      <c r="G99" s="77">
        <v>0.78</v>
      </c>
      <c r="H99" s="77">
        <v>0.78</v>
      </c>
      <c r="I99" s="77">
        <v>0.76</v>
      </c>
      <c r="J99" s="77">
        <v>0.67</v>
      </c>
      <c r="K99" s="77">
        <v>0.83</v>
      </c>
      <c r="L99" s="77">
        <v>0.78</v>
      </c>
      <c r="M99" s="77">
        <v>0.88</v>
      </c>
      <c r="N99" s="77">
        <v>0.77</v>
      </c>
      <c r="O99" s="77">
        <v>0.73</v>
      </c>
      <c r="P99" s="77">
        <v>0.85</v>
      </c>
      <c r="Q99" s="77">
        <v>0.77</v>
      </c>
      <c r="R99" s="77">
        <v>0.89</v>
      </c>
      <c r="S99" s="77">
        <v>0.76</v>
      </c>
      <c r="T99" s="77">
        <v>0.75</v>
      </c>
      <c r="U99" s="77">
        <v>0.86</v>
      </c>
      <c r="V99" s="77">
        <v>0.83</v>
      </c>
      <c r="W99" s="77">
        <v>0.63</v>
      </c>
      <c r="X99" s="77">
        <v>0.78</v>
      </c>
      <c r="Y99" s="77">
        <v>0.7</v>
      </c>
      <c r="Z99" s="77">
        <v>0.87</v>
      </c>
      <c r="AA99" s="77">
        <v>0.77</v>
      </c>
      <c r="AB99" s="33"/>
      <c r="AC99" s="33"/>
      <c r="AD99" s="33" t="s">
        <v>660</v>
      </c>
      <c r="AE99" t="str">
        <f>VLOOKUP(AD99,GroupLabels!$E$2:$H$145,3,0)</f>
        <v>Morocco - Arabic</v>
      </c>
    </row>
    <row r="100" spans="1:31" x14ac:dyDescent="0.25">
      <c r="A100" t="s">
        <v>3187</v>
      </c>
      <c r="B100" s="53">
        <v>0.69</v>
      </c>
      <c r="C100" s="53">
        <v>0.56999999999999995</v>
      </c>
      <c r="D100" s="77">
        <v>0.86</v>
      </c>
      <c r="E100" s="77">
        <v>0.76</v>
      </c>
      <c r="F100" s="77">
        <v>0.78</v>
      </c>
      <c r="G100" s="77">
        <v>0.8</v>
      </c>
      <c r="H100" s="77">
        <v>0.86</v>
      </c>
      <c r="I100" s="77">
        <v>0.88</v>
      </c>
      <c r="J100" s="77">
        <v>0.8</v>
      </c>
      <c r="K100" s="77">
        <v>0.87</v>
      </c>
      <c r="L100" s="77">
        <v>0.87</v>
      </c>
      <c r="M100" s="77">
        <v>0.92</v>
      </c>
      <c r="N100" s="77">
        <v>0.8</v>
      </c>
      <c r="O100" s="77">
        <v>0.78</v>
      </c>
      <c r="P100" s="77">
        <v>0.88</v>
      </c>
      <c r="Q100" s="77">
        <v>0.81</v>
      </c>
      <c r="R100" s="77">
        <v>0.85</v>
      </c>
      <c r="S100" s="77">
        <v>0.92</v>
      </c>
      <c r="T100" s="77">
        <v>0.74</v>
      </c>
      <c r="U100" s="77">
        <v>0.94</v>
      </c>
      <c r="V100" s="77">
        <v>0.87</v>
      </c>
      <c r="W100" s="77">
        <v>0.74</v>
      </c>
      <c r="X100" s="77">
        <v>0.8</v>
      </c>
      <c r="Y100" s="77">
        <v>0.72</v>
      </c>
      <c r="Z100" s="77">
        <v>0.9</v>
      </c>
      <c r="AA100" s="77">
        <v>0.86</v>
      </c>
      <c r="AB100" s="33"/>
      <c r="AC100" s="33"/>
      <c r="AD100" s="33" t="s">
        <v>661</v>
      </c>
      <c r="AE100" t="str">
        <f>VLOOKUP(AD100,GroupLabels!$E$2:$H$145,3,0)</f>
        <v>Netherlands - Dutch</v>
      </c>
    </row>
    <row r="101" spans="1:31" x14ac:dyDescent="0.25">
      <c r="A101" t="s">
        <v>3016</v>
      </c>
      <c r="B101" s="53">
        <v>0.76</v>
      </c>
      <c r="C101" s="53">
        <v>0.6</v>
      </c>
      <c r="D101" s="77">
        <v>0.9</v>
      </c>
      <c r="E101" s="77">
        <v>0.79</v>
      </c>
      <c r="F101" s="77">
        <v>0.78</v>
      </c>
      <c r="G101" s="77">
        <v>0.85</v>
      </c>
      <c r="H101" s="77">
        <v>0.85</v>
      </c>
      <c r="I101" s="77">
        <v>0.89</v>
      </c>
      <c r="J101" s="77">
        <v>0.78</v>
      </c>
      <c r="K101" s="77">
        <v>0.9</v>
      </c>
      <c r="L101" s="77">
        <v>0.9</v>
      </c>
      <c r="M101" s="77">
        <v>0.88</v>
      </c>
      <c r="N101" s="77">
        <v>0.83</v>
      </c>
      <c r="O101" s="77">
        <v>0.79</v>
      </c>
      <c r="P101" s="77">
        <v>0.89</v>
      </c>
      <c r="Q101" s="77">
        <v>0.83</v>
      </c>
      <c r="R101" s="77">
        <v>0.87</v>
      </c>
      <c r="S101" s="77">
        <v>0.88</v>
      </c>
      <c r="T101" s="77">
        <v>0.85</v>
      </c>
      <c r="U101" s="77">
        <v>0.95</v>
      </c>
      <c r="V101" s="77">
        <v>0.83</v>
      </c>
      <c r="W101" s="77">
        <v>0.79</v>
      </c>
      <c r="X101" s="77">
        <v>0.76</v>
      </c>
      <c r="Y101" s="77">
        <v>0.76</v>
      </c>
      <c r="Z101" s="77">
        <v>0.93</v>
      </c>
      <c r="AA101" s="77">
        <v>0.87</v>
      </c>
      <c r="AB101" s="33"/>
      <c r="AC101" s="33"/>
      <c r="AD101" s="33" t="s">
        <v>662</v>
      </c>
      <c r="AE101" t="str">
        <f>VLOOKUP(AD101,GroupLabels!$E$2:$H$145,3,0)</f>
        <v>New Zealand - English</v>
      </c>
    </row>
    <row r="102" spans="1:31" x14ac:dyDescent="0.25">
      <c r="A102" t="s">
        <v>760</v>
      </c>
      <c r="B102" s="53">
        <v>0.73</v>
      </c>
      <c r="C102" s="53">
        <v>0.62</v>
      </c>
      <c r="D102" s="77">
        <v>0.89</v>
      </c>
      <c r="E102" s="77">
        <v>0.82</v>
      </c>
      <c r="F102" s="77">
        <v>0.82</v>
      </c>
      <c r="G102" s="77" t="s">
        <v>3476</v>
      </c>
      <c r="H102" s="77">
        <v>0.87</v>
      </c>
      <c r="I102" s="77">
        <v>0.88</v>
      </c>
      <c r="J102" s="77" t="s">
        <v>3476</v>
      </c>
      <c r="K102" s="77">
        <v>0.88</v>
      </c>
      <c r="L102" s="77">
        <v>0.88</v>
      </c>
      <c r="M102" s="77">
        <v>0.88</v>
      </c>
      <c r="N102" s="77">
        <v>0.84</v>
      </c>
      <c r="O102" s="77">
        <v>0.82</v>
      </c>
      <c r="P102" s="77">
        <v>0.89</v>
      </c>
      <c r="Q102" s="77">
        <v>0.82</v>
      </c>
      <c r="R102" s="77">
        <v>0.88</v>
      </c>
      <c r="S102" s="77">
        <v>0.9</v>
      </c>
      <c r="T102" s="77">
        <v>0.85</v>
      </c>
      <c r="U102" s="77">
        <v>0.94</v>
      </c>
      <c r="V102" s="77">
        <v>0.84</v>
      </c>
      <c r="W102" s="77">
        <v>0.7</v>
      </c>
      <c r="X102" s="77">
        <v>0.83</v>
      </c>
      <c r="Y102" s="77">
        <v>0.79</v>
      </c>
      <c r="Z102" s="77">
        <v>0.92</v>
      </c>
      <c r="AA102" s="77">
        <v>0.9</v>
      </c>
      <c r="AB102" s="33"/>
      <c r="AC102" s="33"/>
      <c r="AD102" s="33" t="s">
        <v>663</v>
      </c>
      <c r="AE102" t="str">
        <f>VLOOKUP(AD102,GroupLabels!$E$2:$H$145,3,0)</f>
        <v>Norway - Norwegian Bokmål</v>
      </c>
    </row>
    <row r="103" spans="1:31" x14ac:dyDescent="0.25">
      <c r="A103" t="s">
        <v>761</v>
      </c>
      <c r="B103" s="53">
        <v>0.68</v>
      </c>
      <c r="C103" s="53">
        <v>0.61</v>
      </c>
      <c r="D103" s="77">
        <v>0.89</v>
      </c>
      <c r="E103" s="77">
        <v>0.81</v>
      </c>
      <c r="F103" s="77">
        <v>0.83</v>
      </c>
      <c r="G103" s="77" t="s">
        <v>3476</v>
      </c>
      <c r="H103" s="77">
        <v>0.86</v>
      </c>
      <c r="I103" s="77">
        <v>0.9</v>
      </c>
      <c r="J103" s="77" t="s">
        <v>3476</v>
      </c>
      <c r="K103" s="77">
        <v>0.87</v>
      </c>
      <c r="L103" s="77">
        <v>0.88</v>
      </c>
      <c r="M103" s="77">
        <v>0.86</v>
      </c>
      <c r="N103" s="77">
        <v>0.83</v>
      </c>
      <c r="O103" s="77">
        <v>0.79</v>
      </c>
      <c r="P103" s="77">
        <v>0.88</v>
      </c>
      <c r="Q103" s="77">
        <v>0.82</v>
      </c>
      <c r="R103" s="77">
        <v>0.89</v>
      </c>
      <c r="S103" s="77">
        <v>0.9</v>
      </c>
      <c r="T103" s="77">
        <v>0.86</v>
      </c>
      <c r="U103" s="77">
        <v>0.94</v>
      </c>
      <c r="V103" s="77">
        <v>0.85</v>
      </c>
      <c r="W103" s="77">
        <v>0.69</v>
      </c>
      <c r="X103" s="77">
        <v>0.84</v>
      </c>
      <c r="Y103" s="77">
        <v>0.81</v>
      </c>
      <c r="Z103" s="77">
        <v>0.92</v>
      </c>
      <c r="AA103" s="77">
        <v>0.9</v>
      </c>
      <c r="AB103" s="33"/>
      <c r="AC103" s="33"/>
      <c r="AD103" s="33" t="s">
        <v>664</v>
      </c>
      <c r="AE103" t="str">
        <f>VLOOKUP(AD103,GroupLabels!$E$2:$H$145,3,0)</f>
        <v>Norway - Nynorsk</v>
      </c>
    </row>
    <row r="104" spans="1:31" x14ac:dyDescent="0.25">
      <c r="A104" t="s">
        <v>2909</v>
      </c>
      <c r="B104" s="53">
        <v>0.78</v>
      </c>
      <c r="C104" s="53">
        <v>0.7</v>
      </c>
      <c r="D104" s="77">
        <v>0.89</v>
      </c>
      <c r="E104" s="77">
        <v>0.65</v>
      </c>
      <c r="F104" s="77">
        <v>0.77</v>
      </c>
      <c r="G104" s="77">
        <v>0.82</v>
      </c>
      <c r="H104" s="77">
        <v>0.86</v>
      </c>
      <c r="I104" s="77">
        <v>0.82</v>
      </c>
      <c r="J104" s="77">
        <v>0.75</v>
      </c>
      <c r="K104" s="77">
        <v>0.88</v>
      </c>
      <c r="L104" s="77">
        <v>0.86</v>
      </c>
      <c r="M104" s="77">
        <v>0.89</v>
      </c>
      <c r="N104" s="77">
        <v>0.77</v>
      </c>
      <c r="O104" s="77">
        <v>0.8</v>
      </c>
      <c r="P104" s="77">
        <v>0.85</v>
      </c>
      <c r="Q104" s="77">
        <v>0.84</v>
      </c>
      <c r="R104" s="77">
        <v>0.89</v>
      </c>
      <c r="S104" s="77">
        <v>0.84</v>
      </c>
      <c r="T104" s="77">
        <v>0.78</v>
      </c>
      <c r="U104" s="77">
        <v>0.9</v>
      </c>
      <c r="V104" s="77">
        <v>0.85</v>
      </c>
      <c r="W104" s="77">
        <v>0.72</v>
      </c>
      <c r="X104" s="77">
        <v>0.84</v>
      </c>
      <c r="Y104" s="77">
        <v>0.81</v>
      </c>
      <c r="Z104" s="77">
        <v>0.9</v>
      </c>
      <c r="AA104" s="77">
        <v>0.84</v>
      </c>
      <c r="AB104" s="33"/>
      <c r="AC104" s="33"/>
      <c r="AD104" s="33" t="s">
        <v>665</v>
      </c>
      <c r="AE104" t="str">
        <f>VLOOKUP(AD104,GroupLabels!$E$2:$H$145,3,0)</f>
        <v>Palestinian Authority - Arabic*</v>
      </c>
    </row>
    <row r="105" spans="1:31" x14ac:dyDescent="0.25">
      <c r="A105" t="s">
        <v>3019</v>
      </c>
      <c r="B105" s="53">
        <v>0.66</v>
      </c>
      <c r="C105" s="53">
        <v>0.75</v>
      </c>
      <c r="D105" s="77">
        <v>0.88</v>
      </c>
      <c r="E105" s="77">
        <v>0.8</v>
      </c>
      <c r="F105" s="77">
        <v>0.83</v>
      </c>
      <c r="G105" s="77">
        <v>0.89</v>
      </c>
      <c r="H105" s="77">
        <v>0.77</v>
      </c>
      <c r="I105" s="77">
        <v>0.82</v>
      </c>
      <c r="J105" s="77">
        <v>0.86</v>
      </c>
      <c r="K105" s="77">
        <v>0.84</v>
      </c>
      <c r="L105" s="77">
        <v>0.87</v>
      </c>
      <c r="M105" s="77">
        <v>0.82</v>
      </c>
      <c r="N105" s="77">
        <v>0.87</v>
      </c>
      <c r="O105" s="77">
        <v>0.88</v>
      </c>
      <c r="P105" s="77">
        <v>0.94</v>
      </c>
      <c r="Q105" s="77">
        <v>0.84</v>
      </c>
      <c r="R105" s="77">
        <v>0.84</v>
      </c>
      <c r="S105" s="77">
        <v>0.78</v>
      </c>
      <c r="T105" s="77">
        <v>0.85</v>
      </c>
      <c r="U105" s="77">
        <v>0.87</v>
      </c>
      <c r="V105" s="77">
        <v>0.85</v>
      </c>
      <c r="W105" s="77">
        <v>0.81</v>
      </c>
      <c r="X105" s="77">
        <v>0.83</v>
      </c>
      <c r="Y105" s="77">
        <v>0.85</v>
      </c>
      <c r="Z105" s="77">
        <v>0.92</v>
      </c>
      <c r="AA105" s="77">
        <v>0.89</v>
      </c>
      <c r="AB105" s="33"/>
      <c r="AC105" s="33"/>
      <c r="AD105" s="33" t="s">
        <v>666</v>
      </c>
      <c r="AE105" t="str">
        <f>VLOOKUP(AD105,GroupLabels!$E$2:$H$145,3,0)</f>
        <v>Palestinian Authority - English*</v>
      </c>
    </row>
    <row r="106" spans="1:31" x14ac:dyDescent="0.25">
      <c r="A106" t="s">
        <v>3059</v>
      </c>
      <c r="B106" s="53">
        <v>0.82</v>
      </c>
      <c r="C106" s="53">
        <v>0.71</v>
      </c>
      <c r="D106" s="77">
        <v>0.87</v>
      </c>
      <c r="E106" s="77">
        <v>0.68</v>
      </c>
      <c r="F106" s="77">
        <v>0.71</v>
      </c>
      <c r="G106" s="77">
        <v>0.84</v>
      </c>
      <c r="H106" s="77">
        <v>0.85</v>
      </c>
      <c r="I106" s="77">
        <v>0.87</v>
      </c>
      <c r="J106" s="77">
        <v>0.81</v>
      </c>
      <c r="K106" s="77">
        <v>0.87</v>
      </c>
      <c r="L106" s="77">
        <v>0.86</v>
      </c>
      <c r="M106" s="77">
        <v>0.91</v>
      </c>
      <c r="N106" s="77">
        <v>0.82</v>
      </c>
      <c r="O106" s="77">
        <v>0.77</v>
      </c>
      <c r="P106" s="77">
        <v>0.88</v>
      </c>
      <c r="Q106" s="77">
        <v>0.87</v>
      </c>
      <c r="R106" s="77">
        <v>0.92</v>
      </c>
      <c r="S106" s="77">
        <v>0.82</v>
      </c>
      <c r="T106" s="77">
        <v>0.84</v>
      </c>
      <c r="U106" s="77">
        <v>0.93</v>
      </c>
      <c r="V106" s="77">
        <v>0.81</v>
      </c>
      <c r="W106" s="77">
        <v>0.79</v>
      </c>
      <c r="X106" s="77">
        <v>0.8</v>
      </c>
      <c r="Y106" s="77">
        <v>0.81</v>
      </c>
      <c r="Z106" s="77">
        <v>0.88</v>
      </c>
      <c r="AA106" s="77">
        <v>0.91</v>
      </c>
      <c r="AB106" s="33"/>
      <c r="AC106" s="33"/>
      <c r="AD106" s="33" t="s">
        <v>667</v>
      </c>
      <c r="AE106" t="str">
        <f>VLOOKUP(AD106,GroupLabels!$E$2:$H$145,3,0)</f>
        <v>Paraguay - Spanish</v>
      </c>
    </row>
    <row r="107" spans="1:31" x14ac:dyDescent="0.25">
      <c r="A107" t="s">
        <v>3056</v>
      </c>
      <c r="B107" s="53">
        <v>0.87</v>
      </c>
      <c r="C107" s="53">
        <v>0.8</v>
      </c>
      <c r="D107" s="77">
        <v>0.88</v>
      </c>
      <c r="E107" s="77">
        <v>0.67</v>
      </c>
      <c r="F107" s="77">
        <v>0.72</v>
      </c>
      <c r="G107" s="77">
        <v>0.82</v>
      </c>
      <c r="H107" s="77">
        <v>0.84</v>
      </c>
      <c r="I107" s="77">
        <v>0.88</v>
      </c>
      <c r="J107" s="77">
        <v>0.8</v>
      </c>
      <c r="K107" s="77">
        <v>0.85</v>
      </c>
      <c r="L107" s="77">
        <v>0.86</v>
      </c>
      <c r="M107" s="77">
        <v>0.91</v>
      </c>
      <c r="N107" s="77">
        <v>0.8</v>
      </c>
      <c r="O107" s="77">
        <v>0.76</v>
      </c>
      <c r="P107" s="77">
        <v>0.87</v>
      </c>
      <c r="Q107" s="77">
        <v>0.85</v>
      </c>
      <c r="R107" s="77">
        <v>0.89</v>
      </c>
      <c r="S107" s="77">
        <v>0.83</v>
      </c>
      <c r="T107" s="77">
        <v>0.85</v>
      </c>
      <c r="U107" s="77">
        <v>0.92</v>
      </c>
      <c r="V107" s="77">
        <v>0.79</v>
      </c>
      <c r="W107" s="77">
        <v>0.66</v>
      </c>
      <c r="X107" s="77">
        <v>0.84</v>
      </c>
      <c r="Y107" s="77">
        <v>0.8</v>
      </c>
      <c r="Z107" s="77">
        <v>0.91</v>
      </c>
      <c r="AA107" s="77">
        <v>0.89</v>
      </c>
      <c r="AB107" s="33"/>
      <c r="AC107" s="33"/>
      <c r="AD107" s="33" t="s">
        <v>668</v>
      </c>
      <c r="AE107" t="str">
        <f>VLOOKUP(AD107,GroupLabels!$E$2:$H$145,3,0)</f>
        <v>Peru - Spanish</v>
      </c>
    </row>
    <row r="108" spans="1:31" x14ac:dyDescent="0.25">
      <c r="A108" t="s">
        <v>3018</v>
      </c>
      <c r="B108" s="53">
        <v>0.86</v>
      </c>
      <c r="C108" s="53">
        <v>0.71</v>
      </c>
      <c r="D108" s="77">
        <v>0.87</v>
      </c>
      <c r="E108" s="77">
        <v>0.69</v>
      </c>
      <c r="F108" s="77">
        <v>0.74</v>
      </c>
      <c r="G108" s="77">
        <v>0.82</v>
      </c>
      <c r="H108" s="77">
        <v>0.86</v>
      </c>
      <c r="I108" s="77">
        <v>0.88</v>
      </c>
      <c r="J108" s="77">
        <v>0.78</v>
      </c>
      <c r="K108" s="77">
        <v>0.83</v>
      </c>
      <c r="L108" s="77">
        <v>0.83</v>
      </c>
      <c r="M108" s="77">
        <v>0.9</v>
      </c>
      <c r="N108" s="77">
        <v>0.78</v>
      </c>
      <c r="O108" s="77">
        <v>0.73</v>
      </c>
      <c r="P108" s="77">
        <v>0.88</v>
      </c>
      <c r="Q108" s="77">
        <v>0.82</v>
      </c>
      <c r="R108" s="77">
        <v>0.88</v>
      </c>
      <c r="S108" s="77">
        <v>0.82</v>
      </c>
      <c r="T108" s="77">
        <v>0.82</v>
      </c>
      <c r="U108" s="77">
        <v>0.91</v>
      </c>
      <c r="V108" s="77">
        <v>0.75</v>
      </c>
      <c r="W108" s="77">
        <v>0.6</v>
      </c>
      <c r="X108" s="77">
        <v>0.78</v>
      </c>
      <c r="Y108" s="77">
        <v>0.75</v>
      </c>
      <c r="Z108" s="77">
        <v>0.84</v>
      </c>
      <c r="AA108" s="77">
        <v>0.85</v>
      </c>
      <c r="AB108" s="33"/>
      <c r="AC108" s="33"/>
      <c r="AD108" s="33" t="s">
        <v>669</v>
      </c>
      <c r="AE108" t="str">
        <f>VLOOKUP(AD108,GroupLabels!$E$2:$H$145,3,0)</f>
        <v>Philippines - English</v>
      </c>
    </row>
    <row r="109" spans="1:31" x14ac:dyDescent="0.25">
      <c r="A109" t="s">
        <v>3194</v>
      </c>
      <c r="B109" s="53">
        <v>0.72</v>
      </c>
      <c r="C109" s="53">
        <v>0.54</v>
      </c>
      <c r="D109" s="77">
        <v>0.89</v>
      </c>
      <c r="E109" s="77">
        <v>0.76</v>
      </c>
      <c r="F109" s="77">
        <v>0.82</v>
      </c>
      <c r="G109" s="77">
        <v>0.85</v>
      </c>
      <c r="H109" s="77">
        <v>0.84</v>
      </c>
      <c r="I109" s="77">
        <v>0.85</v>
      </c>
      <c r="J109" s="77">
        <v>0.76</v>
      </c>
      <c r="K109" s="77">
        <v>0.9</v>
      </c>
      <c r="L109" s="77">
        <v>0.86</v>
      </c>
      <c r="M109" s="77">
        <v>0.9</v>
      </c>
      <c r="N109" s="77">
        <v>0.77</v>
      </c>
      <c r="O109" s="77">
        <v>0.77</v>
      </c>
      <c r="P109" s="77">
        <v>0.88</v>
      </c>
      <c r="Q109" s="77">
        <v>0.82</v>
      </c>
      <c r="R109" s="77">
        <v>0.88</v>
      </c>
      <c r="S109" s="77">
        <v>0.86</v>
      </c>
      <c r="T109" s="77">
        <v>0.8</v>
      </c>
      <c r="U109" s="77">
        <v>0.91</v>
      </c>
      <c r="V109" s="77">
        <v>0.79</v>
      </c>
      <c r="W109" s="77">
        <v>0.67</v>
      </c>
      <c r="X109" s="77">
        <v>0.79</v>
      </c>
      <c r="Y109" s="77">
        <v>0.69</v>
      </c>
      <c r="Z109" s="77">
        <v>0.89</v>
      </c>
      <c r="AA109" s="77">
        <v>0.9</v>
      </c>
      <c r="AB109" s="33"/>
      <c r="AC109" s="33"/>
      <c r="AD109" s="33" t="s">
        <v>670</v>
      </c>
      <c r="AE109" t="str">
        <f>VLOOKUP(AD109,GroupLabels!$E$2:$H$145,3,0)</f>
        <v>Poland - Polish</v>
      </c>
    </row>
    <row r="110" spans="1:31" x14ac:dyDescent="0.25">
      <c r="A110" t="s">
        <v>3202</v>
      </c>
      <c r="B110" s="53">
        <v>0.78</v>
      </c>
      <c r="C110" s="53">
        <v>0.56999999999999995</v>
      </c>
      <c r="D110" s="77">
        <v>0.87</v>
      </c>
      <c r="E110" s="77">
        <v>0.77</v>
      </c>
      <c r="F110" s="77">
        <v>0.77</v>
      </c>
      <c r="G110" s="77">
        <v>0.82</v>
      </c>
      <c r="H110" s="77">
        <v>0.87</v>
      </c>
      <c r="I110" s="77">
        <v>0.86</v>
      </c>
      <c r="J110" s="77">
        <v>0.77</v>
      </c>
      <c r="K110" s="77">
        <v>0.89</v>
      </c>
      <c r="L110" s="77">
        <v>0.9</v>
      </c>
      <c r="M110" s="77">
        <v>0.9</v>
      </c>
      <c r="N110" s="77">
        <v>0.77</v>
      </c>
      <c r="O110" s="77">
        <v>0.77</v>
      </c>
      <c r="P110" s="77">
        <v>0.89</v>
      </c>
      <c r="Q110" s="77">
        <v>0.84</v>
      </c>
      <c r="R110" s="77">
        <v>0.9</v>
      </c>
      <c r="S110" s="77">
        <v>0.87</v>
      </c>
      <c r="T110" s="77">
        <v>0.84</v>
      </c>
      <c r="U110" s="77">
        <v>0.94</v>
      </c>
      <c r="V110" s="77">
        <v>0.83</v>
      </c>
      <c r="W110" s="77">
        <v>0.73</v>
      </c>
      <c r="X110" s="77">
        <v>0.85</v>
      </c>
      <c r="Y110" s="77">
        <v>0.74</v>
      </c>
      <c r="Z110" s="77">
        <v>0.93</v>
      </c>
      <c r="AA110" s="77">
        <v>0.87</v>
      </c>
      <c r="AB110" s="33"/>
      <c r="AC110" s="33"/>
      <c r="AD110" s="33" t="s">
        <v>671</v>
      </c>
      <c r="AE110" t="str">
        <f>VLOOKUP(AD110,GroupLabels!$E$2:$H$145,3,0)</f>
        <v>Portugal - Portuguese</v>
      </c>
    </row>
    <row r="111" spans="1:31" x14ac:dyDescent="0.25">
      <c r="A111" t="s">
        <v>2912</v>
      </c>
      <c r="B111" s="53">
        <v>0.82</v>
      </c>
      <c r="C111" s="53">
        <v>0.73</v>
      </c>
      <c r="D111" s="77">
        <v>0.91</v>
      </c>
      <c r="E111" s="77">
        <v>0.72</v>
      </c>
      <c r="F111" s="77">
        <v>0.85</v>
      </c>
      <c r="G111" s="77">
        <v>0.88</v>
      </c>
      <c r="H111" s="77">
        <v>0.92</v>
      </c>
      <c r="I111" s="77">
        <v>0.89</v>
      </c>
      <c r="J111" s="77">
        <v>0.81</v>
      </c>
      <c r="K111" s="77">
        <v>0.91</v>
      </c>
      <c r="L111" s="77">
        <v>0.9</v>
      </c>
      <c r="M111" s="77">
        <v>0.94</v>
      </c>
      <c r="N111" s="77">
        <v>0.84</v>
      </c>
      <c r="O111" s="77">
        <v>0.87</v>
      </c>
      <c r="P111" s="77">
        <v>0.9</v>
      </c>
      <c r="Q111" s="77">
        <v>0.87</v>
      </c>
      <c r="R111" s="77">
        <v>0.91</v>
      </c>
      <c r="S111" s="77">
        <v>0.86</v>
      </c>
      <c r="T111" s="77">
        <v>0.85</v>
      </c>
      <c r="U111" s="77">
        <v>0.94</v>
      </c>
      <c r="V111" s="77">
        <v>0.88</v>
      </c>
      <c r="W111" s="77">
        <v>0.78</v>
      </c>
      <c r="X111" s="77">
        <v>0.89</v>
      </c>
      <c r="Y111" s="77">
        <v>0.87</v>
      </c>
      <c r="Z111" s="77">
        <v>0.93</v>
      </c>
      <c r="AA111" s="77">
        <v>0.91</v>
      </c>
      <c r="AB111" s="33"/>
      <c r="AC111" s="33"/>
      <c r="AD111" s="33" t="s">
        <v>672</v>
      </c>
      <c r="AE111" t="str">
        <f>VLOOKUP(AD111,GroupLabels!$E$2:$H$145,3,0)</f>
        <v>Qatar - Arabic</v>
      </c>
    </row>
    <row r="112" spans="1:31" x14ac:dyDescent="0.25">
      <c r="A112" t="s">
        <v>3020</v>
      </c>
      <c r="B112" s="53">
        <v>0.81</v>
      </c>
      <c r="C112" s="53">
        <v>0.7</v>
      </c>
      <c r="D112" s="77">
        <v>0.85</v>
      </c>
      <c r="E112" s="77">
        <v>0.74</v>
      </c>
      <c r="F112" s="77">
        <v>0.79</v>
      </c>
      <c r="G112" s="77">
        <v>0.81</v>
      </c>
      <c r="H112" s="77">
        <v>0.81</v>
      </c>
      <c r="I112" s="77">
        <v>0.87</v>
      </c>
      <c r="J112" s="77">
        <v>0.75</v>
      </c>
      <c r="K112" s="77">
        <v>0.87</v>
      </c>
      <c r="L112" s="77">
        <v>0.83</v>
      </c>
      <c r="M112" s="77">
        <v>0.88</v>
      </c>
      <c r="N112" s="77">
        <v>0.8</v>
      </c>
      <c r="O112" s="77">
        <v>0.79</v>
      </c>
      <c r="P112" s="77">
        <v>0.87</v>
      </c>
      <c r="Q112" s="77">
        <v>0.83</v>
      </c>
      <c r="R112" s="77">
        <v>0.88</v>
      </c>
      <c r="S112" s="77">
        <v>0.87</v>
      </c>
      <c r="T112" s="77">
        <v>0.8</v>
      </c>
      <c r="U112" s="77">
        <v>0.93</v>
      </c>
      <c r="V112" s="77">
        <v>0.82</v>
      </c>
      <c r="W112" s="77">
        <v>0.71</v>
      </c>
      <c r="X112" s="77">
        <v>0.8</v>
      </c>
      <c r="Y112" s="77">
        <v>0.76</v>
      </c>
      <c r="Z112" s="77">
        <v>0.91</v>
      </c>
      <c r="AA112" s="77">
        <v>0.87</v>
      </c>
      <c r="AB112" s="33"/>
      <c r="AC112" s="33"/>
      <c r="AD112" s="33" t="s">
        <v>673</v>
      </c>
      <c r="AE112" t="str">
        <f>VLOOKUP(AD112,GroupLabels!$E$2:$H$145,3,0)</f>
        <v>Qatar - English</v>
      </c>
    </row>
    <row r="113" spans="1:31" x14ac:dyDescent="0.25">
      <c r="A113" t="s">
        <v>3106</v>
      </c>
      <c r="B113" s="53">
        <v>0.75</v>
      </c>
      <c r="C113" s="53">
        <v>0.61</v>
      </c>
      <c r="D113" s="77">
        <v>0.85</v>
      </c>
      <c r="E113" s="77">
        <v>0.73</v>
      </c>
      <c r="F113" s="77">
        <v>0.8</v>
      </c>
      <c r="G113" s="77">
        <v>0.82</v>
      </c>
      <c r="H113" s="77">
        <v>0.75</v>
      </c>
      <c r="I113" s="77">
        <v>0.78</v>
      </c>
      <c r="J113" s="77">
        <v>0.74</v>
      </c>
      <c r="K113" s="77">
        <v>0.88</v>
      </c>
      <c r="L113" s="77">
        <v>0.81</v>
      </c>
      <c r="M113" s="77">
        <v>0.85</v>
      </c>
      <c r="N113" s="77">
        <v>0.74</v>
      </c>
      <c r="O113" s="77">
        <v>0.7</v>
      </c>
      <c r="P113" s="77">
        <v>0.82</v>
      </c>
      <c r="Q113" s="77">
        <v>0.76</v>
      </c>
      <c r="R113" s="77">
        <v>0.88</v>
      </c>
      <c r="S113" s="77">
        <v>0.86</v>
      </c>
      <c r="T113" s="77">
        <v>0.74</v>
      </c>
      <c r="U113" s="77">
        <v>0.9</v>
      </c>
      <c r="V113" s="77">
        <v>0.79</v>
      </c>
      <c r="W113" s="77">
        <v>0.73</v>
      </c>
      <c r="X113" s="77">
        <v>0.78</v>
      </c>
      <c r="Y113" s="77">
        <v>0.71</v>
      </c>
      <c r="Z113" s="77">
        <v>0.87</v>
      </c>
      <c r="AA113" s="77">
        <v>0.79</v>
      </c>
      <c r="AB113" s="33"/>
      <c r="AC113" s="33"/>
      <c r="AD113" s="33" t="s">
        <v>674</v>
      </c>
      <c r="AE113" t="str">
        <f>VLOOKUP(AD113,GroupLabels!$E$2:$H$145,3,0)</f>
        <v>Romania - Hungarian</v>
      </c>
    </row>
    <row r="114" spans="1:31" x14ac:dyDescent="0.25">
      <c r="A114" t="s">
        <v>3207</v>
      </c>
      <c r="B114" s="53">
        <v>0.76</v>
      </c>
      <c r="C114" s="53">
        <v>0.65</v>
      </c>
      <c r="D114" s="77">
        <v>0.89</v>
      </c>
      <c r="E114" s="77">
        <v>0.81</v>
      </c>
      <c r="F114" s="77">
        <v>0.79</v>
      </c>
      <c r="G114" s="77">
        <v>0.86</v>
      </c>
      <c r="H114" s="77">
        <v>0.86</v>
      </c>
      <c r="I114" s="77">
        <v>0.86</v>
      </c>
      <c r="J114" s="77">
        <v>0.75</v>
      </c>
      <c r="K114" s="77">
        <v>0.9</v>
      </c>
      <c r="L114" s="77">
        <v>0.87</v>
      </c>
      <c r="M114" s="77">
        <v>0.93</v>
      </c>
      <c r="N114" s="77">
        <v>0.78</v>
      </c>
      <c r="O114" s="77">
        <v>0.79</v>
      </c>
      <c r="P114" s="77">
        <v>0.87</v>
      </c>
      <c r="Q114" s="77">
        <v>0.83</v>
      </c>
      <c r="R114" s="77">
        <v>0.93</v>
      </c>
      <c r="S114" s="77">
        <v>0.87</v>
      </c>
      <c r="T114" s="77">
        <v>0.8</v>
      </c>
      <c r="U114" s="77">
        <v>0.91</v>
      </c>
      <c r="V114" s="77">
        <v>0.84</v>
      </c>
      <c r="W114" s="77">
        <v>0.72</v>
      </c>
      <c r="X114" s="77">
        <v>0.83</v>
      </c>
      <c r="Y114" s="77">
        <v>0.76</v>
      </c>
      <c r="Z114" s="77">
        <v>0.91</v>
      </c>
      <c r="AA114" s="77">
        <v>0.85</v>
      </c>
      <c r="AB114" s="33"/>
      <c r="AC114" s="33"/>
      <c r="AD114" s="33" t="s">
        <v>675</v>
      </c>
      <c r="AE114" t="str">
        <f>VLOOKUP(AD114,GroupLabels!$E$2:$H$145,3,0)</f>
        <v>Romania - Romanian</v>
      </c>
    </row>
    <row r="115" spans="1:31" x14ac:dyDescent="0.25">
      <c r="A115" t="s">
        <v>758</v>
      </c>
      <c r="B115" s="53">
        <v>0.82</v>
      </c>
      <c r="C115" s="53">
        <v>0.72</v>
      </c>
      <c r="D115" s="77" t="s">
        <v>3476</v>
      </c>
      <c r="E115" s="77">
        <v>0.5</v>
      </c>
      <c r="F115" s="77">
        <v>0.6</v>
      </c>
      <c r="G115" s="77" t="s">
        <v>3476</v>
      </c>
      <c r="H115" s="77">
        <v>0.8</v>
      </c>
      <c r="I115" s="77">
        <v>0.72</v>
      </c>
      <c r="J115" s="77">
        <v>0.75</v>
      </c>
      <c r="K115" s="77" t="s">
        <v>3476</v>
      </c>
      <c r="L115" s="77">
        <v>0.7</v>
      </c>
      <c r="M115" s="77">
        <v>0.77</v>
      </c>
      <c r="N115" s="77" t="s">
        <v>3476</v>
      </c>
      <c r="O115" s="77">
        <v>0.63</v>
      </c>
      <c r="P115" s="77">
        <v>0.81</v>
      </c>
      <c r="Q115" s="77">
        <v>0.76</v>
      </c>
      <c r="R115" s="77">
        <v>0.85</v>
      </c>
      <c r="S115" s="77">
        <v>0.7</v>
      </c>
      <c r="T115" s="77" t="s">
        <v>3476</v>
      </c>
      <c r="U115" s="77">
        <v>0.79</v>
      </c>
      <c r="V115" s="77">
        <v>0.72</v>
      </c>
      <c r="W115" s="77">
        <v>0.73</v>
      </c>
      <c r="X115" s="77">
        <v>0.77</v>
      </c>
      <c r="Y115" s="77" t="s">
        <v>3476</v>
      </c>
      <c r="Z115" s="77" t="s">
        <v>3476</v>
      </c>
      <c r="AA115" s="77">
        <v>0.72</v>
      </c>
      <c r="AB115" s="33"/>
      <c r="AC115" s="33"/>
      <c r="AD115" s="33" t="s">
        <v>676</v>
      </c>
      <c r="AE115" t="str">
        <f>VLOOKUP(AD115,GroupLabels!$E$2:$H$145,3,0)</f>
        <v>Rwanda - English</v>
      </c>
    </row>
    <row r="116" spans="1:31" x14ac:dyDescent="0.25">
      <c r="A116" t="s">
        <v>2915</v>
      </c>
      <c r="B116" s="53">
        <v>0.82</v>
      </c>
      <c r="C116" s="53">
        <v>0.73</v>
      </c>
      <c r="D116" s="77">
        <v>0.91</v>
      </c>
      <c r="E116" s="77">
        <v>0.78</v>
      </c>
      <c r="F116" s="77">
        <v>0.79</v>
      </c>
      <c r="G116" s="77">
        <v>0.89</v>
      </c>
      <c r="H116" s="77">
        <v>0.91</v>
      </c>
      <c r="I116" s="77">
        <v>0.91</v>
      </c>
      <c r="J116" s="77">
        <v>0.77</v>
      </c>
      <c r="K116" s="77">
        <v>0.89</v>
      </c>
      <c r="L116" s="77">
        <v>0.88</v>
      </c>
      <c r="M116" s="77">
        <v>0.94</v>
      </c>
      <c r="N116" s="77">
        <v>0.84</v>
      </c>
      <c r="O116" s="77">
        <v>0.85</v>
      </c>
      <c r="P116" s="77">
        <v>0.9</v>
      </c>
      <c r="Q116" s="77">
        <v>0.89</v>
      </c>
      <c r="R116" s="77">
        <v>0.92</v>
      </c>
      <c r="S116" s="77">
        <v>0.87</v>
      </c>
      <c r="T116" s="77">
        <v>0.87</v>
      </c>
      <c r="U116" s="77">
        <v>0.94</v>
      </c>
      <c r="V116" s="77">
        <v>0.88</v>
      </c>
      <c r="W116" s="77">
        <v>0.72</v>
      </c>
      <c r="X116" s="77">
        <v>0.9</v>
      </c>
      <c r="Y116" s="77">
        <v>0.88</v>
      </c>
      <c r="Z116" s="77">
        <v>0.92</v>
      </c>
      <c r="AA116" s="77">
        <v>0.89</v>
      </c>
      <c r="AB116" s="33"/>
      <c r="AC116" s="33"/>
      <c r="AD116" s="33" t="s">
        <v>677</v>
      </c>
      <c r="AE116" t="str">
        <f>VLOOKUP(AD116,GroupLabels!$E$2:$H$145,3,0)</f>
        <v>Saudi Arabia - Arabic</v>
      </c>
    </row>
    <row r="117" spans="1:31" x14ac:dyDescent="0.25">
      <c r="A117" t="s">
        <v>3023</v>
      </c>
      <c r="B117" s="53">
        <v>0.78</v>
      </c>
      <c r="C117" s="53">
        <v>0.64</v>
      </c>
      <c r="D117" s="77">
        <v>0.89</v>
      </c>
      <c r="E117" s="77">
        <v>0.72</v>
      </c>
      <c r="F117" s="77">
        <v>0.76</v>
      </c>
      <c r="G117" s="77">
        <v>0.88</v>
      </c>
      <c r="H117" s="77">
        <v>0.88</v>
      </c>
      <c r="I117" s="77">
        <v>0.85</v>
      </c>
      <c r="J117" s="77">
        <v>0.74</v>
      </c>
      <c r="K117" s="77">
        <v>0.87</v>
      </c>
      <c r="L117" s="77">
        <v>0.89</v>
      </c>
      <c r="M117" s="77">
        <v>0.91</v>
      </c>
      <c r="N117" s="77">
        <v>0.87</v>
      </c>
      <c r="O117" s="77">
        <v>0.81</v>
      </c>
      <c r="P117" s="77">
        <v>0.9</v>
      </c>
      <c r="Q117" s="77">
        <v>0.87</v>
      </c>
      <c r="R117" s="77">
        <v>0.9</v>
      </c>
      <c r="S117" s="77">
        <v>0.88</v>
      </c>
      <c r="T117" s="77">
        <v>0.85</v>
      </c>
      <c r="U117" s="77">
        <v>0.94</v>
      </c>
      <c r="V117" s="77">
        <v>0.85</v>
      </c>
      <c r="W117" s="77">
        <v>0.77</v>
      </c>
      <c r="X117" s="77">
        <v>0.84</v>
      </c>
      <c r="Y117" s="77">
        <v>0.76</v>
      </c>
      <c r="Z117" s="77">
        <v>0.91</v>
      </c>
      <c r="AA117" s="77">
        <v>0.88</v>
      </c>
      <c r="AB117" s="33"/>
      <c r="AC117" s="33"/>
      <c r="AD117" s="33" t="s">
        <v>678</v>
      </c>
      <c r="AE117" t="str">
        <f>VLOOKUP(AD117,GroupLabels!$E$2:$H$145,3,0)</f>
        <v>Saudi Arabia - English</v>
      </c>
    </row>
    <row r="118" spans="1:31" x14ac:dyDescent="0.25">
      <c r="A118" t="s">
        <v>3241</v>
      </c>
      <c r="B118" s="53">
        <v>0.74</v>
      </c>
      <c r="C118" s="53">
        <v>0.62</v>
      </c>
      <c r="D118" s="77">
        <v>0.9</v>
      </c>
      <c r="E118" s="77">
        <v>0.77</v>
      </c>
      <c r="F118" s="77">
        <v>0.83</v>
      </c>
      <c r="G118" s="77">
        <v>0.84</v>
      </c>
      <c r="H118" s="77">
        <v>0.85</v>
      </c>
      <c r="I118" s="77">
        <v>0.87</v>
      </c>
      <c r="J118" s="77">
        <v>0.75</v>
      </c>
      <c r="K118" s="77">
        <v>0.91</v>
      </c>
      <c r="L118" s="77">
        <v>0.87</v>
      </c>
      <c r="M118" s="77">
        <v>0.92</v>
      </c>
      <c r="N118" s="77">
        <v>0.79</v>
      </c>
      <c r="O118" s="77">
        <v>0.82</v>
      </c>
      <c r="P118" s="77">
        <v>0.89</v>
      </c>
      <c r="Q118" s="77">
        <v>0.84</v>
      </c>
      <c r="R118" s="77">
        <v>0.88</v>
      </c>
      <c r="S118" s="77">
        <v>0.89</v>
      </c>
      <c r="T118" s="77">
        <v>0.81</v>
      </c>
      <c r="U118" s="77">
        <v>0.9</v>
      </c>
      <c r="V118" s="77">
        <v>0.85</v>
      </c>
      <c r="W118" s="77">
        <v>0.64</v>
      </c>
      <c r="X118" s="77">
        <v>0.85</v>
      </c>
      <c r="Y118" s="77">
        <v>0.78</v>
      </c>
      <c r="Z118" s="77">
        <v>0.91</v>
      </c>
      <c r="AA118" s="77">
        <v>0.89</v>
      </c>
      <c r="AB118" s="33"/>
      <c r="AC118" s="33"/>
      <c r="AD118" s="33" t="s">
        <v>679</v>
      </c>
      <c r="AE118" t="str">
        <f>VLOOKUP(AD118,GroupLabels!$E$2:$H$145,3,0)</f>
        <v>Serbia - Serbian</v>
      </c>
    </row>
    <row r="119" spans="1:31" x14ac:dyDescent="0.25">
      <c r="A119" t="s">
        <v>3025</v>
      </c>
      <c r="B119" s="53">
        <v>0.75</v>
      </c>
      <c r="C119" s="53">
        <v>0.56999999999999995</v>
      </c>
      <c r="D119" s="77">
        <v>0.85</v>
      </c>
      <c r="E119" s="77">
        <v>0.82</v>
      </c>
      <c r="F119" s="77">
        <v>0.75</v>
      </c>
      <c r="G119" s="77">
        <v>0.85</v>
      </c>
      <c r="H119" s="77">
        <v>0.82</v>
      </c>
      <c r="I119" s="77">
        <v>0.9</v>
      </c>
      <c r="J119" s="77">
        <v>0.77</v>
      </c>
      <c r="K119" s="77">
        <v>0.88</v>
      </c>
      <c r="L119" s="77">
        <v>0.85</v>
      </c>
      <c r="M119" s="77">
        <v>0.86</v>
      </c>
      <c r="N119" s="77">
        <v>0.82</v>
      </c>
      <c r="O119" s="77">
        <v>0.8</v>
      </c>
      <c r="P119" s="77">
        <v>0.89</v>
      </c>
      <c r="Q119" s="77">
        <v>0.82</v>
      </c>
      <c r="R119" s="77">
        <v>0.88</v>
      </c>
      <c r="S119" s="77">
        <v>0.89</v>
      </c>
      <c r="T119" s="77">
        <v>0.81</v>
      </c>
      <c r="U119" s="77">
        <v>0.96</v>
      </c>
      <c r="V119" s="77">
        <v>0.83</v>
      </c>
      <c r="W119" s="77">
        <v>0.79</v>
      </c>
      <c r="X119" s="77">
        <v>0.81</v>
      </c>
      <c r="Y119" s="77">
        <v>0.74</v>
      </c>
      <c r="Z119" s="77">
        <v>0.91</v>
      </c>
      <c r="AA119" s="77">
        <v>0.89</v>
      </c>
      <c r="AB119" s="33"/>
      <c r="AC119" s="33"/>
      <c r="AD119" s="33" t="s">
        <v>680</v>
      </c>
      <c r="AE119" t="str">
        <f>VLOOKUP(AD119,GroupLabels!$E$2:$H$145,3,0)</f>
        <v>Singapore - English</v>
      </c>
    </row>
    <row r="120" spans="1:31" x14ac:dyDescent="0.25">
      <c r="A120" t="s">
        <v>3108</v>
      </c>
      <c r="B120" s="53">
        <v>0.72</v>
      </c>
      <c r="C120" s="53">
        <v>0.57999999999999996</v>
      </c>
      <c r="D120" s="77">
        <v>0.86</v>
      </c>
      <c r="E120" s="77">
        <v>0.81</v>
      </c>
      <c r="F120" s="77">
        <v>0.76</v>
      </c>
      <c r="G120" s="77">
        <v>0.8</v>
      </c>
      <c r="H120" s="77">
        <v>0.78</v>
      </c>
      <c r="I120" s="77">
        <v>0.78</v>
      </c>
      <c r="J120" s="77">
        <v>0.84</v>
      </c>
      <c r="K120" s="77">
        <v>0.83</v>
      </c>
      <c r="L120" s="77">
        <v>0.87</v>
      </c>
      <c r="M120" s="77">
        <v>0.89</v>
      </c>
      <c r="N120" s="77">
        <v>0.82</v>
      </c>
      <c r="O120" s="77">
        <v>0.73</v>
      </c>
      <c r="P120" s="77">
        <v>0.89</v>
      </c>
      <c r="Q120" s="77">
        <v>0.76</v>
      </c>
      <c r="R120" s="77">
        <v>0.88</v>
      </c>
      <c r="S120" s="77">
        <v>0.88</v>
      </c>
      <c r="T120" s="77">
        <v>0.8</v>
      </c>
      <c r="U120" s="77">
        <v>0.93</v>
      </c>
      <c r="V120" s="77">
        <v>0.8</v>
      </c>
      <c r="W120" s="77">
        <v>0.83</v>
      </c>
      <c r="X120" s="77">
        <v>0.81</v>
      </c>
      <c r="Y120" s="77">
        <v>0.75</v>
      </c>
      <c r="Z120" s="77">
        <v>0.89</v>
      </c>
      <c r="AA120" s="77">
        <v>0.85</v>
      </c>
      <c r="AB120" s="33"/>
      <c r="AC120" s="33"/>
      <c r="AD120" s="33" t="s">
        <v>681</v>
      </c>
      <c r="AE120" t="str">
        <f>VLOOKUP(AD120,GroupLabels!$E$2:$H$145,3,0)</f>
        <v>Slovak Republic - Hungarian</v>
      </c>
    </row>
    <row r="121" spans="1:31" x14ac:dyDescent="0.25">
      <c r="A121" t="s">
        <v>3222</v>
      </c>
      <c r="B121" s="53">
        <v>0.71</v>
      </c>
      <c r="C121" s="53">
        <v>0.52</v>
      </c>
      <c r="D121" s="77">
        <v>0.87</v>
      </c>
      <c r="E121" s="77">
        <v>0.78</v>
      </c>
      <c r="F121" s="77">
        <v>0.74</v>
      </c>
      <c r="G121" s="77">
        <v>0.82</v>
      </c>
      <c r="H121" s="77">
        <v>0.82</v>
      </c>
      <c r="I121" s="77">
        <v>0.82</v>
      </c>
      <c r="J121" s="77">
        <v>0.83</v>
      </c>
      <c r="K121" s="77">
        <v>0.87</v>
      </c>
      <c r="L121" s="77">
        <v>0.83</v>
      </c>
      <c r="M121" s="77">
        <v>0.9</v>
      </c>
      <c r="N121" s="77">
        <v>0.77</v>
      </c>
      <c r="O121" s="77">
        <v>0.75</v>
      </c>
      <c r="P121" s="77">
        <v>0.85</v>
      </c>
      <c r="Q121" s="77">
        <v>0.79</v>
      </c>
      <c r="R121" s="77">
        <v>0.89</v>
      </c>
      <c r="S121" s="77">
        <v>0.85</v>
      </c>
      <c r="T121" s="77">
        <v>0.76</v>
      </c>
      <c r="U121" s="77">
        <v>0.92</v>
      </c>
      <c r="V121" s="77">
        <v>0.78</v>
      </c>
      <c r="W121" s="77">
        <v>0.8</v>
      </c>
      <c r="X121" s="77">
        <v>0.83</v>
      </c>
      <c r="Y121" s="77">
        <v>0.64</v>
      </c>
      <c r="Z121" s="77">
        <v>0.9</v>
      </c>
      <c r="AA121" s="77">
        <v>0.88</v>
      </c>
      <c r="AB121" s="33"/>
      <c r="AC121" s="33"/>
      <c r="AD121" s="33" t="s">
        <v>682</v>
      </c>
      <c r="AE121" t="str">
        <f>VLOOKUP(AD121,GroupLabels!$E$2:$H$145,3,0)</f>
        <v>Slovak Republic - Slovak</v>
      </c>
    </row>
    <row r="122" spans="1:31" x14ac:dyDescent="0.25">
      <c r="A122" t="s">
        <v>3227</v>
      </c>
      <c r="B122" s="53">
        <v>0.74</v>
      </c>
      <c r="C122" s="53">
        <v>0.6</v>
      </c>
      <c r="D122" s="77">
        <v>0.88</v>
      </c>
      <c r="E122" s="77">
        <v>0.73</v>
      </c>
      <c r="F122" s="77">
        <v>0.83</v>
      </c>
      <c r="G122" s="77">
        <v>0.81</v>
      </c>
      <c r="H122" s="77">
        <v>0.84</v>
      </c>
      <c r="I122" s="77">
        <v>0.84</v>
      </c>
      <c r="J122" s="77">
        <v>0.74</v>
      </c>
      <c r="K122" s="77">
        <v>0.9</v>
      </c>
      <c r="L122" s="77">
        <v>0.85</v>
      </c>
      <c r="M122" s="77">
        <v>0.91</v>
      </c>
      <c r="N122" s="77">
        <v>0.81</v>
      </c>
      <c r="O122" s="77">
        <v>0.74</v>
      </c>
      <c r="P122" s="77">
        <v>0.88</v>
      </c>
      <c r="Q122" s="77">
        <v>0.81</v>
      </c>
      <c r="R122" s="77">
        <v>0.83</v>
      </c>
      <c r="S122" s="77">
        <v>0.87</v>
      </c>
      <c r="T122" s="77">
        <v>0.75</v>
      </c>
      <c r="U122" s="77">
        <v>0.91</v>
      </c>
      <c r="V122" s="77">
        <v>0.79</v>
      </c>
      <c r="W122" s="77">
        <v>0.72</v>
      </c>
      <c r="X122" s="77">
        <v>0.82</v>
      </c>
      <c r="Y122" s="77">
        <v>0.71</v>
      </c>
      <c r="Z122" s="77">
        <v>0.89</v>
      </c>
      <c r="AA122" s="77">
        <v>0.88</v>
      </c>
      <c r="AB122" s="33"/>
      <c r="AC122" s="33"/>
      <c r="AD122" s="33" t="s">
        <v>683</v>
      </c>
      <c r="AE122" t="str">
        <f>VLOOKUP(AD122,GroupLabels!$E$2:$H$145,3,0)</f>
        <v>Slovenia - Slovenian</v>
      </c>
    </row>
    <row r="123" spans="1:31" x14ac:dyDescent="0.25">
      <c r="A123" t="s">
        <v>3072</v>
      </c>
      <c r="B123" s="77">
        <v>0.63</v>
      </c>
      <c r="C123" s="77">
        <v>0.53</v>
      </c>
      <c r="D123" s="77">
        <v>0.85</v>
      </c>
      <c r="E123" s="77">
        <v>0.73</v>
      </c>
      <c r="F123" s="77">
        <v>0.85</v>
      </c>
      <c r="G123" s="77">
        <v>0.8</v>
      </c>
      <c r="H123" s="77">
        <v>0.83</v>
      </c>
      <c r="I123" s="77">
        <v>0.84</v>
      </c>
      <c r="J123" s="77">
        <v>0.72</v>
      </c>
      <c r="K123" s="77">
        <v>0.88</v>
      </c>
      <c r="L123" s="77">
        <v>0.85</v>
      </c>
      <c r="M123" s="77">
        <v>0.87</v>
      </c>
      <c r="N123" s="77">
        <v>0.76</v>
      </c>
      <c r="O123" s="77">
        <v>0.77</v>
      </c>
      <c r="P123" s="77">
        <v>0.86</v>
      </c>
      <c r="Q123" s="77">
        <v>0.8</v>
      </c>
      <c r="R123" s="77">
        <v>0.89</v>
      </c>
      <c r="S123" s="77">
        <v>0.9</v>
      </c>
      <c r="T123" s="77">
        <v>0.76</v>
      </c>
      <c r="U123" s="77">
        <v>0.94</v>
      </c>
      <c r="V123" s="77">
        <v>0.85</v>
      </c>
      <c r="W123" s="77">
        <v>0.69</v>
      </c>
      <c r="X123" s="77">
        <v>0.82</v>
      </c>
      <c r="Y123" s="77">
        <v>0.68</v>
      </c>
      <c r="Z123" s="77">
        <v>0.89</v>
      </c>
      <c r="AA123" s="77">
        <v>0.85</v>
      </c>
      <c r="AB123" s="33"/>
      <c r="AC123" s="33"/>
      <c r="AD123" s="33" t="s">
        <v>684</v>
      </c>
      <c r="AE123" t="str">
        <f>VLOOKUP(AD123,GroupLabels!$E$2:$H$145,3,0)</f>
        <v>Spain - Basque</v>
      </c>
    </row>
    <row r="124" spans="1:31" x14ac:dyDescent="0.25">
      <c r="A124" t="s">
        <v>2932</v>
      </c>
      <c r="B124" s="77">
        <v>0.76</v>
      </c>
      <c r="C124" s="77">
        <v>0.53</v>
      </c>
      <c r="D124" s="77">
        <v>0.83</v>
      </c>
      <c r="E124" s="77">
        <v>0.82</v>
      </c>
      <c r="F124" s="77">
        <v>0.74</v>
      </c>
      <c r="G124" s="77">
        <v>0.78</v>
      </c>
      <c r="H124" s="77">
        <v>0.81</v>
      </c>
      <c r="I124" s="77">
        <v>0.85</v>
      </c>
      <c r="J124" s="77">
        <v>0.78</v>
      </c>
      <c r="K124" s="77">
        <v>0.88</v>
      </c>
      <c r="L124" s="77">
        <v>0.85</v>
      </c>
      <c r="M124" s="77">
        <v>0.89</v>
      </c>
      <c r="N124" s="77">
        <v>0.72</v>
      </c>
      <c r="O124" s="77">
        <v>0.74</v>
      </c>
      <c r="P124" s="77">
        <v>0.84</v>
      </c>
      <c r="Q124" s="77">
        <v>0.79</v>
      </c>
      <c r="R124" s="77">
        <v>0.82</v>
      </c>
      <c r="S124" s="77">
        <v>0.88</v>
      </c>
      <c r="T124" s="77">
        <v>0.77</v>
      </c>
      <c r="U124" s="77">
        <v>0.93</v>
      </c>
      <c r="V124" s="77">
        <v>0.85</v>
      </c>
      <c r="W124" s="77">
        <v>0.77</v>
      </c>
      <c r="X124" s="77">
        <v>0.81</v>
      </c>
      <c r="Y124" s="77">
        <v>0.7</v>
      </c>
      <c r="Z124" s="77">
        <v>0.92</v>
      </c>
      <c r="AA124" s="77">
        <v>0.86</v>
      </c>
      <c r="AB124" s="33"/>
      <c r="AC124" s="33"/>
      <c r="AD124" s="33" t="s">
        <v>685</v>
      </c>
      <c r="AE124" t="str">
        <f>VLOOKUP(AD124,GroupLabels!$E$2:$H$145,3,0)</f>
        <v>Spain - Catalan</v>
      </c>
    </row>
    <row r="125" spans="1:31" x14ac:dyDescent="0.25">
      <c r="A125" t="s">
        <v>3091</v>
      </c>
      <c r="B125" s="77">
        <v>0.74</v>
      </c>
      <c r="C125" s="77">
        <v>0.6</v>
      </c>
      <c r="D125" s="77">
        <v>0.87</v>
      </c>
      <c r="E125" s="77">
        <v>0.75</v>
      </c>
      <c r="F125" s="77">
        <v>0.81</v>
      </c>
      <c r="G125" s="77">
        <v>0.76</v>
      </c>
      <c r="H125" s="77">
        <v>0.8</v>
      </c>
      <c r="I125" s="77">
        <v>0.85</v>
      </c>
      <c r="J125" s="77">
        <v>0.79</v>
      </c>
      <c r="K125" s="77">
        <v>0.89</v>
      </c>
      <c r="L125" s="77">
        <v>0.87</v>
      </c>
      <c r="M125" s="77">
        <v>0.91</v>
      </c>
      <c r="N125" s="77">
        <v>0.75</v>
      </c>
      <c r="O125" s="77">
        <v>0.79</v>
      </c>
      <c r="P125" s="77">
        <v>0.86</v>
      </c>
      <c r="Q125" s="77">
        <v>0.83</v>
      </c>
      <c r="R125" s="77">
        <v>0.88</v>
      </c>
      <c r="S125" s="77">
        <v>0.87</v>
      </c>
      <c r="T125" s="77">
        <v>0.75</v>
      </c>
      <c r="U125" s="77">
        <v>0.94</v>
      </c>
      <c r="V125" s="77">
        <v>0.85</v>
      </c>
      <c r="W125" s="77">
        <v>0.81</v>
      </c>
      <c r="X125" s="77">
        <v>0.79</v>
      </c>
      <c r="Y125" s="77">
        <v>0.7</v>
      </c>
      <c r="Z125" s="77">
        <v>0.93</v>
      </c>
      <c r="AA125" s="77">
        <v>0.89</v>
      </c>
      <c r="AB125" s="33"/>
      <c r="AC125" s="33"/>
      <c r="AD125" s="33" t="s">
        <v>686</v>
      </c>
      <c r="AE125" t="str">
        <f>VLOOKUP(AD125,GroupLabels!$E$2:$H$145,3,0)</f>
        <v>Spain - Galician</v>
      </c>
    </row>
    <row r="126" spans="1:31" x14ac:dyDescent="0.25">
      <c r="A126" t="s">
        <v>3047</v>
      </c>
      <c r="B126" s="77">
        <v>0.78</v>
      </c>
      <c r="C126" s="77">
        <v>0.62</v>
      </c>
      <c r="D126" s="77">
        <v>0.86</v>
      </c>
      <c r="E126" s="77">
        <v>0.78</v>
      </c>
      <c r="F126" s="77">
        <v>0.77</v>
      </c>
      <c r="G126" s="77">
        <v>0.78</v>
      </c>
      <c r="H126" s="77">
        <v>0.82</v>
      </c>
      <c r="I126" s="77">
        <v>0.85</v>
      </c>
      <c r="J126" s="77">
        <v>0.8</v>
      </c>
      <c r="K126" s="77">
        <v>0.87</v>
      </c>
      <c r="L126" s="77">
        <v>0.86</v>
      </c>
      <c r="M126" s="77">
        <v>0.91</v>
      </c>
      <c r="N126" s="77">
        <v>0.73</v>
      </c>
      <c r="O126" s="77">
        <v>0.75</v>
      </c>
      <c r="P126" s="77">
        <v>0.87</v>
      </c>
      <c r="Q126" s="77">
        <v>0.82</v>
      </c>
      <c r="R126" s="77">
        <v>0.88</v>
      </c>
      <c r="S126" s="77">
        <v>0.88</v>
      </c>
      <c r="T126" s="77">
        <v>0.78</v>
      </c>
      <c r="U126" s="77">
        <v>0.93</v>
      </c>
      <c r="V126" s="77">
        <v>0.85</v>
      </c>
      <c r="W126" s="77">
        <v>0.75</v>
      </c>
      <c r="X126" s="77">
        <v>0.8</v>
      </c>
      <c r="Y126" s="77">
        <v>0.75</v>
      </c>
      <c r="Z126" s="77">
        <v>0.92</v>
      </c>
      <c r="AA126" s="77">
        <v>0.88</v>
      </c>
      <c r="AB126" s="33"/>
      <c r="AC126" s="33"/>
      <c r="AD126" s="33" t="s">
        <v>687</v>
      </c>
      <c r="AE126" t="str">
        <f>VLOOKUP(AD126,GroupLabels!$E$2:$H$145,3,0)</f>
        <v>Spain - Spanish</v>
      </c>
    </row>
    <row r="127" spans="1:31" x14ac:dyDescent="0.25">
      <c r="A127" t="s">
        <v>2933</v>
      </c>
      <c r="B127" s="77">
        <v>0.75</v>
      </c>
      <c r="C127" s="77">
        <v>0.59</v>
      </c>
      <c r="D127" s="77">
        <v>0.86</v>
      </c>
      <c r="E127" s="77">
        <v>0.79</v>
      </c>
      <c r="F127" s="77">
        <v>0.8</v>
      </c>
      <c r="G127" s="77">
        <v>0.8</v>
      </c>
      <c r="H127" s="77">
        <v>0.83</v>
      </c>
      <c r="I127" s="77">
        <v>0.86</v>
      </c>
      <c r="J127" s="77">
        <v>0.76</v>
      </c>
      <c r="K127" s="77">
        <v>0.87</v>
      </c>
      <c r="L127" s="77">
        <v>0.84</v>
      </c>
      <c r="M127" s="77">
        <v>0.9</v>
      </c>
      <c r="N127" s="77">
        <v>0.73</v>
      </c>
      <c r="O127" s="77">
        <v>0.81</v>
      </c>
      <c r="P127" s="77">
        <v>0.87</v>
      </c>
      <c r="Q127" s="77">
        <v>0.83</v>
      </c>
      <c r="R127" s="77">
        <v>0.82</v>
      </c>
      <c r="S127" s="77">
        <v>0.89</v>
      </c>
      <c r="T127" s="77">
        <v>0.76</v>
      </c>
      <c r="U127" s="77">
        <v>0.9</v>
      </c>
      <c r="V127" s="77">
        <v>0.87</v>
      </c>
      <c r="W127" s="77">
        <v>0.7</v>
      </c>
      <c r="X127" s="77">
        <v>0.83</v>
      </c>
      <c r="Y127" s="77">
        <v>0.7</v>
      </c>
      <c r="Z127" s="77">
        <v>0.92</v>
      </c>
      <c r="AA127" s="77">
        <v>0.88</v>
      </c>
      <c r="AB127" s="33"/>
      <c r="AC127" s="33"/>
      <c r="AD127" s="33" t="s">
        <v>688</v>
      </c>
      <c r="AE127" t="str">
        <f>VLOOKUP(AD127,GroupLabels!$E$2:$H$145,3,0)</f>
        <v>Spain - Valencian</v>
      </c>
    </row>
    <row r="128" spans="1:31" x14ac:dyDescent="0.25">
      <c r="A128" t="s">
        <v>762</v>
      </c>
      <c r="B128" s="53">
        <v>0.7</v>
      </c>
      <c r="C128" s="53">
        <v>0.57999999999999996</v>
      </c>
      <c r="D128" s="77">
        <v>0.89</v>
      </c>
      <c r="E128" s="77">
        <v>0.83</v>
      </c>
      <c r="F128" s="77">
        <v>0.77</v>
      </c>
      <c r="G128" s="77" t="s">
        <v>3476</v>
      </c>
      <c r="H128" s="77">
        <v>0.85</v>
      </c>
      <c r="I128" s="77">
        <v>0.89</v>
      </c>
      <c r="J128" s="77" t="s">
        <v>3476</v>
      </c>
      <c r="K128" s="77">
        <v>0.89</v>
      </c>
      <c r="L128" s="77">
        <v>0.88</v>
      </c>
      <c r="M128" s="77" t="s">
        <v>3476</v>
      </c>
      <c r="N128" s="77">
        <v>0.84</v>
      </c>
      <c r="O128" s="77">
        <v>0.78</v>
      </c>
      <c r="P128" s="77">
        <v>0.89</v>
      </c>
      <c r="Q128" s="77">
        <v>0.86</v>
      </c>
      <c r="R128" s="77">
        <v>0.89</v>
      </c>
      <c r="S128" s="77">
        <v>0.9</v>
      </c>
      <c r="T128" s="77">
        <v>0.85</v>
      </c>
      <c r="U128" s="77">
        <v>0.95</v>
      </c>
      <c r="V128" s="77">
        <v>0.79</v>
      </c>
      <c r="W128" s="77" t="s">
        <v>3476</v>
      </c>
      <c r="X128" s="77">
        <v>0.83</v>
      </c>
      <c r="Y128" s="77">
        <v>0.82</v>
      </c>
      <c r="Z128" s="77">
        <v>0.92</v>
      </c>
      <c r="AA128" s="77">
        <v>0.89</v>
      </c>
      <c r="AB128" s="33"/>
      <c r="AC128" s="33"/>
      <c r="AD128" s="33" t="s">
        <v>689</v>
      </c>
      <c r="AE128" t="str">
        <f>VLOOKUP(AD128,GroupLabels!$E$2:$H$145,3,0)</f>
        <v>Sweden - Swedish</v>
      </c>
    </row>
    <row r="129" spans="1:31" x14ac:dyDescent="0.25">
      <c r="A129" t="s">
        <v>3081</v>
      </c>
      <c r="B129" s="53">
        <v>0.79</v>
      </c>
      <c r="C129" s="53">
        <v>0.59</v>
      </c>
      <c r="D129" s="77">
        <v>0.86</v>
      </c>
      <c r="E129" s="77">
        <v>0.75</v>
      </c>
      <c r="F129" s="77">
        <v>0.8</v>
      </c>
      <c r="G129" s="77">
        <v>0.77</v>
      </c>
      <c r="H129" s="77">
        <v>0.79</v>
      </c>
      <c r="I129" s="77">
        <v>0.86</v>
      </c>
      <c r="J129" s="77">
        <v>0.79</v>
      </c>
      <c r="K129" s="77">
        <v>0.86</v>
      </c>
      <c r="L129" s="77">
        <v>0.85</v>
      </c>
      <c r="M129" s="77">
        <v>0.88</v>
      </c>
      <c r="N129" s="77">
        <v>0.75</v>
      </c>
      <c r="O129" s="77">
        <v>0.72</v>
      </c>
      <c r="P129" s="77">
        <v>0.88</v>
      </c>
      <c r="Q129" s="77">
        <v>0.78</v>
      </c>
      <c r="R129" s="77">
        <v>0.8</v>
      </c>
      <c r="S129" s="77">
        <v>0.88</v>
      </c>
      <c r="T129" s="77">
        <v>0.77</v>
      </c>
      <c r="U129" s="77">
        <v>0.92</v>
      </c>
      <c r="V129" s="77">
        <v>0.83</v>
      </c>
      <c r="W129" s="77">
        <v>0.76</v>
      </c>
      <c r="X129" s="77">
        <v>0.74</v>
      </c>
      <c r="Y129" s="77">
        <v>0.69</v>
      </c>
      <c r="Z129" s="77">
        <v>0.9</v>
      </c>
      <c r="AA129" s="77">
        <v>0.84</v>
      </c>
      <c r="AB129" s="33"/>
      <c r="AC129" s="33"/>
      <c r="AD129" s="33" t="s">
        <v>690</v>
      </c>
      <c r="AE129" t="str">
        <f>VLOOKUP(AD129,GroupLabels!$E$2:$H$145,3,0)</f>
        <v>Switzerland - French</v>
      </c>
    </row>
    <row r="130" spans="1:31" x14ac:dyDescent="0.25">
      <c r="A130" t="s">
        <v>2964</v>
      </c>
      <c r="B130" s="53">
        <v>0.75</v>
      </c>
      <c r="C130" s="53">
        <v>0.55000000000000004</v>
      </c>
      <c r="D130" s="77">
        <v>0.87</v>
      </c>
      <c r="E130" s="77">
        <v>0.76</v>
      </c>
      <c r="F130" s="77">
        <v>0.81</v>
      </c>
      <c r="G130" s="77">
        <v>0.84</v>
      </c>
      <c r="H130" s="77">
        <v>0.84</v>
      </c>
      <c r="I130" s="77">
        <v>0.86</v>
      </c>
      <c r="J130" s="77">
        <v>0.78</v>
      </c>
      <c r="K130" s="77">
        <v>0.85</v>
      </c>
      <c r="L130" s="77">
        <v>0.85</v>
      </c>
      <c r="M130" s="77">
        <v>0.89</v>
      </c>
      <c r="N130" s="77">
        <v>0.79</v>
      </c>
      <c r="O130" s="77">
        <v>0.75</v>
      </c>
      <c r="P130" s="77">
        <v>0.87</v>
      </c>
      <c r="Q130" s="77">
        <v>0.82</v>
      </c>
      <c r="R130" s="77">
        <v>0.87</v>
      </c>
      <c r="S130" s="77">
        <v>0.82</v>
      </c>
      <c r="T130" s="77">
        <v>0.76</v>
      </c>
      <c r="U130" s="77">
        <v>0.93</v>
      </c>
      <c r="V130" s="77">
        <v>0.83</v>
      </c>
      <c r="W130" s="77">
        <v>0.75</v>
      </c>
      <c r="X130" s="77">
        <v>0.82</v>
      </c>
      <c r="Y130" s="77">
        <v>0.73</v>
      </c>
      <c r="Z130" s="77">
        <v>0.87</v>
      </c>
      <c r="AA130" s="77">
        <v>0.87</v>
      </c>
      <c r="AB130" s="33"/>
      <c r="AC130" s="33"/>
      <c r="AD130" s="33" t="s">
        <v>691</v>
      </c>
      <c r="AE130" t="str">
        <f>VLOOKUP(AD130,GroupLabels!$E$2:$H$145,3,0)</f>
        <v>Switzerland - German</v>
      </c>
    </row>
    <row r="131" spans="1:31" x14ac:dyDescent="0.25">
      <c r="A131" t="s">
        <v>3125</v>
      </c>
      <c r="B131" s="53">
        <v>0.75</v>
      </c>
      <c r="C131" s="53">
        <v>0.53</v>
      </c>
      <c r="D131" s="77">
        <v>0.88</v>
      </c>
      <c r="E131" s="77">
        <v>0.78</v>
      </c>
      <c r="F131" s="77">
        <v>0.83</v>
      </c>
      <c r="G131" s="77">
        <v>0.82</v>
      </c>
      <c r="H131" s="77">
        <v>0.79</v>
      </c>
      <c r="I131" s="77">
        <v>0.89</v>
      </c>
      <c r="J131" s="77">
        <v>0.83</v>
      </c>
      <c r="K131" s="77">
        <v>0.86</v>
      </c>
      <c r="L131" s="77">
        <v>0.85</v>
      </c>
      <c r="M131" s="77">
        <v>0.91</v>
      </c>
      <c r="N131" s="77">
        <v>0.79</v>
      </c>
      <c r="O131" s="77">
        <v>0.74</v>
      </c>
      <c r="P131" s="77">
        <v>0.82</v>
      </c>
      <c r="Q131" s="77">
        <v>0.82</v>
      </c>
      <c r="R131" s="77">
        <v>0.82</v>
      </c>
      <c r="S131" s="77">
        <v>0.87</v>
      </c>
      <c r="T131" s="77">
        <v>0.79</v>
      </c>
      <c r="U131" s="77">
        <v>0.92</v>
      </c>
      <c r="V131" s="77">
        <v>0.85</v>
      </c>
      <c r="W131" s="77">
        <v>0.74</v>
      </c>
      <c r="X131" s="77">
        <v>0.8</v>
      </c>
      <c r="Y131" s="77">
        <v>0.68</v>
      </c>
      <c r="Z131" s="77">
        <v>0.89</v>
      </c>
      <c r="AA131" s="77">
        <v>0.84</v>
      </c>
      <c r="AB131" s="33"/>
      <c r="AC131" s="33"/>
      <c r="AD131" s="33" t="s">
        <v>692</v>
      </c>
      <c r="AE131" t="str">
        <f>VLOOKUP(AD131,GroupLabels!$E$2:$H$145,3,0)</f>
        <v>Switzerland - Italian</v>
      </c>
    </row>
    <row r="132" spans="1:31" x14ac:dyDescent="0.25">
      <c r="A132" t="s">
        <v>3282</v>
      </c>
      <c r="B132" s="53">
        <v>0.71</v>
      </c>
      <c r="C132" s="53">
        <v>0.64</v>
      </c>
      <c r="D132" s="77">
        <v>0.89</v>
      </c>
      <c r="E132" s="77">
        <v>0.81</v>
      </c>
      <c r="F132" s="77">
        <v>0.72</v>
      </c>
      <c r="G132" s="77">
        <v>0.85</v>
      </c>
      <c r="H132" s="77">
        <v>0.89</v>
      </c>
      <c r="I132" s="77">
        <v>0.92</v>
      </c>
      <c r="J132" s="77">
        <v>0.75</v>
      </c>
      <c r="K132" s="77">
        <v>0.91</v>
      </c>
      <c r="L132" s="77">
        <v>0.91</v>
      </c>
      <c r="M132" s="77">
        <v>0.93</v>
      </c>
      <c r="N132" s="77">
        <v>0.86</v>
      </c>
      <c r="O132" s="77">
        <v>0.79</v>
      </c>
      <c r="P132" s="77">
        <v>0.93</v>
      </c>
      <c r="Q132" s="77">
        <v>0.84</v>
      </c>
      <c r="R132" s="77">
        <v>0.92</v>
      </c>
      <c r="S132" s="77">
        <v>0.92</v>
      </c>
      <c r="T132" s="77">
        <v>0.89</v>
      </c>
      <c r="U132" s="77">
        <v>0.96</v>
      </c>
      <c r="V132" s="77">
        <v>0.87</v>
      </c>
      <c r="W132" s="77">
        <v>0.74</v>
      </c>
      <c r="X132" s="77">
        <v>0.87</v>
      </c>
      <c r="Y132" s="77">
        <v>0.79</v>
      </c>
      <c r="Z132" s="77">
        <v>0.92</v>
      </c>
      <c r="AA132" s="77">
        <v>0.93</v>
      </c>
      <c r="AB132" s="33"/>
      <c r="AC132" s="33"/>
      <c r="AD132" s="33" t="s">
        <v>693</v>
      </c>
      <c r="AE132" t="str">
        <f>VLOOKUP(AD132,GroupLabels!$E$2:$H$145,3,0)</f>
        <v>Chinese Taipei - Chinese</v>
      </c>
    </row>
    <row r="133" spans="1:31" x14ac:dyDescent="0.25">
      <c r="A133" t="s">
        <v>3252</v>
      </c>
      <c r="B133" s="53">
        <v>0.83</v>
      </c>
      <c r="C133" s="53">
        <v>0.7</v>
      </c>
      <c r="D133" s="77">
        <v>0.91</v>
      </c>
      <c r="E133" s="77">
        <v>0.66</v>
      </c>
      <c r="F133" s="77">
        <v>0.75</v>
      </c>
      <c r="G133" s="77">
        <v>0.9</v>
      </c>
      <c r="H133" s="77">
        <v>0.9</v>
      </c>
      <c r="I133" s="77">
        <v>0.85</v>
      </c>
      <c r="J133" s="77">
        <v>0.73</v>
      </c>
      <c r="K133" s="77">
        <v>0.87</v>
      </c>
      <c r="L133" s="77">
        <v>0.88</v>
      </c>
      <c r="M133" s="77">
        <v>0.92</v>
      </c>
      <c r="N133" s="77">
        <v>0.82</v>
      </c>
      <c r="O133" s="77">
        <v>0.77</v>
      </c>
      <c r="P133" s="77">
        <v>0.86</v>
      </c>
      <c r="Q133" s="77">
        <v>0.81</v>
      </c>
      <c r="R133" s="77">
        <v>0.92</v>
      </c>
      <c r="S133" s="77">
        <v>0.84</v>
      </c>
      <c r="T133" s="77">
        <v>0.86</v>
      </c>
      <c r="U133" s="77">
        <v>0.91</v>
      </c>
      <c r="V133" s="77">
        <v>0.85</v>
      </c>
      <c r="W133" s="77">
        <v>0.7</v>
      </c>
      <c r="X133" s="77">
        <v>0.87</v>
      </c>
      <c r="Y133" s="77">
        <v>0.83</v>
      </c>
      <c r="Z133" s="77">
        <v>0.9</v>
      </c>
      <c r="AA133" s="77">
        <v>0.87</v>
      </c>
      <c r="AB133" s="33"/>
      <c r="AC133" s="33"/>
      <c r="AD133" s="33" t="s">
        <v>694</v>
      </c>
      <c r="AE133" t="str">
        <f>VLOOKUP(AD133,GroupLabels!$E$2:$H$145,3,0)</f>
        <v>Thailand - Thai</v>
      </c>
    </row>
    <row r="134" spans="1:31" x14ac:dyDescent="0.25">
      <c r="A134" t="s">
        <v>3257</v>
      </c>
      <c r="B134" s="53">
        <v>0.82</v>
      </c>
      <c r="C134" s="53">
        <v>0.64</v>
      </c>
      <c r="D134" s="77">
        <v>0.89</v>
      </c>
      <c r="E134" s="77">
        <v>0.77</v>
      </c>
      <c r="F134" s="77">
        <v>0.74</v>
      </c>
      <c r="G134" s="77">
        <v>0.77</v>
      </c>
      <c r="H134" s="77">
        <v>0.84</v>
      </c>
      <c r="I134" s="77">
        <v>0.83</v>
      </c>
      <c r="J134" s="77">
        <v>0.79</v>
      </c>
      <c r="K134" s="77">
        <v>0.87</v>
      </c>
      <c r="L134" s="77">
        <v>0.82</v>
      </c>
      <c r="M134" s="77">
        <v>0.89</v>
      </c>
      <c r="N134" s="77">
        <v>0.74</v>
      </c>
      <c r="O134" s="77">
        <v>0.71</v>
      </c>
      <c r="P134" s="77">
        <v>0.87</v>
      </c>
      <c r="Q134" s="77">
        <v>0.83</v>
      </c>
      <c r="R134" s="77">
        <v>0.84</v>
      </c>
      <c r="S134" s="77">
        <v>0.87</v>
      </c>
      <c r="T134" s="77">
        <v>0.79</v>
      </c>
      <c r="U134" s="77">
        <v>0.93</v>
      </c>
      <c r="V134" s="77">
        <v>0.82</v>
      </c>
      <c r="W134" s="77">
        <v>0.73</v>
      </c>
      <c r="X134" s="77">
        <v>0.84</v>
      </c>
      <c r="Y134" s="77">
        <v>0.74</v>
      </c>
      <c r="Z134" s="77">
        <v>0.89</v>
      </c>
      <c r="AA134" s="77">
        <v>0.89</v>
      </c>
      <c r="AB134" s="33"/>
      <c r="AC134" s="33"/>
      <c r="AD134" s="33" t="s">
        <v>695</v>
      </c>
      <c r="AE134" t="str">
        <f>VLOOKUP(AD134,GroupLabels!$E$2:$H$145,3,0)</f>
        <v>Turkey - Turkish</v>
      </c>
    </row>
    <row r="135" spans="1:31" x14ac:dyDescent="0.25">
      <c r="A135" t="s">
        <v>3262</v>
      </c>
      <c r="B135" s="53">
        <v>0.72</v>
      </c>
      <c r="C135" s="53">
        <v>0.57999999999999996</v>
      </c>
      <c r="D135" s="77">
        <v>0.87</v>
      </c>
      <c r="E135" s="77">
        <v>0.76</v>
      </c>
      <c r="F135" s="77">
        <v>0.82</v>
      </c>
      <c r="G135" s="77">
        <v>0.84</v>
      </c>
      <c r="H135" s="77">
        <v>0.86</v>
      </c>
      <c r="I135" s="77">
        <v>0.88</v>
      </c>
      <c r="J135" s="77">
        <v>0.72</v>
      </c>
      <c r="K135" s="77">
        <v>0.89</v>
      </c>
      <c r="L135" s="77">
        <v>0.86</v>
      </c>
      <c r="M135" s="77">
        <v>0.89</v>
      </c>
      <c r="N135" s="77">
        <v>0.8</v>
      </c>
      <c r="O135" s="77">
        <v>0.82</v>
      </c>
      <c r="P135" s="77">
        <v>0.89</v>
      </c>
      <c r="Q135" s="77">
        <v>0.83</v>
      </c>
      <c r="R135" s="77">
        <v>0.9</v>
      </c>
      <c r="S135" s="77">
        <v>0.88</v>
      </c>
      <c r="T135" s="77">
        <v>0.82</v>
      </c>
      <c r="U135" s="77">
        <v>0.91</v>
      </c>
      <c r="V135" s="77">
        <v>0.8</v>
      </c>
      <c r="W135" s="77">
        <v>0.65</v>
      </c>
      <c r="X135" s="77">
        <v>0.84</v>
      </c>
      <c r="Y135" s="77">
        <v>0.75</v>
      </c>
      <c r="Z135" s="77">
        <v>0.91</v>
      </c>
      <c r="AA135" s="77">
        <v>0.9</v>
      </c>
      <c r="AB135" s="33"/>
      <c r="AC135" s="33"/>
      <c r="AD135" s="33" t="s">
        <v>696</v>
      </c>
      <c r="AE135" t="str">
        <f>VLOOKUP(AD135,GroupLabels!$E$2:$H$145,3,0)</f>
        <v>Ukrainian regions (17 of 27) - Ukrainian*</v>
      </c>
    </row>
    <row r="136" spans="1:31" x14ac:dyDescent="0.25">
      <c r="A136" t="s">
        <v>2895</v>
      </c>
      <c r="B136" s="53">
        <v>0.8</v>
      </c>
      <c r="C136" s="53">
        <v>0.73</v>
      </c>
      <c r="D136" s="77">
        <v>0.92</v>
      </c>
      <c r="E136" s="77">
        <v>0.69</v>
      </c>
      <c r="F136" s="77">
        <v>0.86</v>
      </c>
      <c r="G136" s="77">
        <v>0.89</v>
      </c>
      <c r="H136" s="77">
        <v>0.93</v>
      </c>
      <c r="I136" s="77">
        <v>0.91</v>
      </c>
      <c r="J136" s="77">
        <v>0.8</v>
      </c>
      <c r="K136" s="77">
        <v>0.92</v>
      </c>
      <c r="L136" s="77">
        <v>0.91</v>
      </c>
      <c r="M136" s="77">
        <v>0.94</v>
      </c>
      <c r="N136" s="77">
        <v>0.86</v>
      </c>
      <c r="O136" s="77">
        <v>0.81</v>
      </c>
      <c r="P136" s="77">
        <v>0.91</v>
      </c>
      <c r="Q136" s="77">
        <v>0.91</v>
      </c>
      <c r="R136" s="77">
        <v>0.94</v>
      </c>
      <c r="S136" s="77">
        <v>0.87</v>
      </c>
      <c r="T136" s="77">
        <v>0.87</v>
      </c>
      <c r="U136" s="77">
        <v>0.93</v>
      </c>
      <c r="V136" s="77">
        <v>0.89</v>
      </c>
      <c r="W136" s="77">
        <v>0.75</v>
      </c>
      <c r="X136" s="77">
        <v>0.91</v>
      </c>
      <c r="Y136" s="77">
        <v>0.87</v>
      </c>
      <c r="Z136" s="77">
        <v>0.93</v>
      </c>
      <c r="AA136" s="77">
        <v>0.91</v>
      </c>
      <c r="AB136" s="33"/>
      <c r="AC136" s="33"/>
      <c r="AD136" s="33" t="s">
        <v>697</v>
      </c>
      <c r="AE136" t="str">
        <f>VLOOKUP(AD136,GroupLabels!$E$2:$H$145,3,0)</f>
        <v>United Arab Emirates - Arabic</v>
      </c>
    </row>
    <row r="137" spans="1:31" x14ac:dyDescent="0.25">
      <c r="A137" t="s">
        <v>2979</v>
      </c>
      <c r="B137" s="53">
        <v>0.8</v>
      </c>
      <c r="C137" s="53">
        <v>0.7</v>
      </c>
      <c r="D137" s="77">
        <v>0.86</v>
      </c>
      <c r="E137" s="77">
        <v>0.76</v>
      </c>
      <c r="F137" s="77">
        <v>0.81</v>
      </c>
      <c r="G137" s="77">
        <v>0.85</v>
      </c>
      <c r="H137" s="77">
        <v>0.86</v>
      </c>
      <c r="I137" s="77">
        <v>0.88</v>
      </c>
      <c r="J137" s="77">
        <v>0.72</v>
      </c>
      <c r="K137" s="77">
        <v>0.9</v>
      </c>
      <c r="L137" s="77">
        <v>0.87</v>
      </c>
      <c r="M137" s="77">
        <v>0.89</v>
      </c>
      <c r="N137" s="77">
        <v>0.82</v>
      </c>
      <c r="O137" s="77">
        <v>0.78</v>
      </c>
      <c r="P137" s="77">
        <v>0.89</v>
      </c>
      <c r="Q137" s="77">
        <v>0.86</v>
      </c>
      <c r="R137" s="77">
        <v>0.88</v>
      </c>
      <c r="S137" s="77">
        <v>0.88</v>
      </c>
      <c r="T137" s="77">
        <v>0.82</v>
      </c>
      <c r="U137" s="77">
        <v>0.94</v>
      </c>
      <c r="V137" s="77">
        <v>0.84</v>
      </c>
      <c r="W137" s="77">
        <v>0.74</v>
      </c>
      <c r="X137" s="77">
        <v>0.83</v>
      </c>
      <c r="Y137" s="77">
        <v>0.79</v>
      </c>
      <c r="Z137" s="77">
        <v>0.92</v>
      </c>
      <c r="AA137" s="77">
        <v>0.88</v>
      </c>
      <c r="AB137" s="33"/>
      <c r="AC137" s="33"/>
      <c r="AD137" s="33" t="s">
        <v>698</v>
      </c>
      <c r="AE137" t="str">
        <f>VLOOKUP(AD137,GroupLabels!$E$2:$H$145,3,0)</f>
        <v>United Arab Emirates - English</v>
      </c>
    </row>
    <row r="138" spans="1:31" x14ac:dyDescent="0.25">
      <c r="A138" t="s">
        <v>2951</v>
      </c>
      <c r="B138" s="53">
        <v>0.72</v>
      </c>
      <c r="C138" s="53">
        <v>0.63</v>
      </c>
      <c r="D138" s="77">
        <v>0.88</v>
      </c>
      <c r="E138" s="77">
        <v>0.76</v>
      </c>
      <c r="F138" s="77">
        <v>0.89</v>
      </c>
      <c r="G138" s="77">
        <v>0.89</v>
      </c>
      <c r="H138" s="77">
        <v>0.85</v>
      </c>
      <c r="I138" s="77">
        <v>0.85</v>
      </c>
      <c r="J138" s="77">
        <v>0.73</v>
      </c>
      <c r="K138" s="77">
        <v>0.9</v>
      </c>
      <c r="L138" s="77">
        <v>0.86</v>
      </c>
      <c r="M138" s="77">
        <v>0.89</v>
      </c>
      <c r="N138" s="77">
        <v>0.83</v>
      </c>
      <c r="O138" s="77">
        <v>0.81</v>
      </c>
      <c r="P138" s="77">
        <v>0.9</v>
      </c>
      <c r="Q138" s="77">
        <v>0.82</v>
      </c>
      <c r="R138" s="77">
        <v>0.87</v>
      </c>
      <c r="S138" s="77">
        <v>0.89</v>
      </c>
      <c r="T138" s="77">
        <v>0.83</v>
      </c>
      <c r="U138" s="77">
        <v>0.92</v>
      </c>
      <c r="V138" s="77">
        <v>0.82</v>
      </c>
      <c r="W138" s="77">
        <v>0.77</v>
      </c>
      <c r="X138" s="77">
        <v>0.81</v>
      </c>
      <c r="Y138" s="77">
        <v>0.81</v>
      </c>
      <c r="Z138" s="77">
        <v>0.9</v>
      </c>
      <c r="AA138" s="77">
        <v>0</v>
      </c>
      <c r="AB138" s="33"/>
      <c r="AC138" s="33"/>
      <c r="AD138" s="33" t="s">
        <v>699</v>
      </c>
      <c r="AE138" t="str">
        <f>VLOOKUP(AD138,GroupLabels!$E$2:$H$145,3,0)</f>
        <v>United Kingdom - Welsh</v>
      </c>
    </row>
    <row r="139" spans="1:31" x14ac:dyDescent="0.25">
      <c r="A139" t="s">
        <v>2990</v>
      </c>
      <c r="B139" s="53">
        <v>0.76</v>
      </c>
      <c r="C139" s="53">
        <v>0.57999999999999996</v>
      </c>
      <c r="D139" s="77">
        <v>0.89</v>
      </c>
      <c r="E139" s="77">
        <v>0.83</v>
      </c>
      <c r="F139" s="77">
        <v>0.81</v>
      </c>
      <c r="G139" s="77">
        <v>0.85</v>
      </c>
      <c r="H139" s="77">
        <v>0.83</v>
      </c>
      <c r="I139" s="77">
        <v>0.86</v>
      </c>
      <c r="J139" s="77">
        <v>0.76</v>
      </c>
      <c r="K139" s="77">
        <v>0.9</v>
      </c>
      <c r="L139" s="77">
        <v>0.87</v>
      </c>
      <c r="M139" s="77">
        <v>0.85</v>
      </c>
      <c r="N139" s="77">
        <v>0.83</v>
      </c>
      <c r="O139" s="77">
        <v>0.74</v>
      </c>
      <c r="P139" s="77">
        <v>0.89</v>
      </c>
      <c r="Q139" s="77">
        <v>0.8</v>
      </c>
      <c r="R139" s="77">
        <v>0.87</v>
      </c>
      <c r="S139" s="77">
        <v>0.89</v>
      </c>
      <c r="T139" s="77">
        <v>0.84</v>
      </c>
      <c r="U139" s="77">
        <v>0.94</v>
      </c>
      <c r="V139" s="77">
        <v>0.78</v>
      </c>
      <c r="W139" s="77">
        <v>0.79</v>
      </c>
      <c r="X139" s="77">
        <v>0.74</v>
      </c>
      <c r="Y139" s="77">
        <v>0.76</v>
      </c>
      <c r="Z139" s="77">
        <v>0.91</v>
      </c>
      <c r="AA139" s="77">
        <v>0</v>
      </c>
      <c r="AB139" s="33"/>
      <c r="AC139" s="33"/>
      <c r="AD139" s="33" t="s">
        <v>700</v>
      </c>
      <c r="AE139" t="str">
        <f>VLOOKUP(AD139,GroupLabels!$E$2:$H$145,3,0)</f>
        <v>United Kingdom ex Scotland - English</v>
      </c>
    </row>
    <row r="140" spans="1:31" x14ac:dyDescent="0.25">
      <c r="A140" t="s">
        <v>2989</v>
      </c>
      <c r="B140" s="53">
        <v>0.77</v>
      </c>
      <c r="C140" s="53">
        <v>0.57999999999999996</v>
      </c>
      <c r="D140" s="77">
        <v>0.9</v>
      </c>
      <c r="E140" s="77">
        <v>0.82</v>
      </c>
      <c r="F140" s="77">
        <v>0.8</v>
      </c>
      <c r="G140" s="77">
        <v>0.85</v>
      </c>
      <c r="H140" s="77">
        <v>0.85</v>
      </c>
      <c r="I140" s="77">
        <v>0.88</v>
      </c>
      <c r="J140" s="77">
        <v>0.76</v>
      </c>
      <c r="K140" s="77">
        <v>0.89</v>
      </c>
      <c r="L140" s="77">
        <v>0.87</v>
      </c>
      <c r="M140" s="77">
        <v>0.88</v>
      </c>
      <c r="N140" s="77">
        <v>0.8</v>
      </c>
      <c r="O140" s="77">
        <v>0.77</v>
      </c>
      <c r="P140" s="77">
        <v>0.89</v>
      </c>
      <c r="Q140" s="77">
        <v>0.81</v>
      </c>
      <c r="R140" s="77">
        <v>0.87</v>
      </c>
      <c r="S140" s="77">
        <v>0.9</v>
      </c>
      <c r="T140" s="77">
        <v>0.84</v>
      </c>
      <c r="U140" s="77">
        <v>0.95</v>
      </c>
      <c r="V140" s="77">
        <v>0.84</v>
      </c>
      <c r="W140" s="77">
        <v>0.79</v>
      </c>
      <c r="X140" s="77">
        <v>0.79</v>
      </c>
      <c r="Y140" s="77">
        <v>0.75</v>
      </c>
      <c r="Z140" s="77">
        <v>0.93</v>
      </c>
      <c r="AA140" s="77">
        <v>0.86</v>
      </c>
      <c r="AB140" s="33"/>
      <c r="AC140" s="33"/>
      <c r="AD140" s="33" t="s">
        <v>701</v>
      </c>
      <c r="AE140" t="str">
        <f>VLOOKUP(AD140,GroupLabels!$E$2:$H$145,3,0)</f>
        <v>United Kingdom Scotland only - English</v>
      </c>
    </row>
    <row r="141" spans="1:31" x14ac:dyDescent="0.25">
      <c r="A141" t="s">
        <v>764</v>
      </c>
      <c r="B141" s="53">
        <v>0.73</v>
      </c>
      <c r="C141" s="53">
        <v>0.61</v>
      </c>
      <c r="D141" s="77">
        <v>0.89</v>
      </c>
      <c r="E141" s="77">
        <v>0.8</v>
      </c>
      <c r="F141" s="77">
        <v>0.76</v>
      </c>
      <c r="G141" s="77">
        <v>0.85</v>
      </c>
      <c r="H141" s="77">
        <v>0.83</v>
      </c>
      <c r="I141" s="77" t="s">
        <v>3476</v>
      </c>
      <c r="J141" s="77" t="s">
        <v>3476</v>
      </c>
      <c r="K141" s="77">
        <v>0.88</v>
      </c>
      <c r="L141" s="77" t="s">
        <v>3476</v>
      </c>
      <c r="M141" s="77">
        <v>0.87</v>
      </c>
      <c r="N141" s="77">
        <v>0.79</v>
      </c>
      <c r="O141" s="77" t="s">
        <v>3476</v>
      </c>
      <c r="P141" s="77" t="s">
        <v>3476</v>
      </c>
      <c r="Q141" s="77" t="s">
        <v>3476</v>
      </c>
      <c r="R141" s="77">
        <v>0.86</v>
      </c>
      <c r="S141" s="77">
        <v>0.89</v>
      </c>
      <c r="T141" s="77">
        <v>0.82</v>
      </c>
      <c r="U141" s="77">
        <v>0.93</v>
      </c>
      <c r="V141" s="77" t="s">
        <v>3476</v>
      </c>
      <c r="W141" s="77" t="s">
        <v>3476</v>
      </c>
      <c r="X141" s="77">
        <v>0.79</v>
      </c>
      <c r="Y141" s="77">
        <v>0.72</v>
      </c>
      <c r="Z141" s="77">
        <v>0.93</v>
      </c>
      <c r="AA141" s="77">
        <v>0.85</v>
      </c>
      <c r="AB141" s="33"/>
      <c r="AC141" s="33"/>
      <c r="AD141" s="33" t="s">
        <v>702</v>
      </c>
      <c r="AE141" t="str">
        <f>VLOOKUP(AD141,GroupLabels!$E$2:$H$145,3,0)</f>
        <v>United States - English</v>
      </c>
    </row>
    <row r="142" spans="1:31" x14ac:dyDescent="0.25">
      <c r="A142" t="s">
        <v>3065</v>
      </c>
      <c r="B142" s="53">
        <v>0.82</v>
      </c>
      <c r="C142" s="53">
        <v>0.62</v>
      </c>
      <c r="D142" s="77">
        <v>0.88</v>
      </c>
      <c r="E142" s="77">
        <v>0.79</v>
      </c>
      <c r="F142" s="77">
        <v>0.77</v>
      </c>
      <c r="G142" s="77">
        <v>0.84</v>
      </c>
      <c r="H142" s="77">
        <v>0.83</v>
      </c>
      <c r="I142" s="77">
        <v>0.83</v>
      </c>
      <c r="J142" s="77">
        <v>0.8</v>
      </c>
      <c r="K142" s="77">
        <v>0.87</v>
      </c>
      <c r="L142" s="77">
        <v>0.86</v>
      </c>
      <c r="M142" s="77">
        <v>0.89</v>
      </c>
      <c r="N142" s="77">
        <v>0.77</v>
      </c>
      <c r="O142" s="77">
        <v>0.8</v>
      </c>
      <c r="P142" s="77">
        <v>0.88</v>
      </c>
      <c r="Q142" s="77">
        <v>0.83</v>
      </c>
      <c r="R142" s="77">
        <v>0.87</v>
      </c>
      <c r="S142" s="77">
        <v>0.84</v>
      </c>
      <c r="T142" s="77">
        <v>0.82</v>
      </c>
      <c r="U142" s="77">
        <v>0.91</v>
      </c>
      <c r="V142" s="77">
        <v>0.85</v>
      </c>
      <c r="W142" s="77">
        <v>0.73</v>
      </c>
      <c r="X142" s="77">
        <v>0.77</v>
      </c>
      <c r="Y142" s="77">
        <v>0.77</v>
      </c>
      <c r="Z142" s="77">
        <v>0.9</v>
      </c>
      <c r="AA142" s="77">
        <v>0.91</v>
      </c>
      <c r="AB142" s="33"/>
      <c r="AC142" s="33"/>
      <c r="AD142" s="33" t="s">
        <v>703</v>
      </c>
      <c r="AE142" t="str">
        <f>VLOOKUP(AD142,GroupLabels!$E$2:$H$145,3,0)</f>
        <v>Uruguay - Spanish</v>
      </c>
    </row>
    <row r="143" spans="1:31" x14ac:dyDescent="0.25">
      <c r="A143" t="s">
        <v>3133</v>
      </c>
      <c r="B143" s="53">
        <v>0.75</v>
      </c>
      <c r="C143" s="53">
        <v>0.71</v>
      </c>
      <c r="D143" s="77">
        <v>0.93</v>
      </c>
      <c r="E143" s="77">
        <v>0.62</v>
      </c>
      <c r="F143" s="77">
        <v>0.73</v>
      </c>
      <c r="G143" s="77">
        <v>0.85</v>
      </c>
      <c r="H143" s="77">
        <v>0.86</v>
      </c>
      <c r="I143" s="77">
        <v>0.9</v>
      </c>
      <c r="J143" s="77">
        <v>0.86</v>
      </c>
      <c r="K143" s="77">
        <v>0.87</v>
      </c>
      <c r="L143" s="77">
        <v>0.87</v>
      </c>
      <c r="M143" s="77">
        <v>0.88</v>
      </c>
      <c r="N143" s="77">
        <v>0.84</v>
      </c>
      <c r="O143" s="77">
        <v>0.8</v>
      </c>
      <c r="P143" s="77">
        <v>0.93</v>
      </c>
      <c r="Q143" s="77">
        <v>0.88</v>
      </c>
      <c r="R143" s="77">
        <v>0.88</v>
      </c>
      <c r="S143" s="77">
        <v>0.92</v>
      </c>
      <c r="T143" s="77">
        <v>0.85</v>
      </c>
      <c r="U143" s="77">
        <v>0.95</v>
      </c>
      <c r="V143" s="77">
        <v>0.88</v>
      </c>
      <c r="W143" s="77">
        <v>0.75</v>
      </c>
      <c r="X143" s="77">
        <v>0.83</v>
      </c>
      <c r="Y143" s="77">
        <v>0.86</v>
      </c>
      <c r="Z143" s="77">
        <v>0.86</v>
      </c>
      <c r="AA143" s="77">
        <v>0.89</v>
      </c>
      <c r="AB143" s="33"/>
      <c r="AC143" s="33"/>
      <c r="AD143" s="33" t="s">
        <v>704</v>
      </c>
      <c r="AE143" t="str">
        <f>VLOOKUP(AD143,GroupLabels!$E$2:$H$145,3,0)</f>
        <v>Uzbekistan - Karakalpak</v>
      </c>
    </row>
    <row r="144" spans="1:31" x14ac:dyDescent="0.25">
      <c r="A144" t="s">
        <v>3219</v>
      </c>
      <c r="B144" s="53">
        <v>0.79</v>
      </c>
      <c r="C144" s="53">
        <v>0.72</v>
      </c>
      <c r="D144" s="77">
        <v>0.87</v>
      </c>
      <c r="E144" s="77">
        <v>0.7</v>
      </c>
      <c r="F144" s="77">
        <v>0.79</v>
      </c>
      <c r="G144" s="77">
        <v>0.88</v>
      </c>
      <c r="H144" s="77">
        <v>0.89</v>
      </c>
      <c r="I144" s="77">
        <v>0.88</v>
      </c>
      <c r="J144" s="77">
        <v>0.8</v>
      </c>
      <c r="K144" s="77">
        <v>0.92</v>
      </c>
      <c r="L144" s="77">
        <v>0.85</v>
      </c>
      <c r="M144" s="77">
        <v>0.91</v>
      </c>
      <c r="N144" s="77">
        <v>0.79</v>
      </c>
      <c r="O144" s="77">
        <v>0.82</v>
      </c>
      <c r="P144" s="77">
        <v>0.9</v>
      </c>
      <c r="Q144" s="77">
        <v>0.86</v>
      </c>
      <c r="R144" s="77">
        <v>0.92</v>
      </c>
      <c r="S144" s="77">
        <v>0.89</v>
      </c>
      <c r="T144" s="77">
        <v>0.81</v>
      </c>
      <c r="U144" s="77">
        <v>0.93</v>
      </c>
      <c r="V144" s="77">
        <v>0.84</v>
      </c>
      <c r="W144" s="77">
        <v>0.73</v>
      </c>
      <c r="X144" s="77">
        <v>0.88</v>
      </c>
      <c r="Y144" s="77">
        <v>0.76</v>
      </c>
      <c r="Z144" s="77">
        <v>0.89</v>
      </c>
      <c r="AA144" s="77">
        <v>0.88</v>
      </c>
      <c r="AB144" s="33"/>
      <c r="AC144" s="33"/>
      <c r="AD144" s="33" t="s">
        <v>705</v>
      </c>
      <c r="AE144" t="str">
        <f>VLOOKUP(AD144,GroupLabels!$E$2:$H$145,3,0)</f>
        <v>Uzbekistan - Russian</v>
      </c>
    </row>
    <row r="145" spans="1:31" x14ac:dyDescent="0.25">
      <c r="A145" t="s">
        <v>3267</v>
      </c>
      <c r="B145" s="53">
        <v>0.83</v>
      </c>
      <c r="C145" s="53">
        <v>0.79</v>
      </c>
      <c r="D145" s="77">
        <v>0.91</v>
      </c>
      <c r="E145" s="77">
        <v>0.62</v>
      </c>
      <c r="F145" s="77">
        <v>0.73</v>
      </c>
      <c r="G145" s="77">
        <v>0.89</v>
      </c>
      <c r="H145" s="77">
        <v>0.89</v>
      </c>
      <c r="I145" s="77">
        <v>0.86</v>
      </c>
      <c r="J145" s="77">
        <v>0.8</v>
      </c>
      <c r="K145" s="77">
        <v>0.9</v>
      </c>
      <c r="L145" s="77">
        <v>0.87</v>
      </c>
      <c r="M145" s="77">
        <v>0.91</v>
      </c>
      <c r="N145" s="77">
        <v>0.85</v>
      </c>
      <c r="O145" s="77">
        <v>0.83</v>
      </c>
      <c r="P145" s="77">
        <v>0.92</v>
      </c>
      <c r="Q145" s="77">
        <v>0.87</v>
      </c>
      <c r="R145" s="77">
        <v>0.91</v>
      </c>
      <c r="S145" s="77">
        <v>0.89</v>
      </c>
      <c r="T145" s="77">
        <v>0.84</v>
      </c>
      <c r="U145" s="77">
        <v>0.94</v>
      </c>
      <c r="V145" s="77">
        <v>0.86</v>
      </c>
      <c r="W145" s="77">
        <v>0.79</v>
      </c>
      <c r="X145" s="77">
        <v>0.87</v>
      </c>
      <c r="Y145" s="77">
        <v>0.86</v>
      </c>
      <c r="Z145" s="77">
        <v>0.87</v>
      </c>
      <c r="AA145" s="77">
        <v>0.87</v>
      </c>
      <c r="AB145" s="33"/>
      <c r="AC145" s="33"/>
      <c r="AD145" s="33" t="s">
        <v>706</v>
      </c>
      <c r="AE145" t="str">
        <f>VLOOKUP(AD145,GroupLabels!$E$2:$H$145,3,0)</f>
        <v>Uzbekistan - Uzbekistani</v>
      </c>
    </row>
    <row r="146" spans="1:31" x14ac:dyDescent="0.25">
      <c r="A146" t="s">
        <v>3272</v>
      </c>
      <c r="B146" s="53">
        <v>0.81</v>
      </c>
      <c r="C146" s="53">
        <v>0.69</v>
      </c>
      <c r="D146" s="77">
        <v>0.86</v>
      </c>
      <c r="E146" s="77">
        <v>0.6</v>
      </c>
      <c r="F146" s="77">
        <v>0.74</v>
      </c>
      <c r="G146" s="77">
        <v>0.83</v>
      </c>
      <c r="H146" s="77">
        <v>0.85</v>
      </c>
      <c r="I146" s="77">
        <v>0.92</v>
      </c>
      <c r="J146" s="77">
        <v>0.79</v>
      </c>
      <c r="K146" s="77">
        <v>0.83</v>
      </c>
      <c r="L146" s="77">
        <v>0.81</v>
      </c>
      <c r="M146" s="77">
        <v>0.92</v>
      </c>
      <c r="N146" s="77">
        <v>0.83</v>
      </c>
      <c r="O146" s="77">
        <v>0.7</v>
      </c>
      <c r="P146" s="77">
        <v>0.84</v>
      </c>
      <c r="Q146" s="77">
        <v>0.88</v>
      </c>
      <c r="R146" s="77">
        <v>0.9</v>
      </c>
      <c r="S146" s="77">
        <v>0.87</v>
      </c>
      <c r="T146" s="77">
        <v>0.84</v>
      </c>
      <c r="U146" s="77">
        <v>0.96</v>
      </c>
      <c r="V146" s="77">
        <v>0.89</v>
      </c>
      <c r="W146" s="77">
        <v>0.74</v>
      </c>
      <c r="X146" s="77">
        <v>0.83</v>
      </c>
      <c r="Y146" s="77">
        <v>0.85</v>
      </c>
      <c r="Z146" s="77">
        <v>0.88</v>
      </c>
      <c r="AA146" s="77">
        <v>0.91</v>
      </c>
      <c r="AB146" s="33"/>
      <c r="AC146" s="33"/>
      <c r="AD146" s="33" t="s">
        <v>707</v>
      </c>
      <c r="AE146" t="str">
        <f>VLOOKUP(AD146,GroupLabels!$E$2:$H$145,3,0)</f>
        <v>Viet Nam - Vietnamese</v>
      </c>
    </row>
    <row r="147" spans="1:31" x14ac:dyDescent="0.25">
      <c r="A147" s="3" t="s">
        <v>759</v>
      </c>
      <c r="B147" s="78">
        <v>0.91</v>
      </c>
      <c r="C147" s="78">
        <v>0.81</v>
      </c>
      <c r="D147" s="94" t="s">
        <v>3476</v>
      </c>
      <c r="E147" s="94">
        <v>0.53</v>
      </c>
      <c r="F147" s="94">
        <v>0.63</v>
      </c>
      <c r="G147" s="94" t="s">
        <v>3476</v>
      </c>
      <c r="H147" s="94">
        <v>0.78</v>
      </c>
      <c r="I147" s="94">
        <v>0.77</v>
      </c>
      <c r="J147" s="94">
        <v>0.66</v>
      </c>
      <c r="K147" s="94" t="s">
        <v>3476</v>
      </c>
      <c r="L147" s="94">
        <v>0.79</v>
      </c>
      <c r="M147" s="94">
        <v>0.85</v>
      </c>
      <c r="N147" s="94" t="s">
        <v>3476</v>
      </c>
      <c r="O147" s="94">
        <v>0.65</v>
      </c>
      <c r="P147" s="94">
        <v>0.81</v>
      </c>
      <c r="Q147" s="94">
        <v>0.75</v>
      </c>
      <c r="R147" s="94">
        <v>0.85</v>
      </c>
      <c r="S147" s="94">
        <v>0.75</v>
      </c>
      <c r="T147" s="94" t="s">
        <v>3476</v>
      </c>
      <c r="U147" s="94">
        <v>0.87</v>
      </c>
      <c r="V147" s="94">
        <v>0.71</v>
      </c>
      <c r="W147" s="94">
        <v>0.56999999999999995</v>
      </c>
      <c r="X147" s="94">
        <v>0.78</v>
      </c>
      <c r="Y147" s="94" t="s">
        <v>3476</v>
      </c>
      <c r="Z147" s="94" t="s">
        <v>3476</v>
      </c>
      <c r="AA147" s="94">
        <v>0.77</v>
      </c>
      <c r="AB147" s="33"/>
      <c r="AC147" s="33"/>
      <c r="AD147" s="40" t="s">
        <v>708</v>
      </c>
      <c r="AE147" t="str">
        <f>VLOOKUP(AD147,GroupLabels!$E$2:$H$145,3,0)</f>
        <v>Zambia - English</v>
      </c>
    </row>
    <row r="148" spans="1:3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 spans="1:31" x14ac:dyDescent="0.25">
      <c r="A149" s="33" t="s">
        <v>3477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</sheetData>
  <sheetProtection formatColumns="0" formatRows="0"/>
  <sortState xmlns:xlrd2="http://schemas.microsoft.com/office/spreadsheetml/2017/richdata2" ref="A7:AE147">
    <sortCondition ref="A7:A147"/>
  </sortState>
  <hyperlinks>
    <hyperlink ref="A1" location="TOC!A1" display="Table of Contents" xr:uid="{2B155731-A317-4970-BE3A-EB3A8ACF8BCB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49"/>
  <sheetViews>
    <sheetView zoomScale="70" workbookViewId="0">
      <pane ySplit="6" topLeftCell="A124" activePane="bottomLeft" state="frozen"/>
      <selection pane="bottomLeft"/>
    </sheetView>
  </sheetViews>
  <sheetFormatPr defaultColWidth="8.7109375" defaultRowHeight="15" x14ac:dyDescent="0.25"/>
  <cols>
    <col min="1" max="1" width="40.42578125" bestFit="1" customWidth="1"/>
    <col min="2" max="2" width="10.140625" style="8" customWidth="1"/>
    <col min="3" max="20" width="8.7109375" style="8" customWidth="1"/>
    <col min="21" max="21" width="9.28515625" style="8" customWidth="1"/>
    <col min="22" max="22" width="9.42578125" style="8" customWidth="1"/>
    <col min="23" max="27" width="8.7109375" style="8" customWidth="1"/>
    <col min="30" max="30" width="23.140625" hidden="1" customWidth="1"/>
    <col min="31" max="31" width="8.7109375" hidden="1" customWidth="1"/>
  </cols>
  <sheetData>
    <row r="1" spans="1:31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x14ac:dyDescent="0.25">
      <c r="A3" s="34" t="s">
        <v>24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x14ac:dyDescent="0.25">
      <c r="A4" s="34" t="s">
        <v>25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x14ac:dyDescent="0.25">
      <c r="A6" s="65" t="s">
        <v>566</v>
      </c>
      <c r="B6" s="79" t="s">
        <v>378</v>
      </c>
      <c r="C6" s="79" t="s">
        <v>326</v>
      </c>
      <c r="D6" s="79" t="s">
        <v>367</v>
      </c>
      <c r="E6" s="79" t="s">
        <v>320</v>
      </c>
      <c r="F6" s="79" t="s">
        <v>321</v>
      </c>
      <c r="G6" s="79" t="s">
        <v>368</v>
      </c>
      <c r="H6" s="79" t="s">
        <v>369</v>
      </c>
      <c r="I6" s="79" t="s">
        <v>370</v>
      </c>
      <c r="J6" s="79" t="s">
        <v>371</v>
      </c>
      <c r="K6" s="79" t="s">
        <v>322</v>
      </c>
      <c r="L6" s="79" t="s">
        <v>372</v>
      </c>
      <c r="M6" s="79" t="s">
        <v>373</v>
      </c>
      <c r="N6" s="79" t="s">
        <v>374</v>
      </c>
      <c r="O6" s="79" t="s">
        <v>375</v>
      </c>
      <c r="P6" s="79" t="s">
        <v>323</v>
      </c>
      <c r="Q6" s="79" t="s">
        <v>376</v>
      </c>
      <c r="R6" s="79" t="s">
        <v>324</v>
      </c>
      <c r="S6" s="79" t="s">
        <v>325</v>
      </c>
      <c r="T6" s="79" t="s">
        <v>377</v>
      </c>
      <c r="U6" s="79" t="s">
        <v>327</v>
      </c>
      <c r="V6" s="79" t="s">
        <v>379</v>
      </c>
      <c r="W6" s="79" t="s">
        <v>380</v>
      </c>
      <c r="X6" s="79" t="s">
        <v>381</v>
      </c>
      <c r="Y6" s="79" t="s">
        <v>382</v>
      </c>
      <c r="Z6" s="79" t="s">
        <v>383</v>
      </c>
      <c r="AA6" s="79" t="s">
        <v>328</v>
      </c>
      <c r="AB6" s="33"/>
      <c r="AC6" s="33"/>
      <c r="AD6" s="34"/>
      <c r="AE6" s="34"/>
    </row>
    <row r="7" spans="1:31" x14ac:dyDescent="0.25">
      <c r="A7" t="s">
        <v>3232</v>
      </c>
      <c r="B7" s="73">
        <v>22</v>
      </c>
      <c r="C7" s="73">
        <v>10</v>
      </c>
      <c r="D7" s="73">
        <v>4</v>
      </c>
      <c r="E7" s="73">
        <v>6</v>
      </c>
      <c r="F7" s="73">
        <v>5</v>
      </c>
      <c r="G7" s="73">
        <v>4</v>
      </c>
      <c r="H7" s="73">
        <v>5</v>
      </c>
      <c r="I7" s="73">
        <v>4</v>
      </c>
      <c r="J7" s="73">
        <v>5</v>
      </c>
      <c r="K7" s="73">
        <v>6</v>
      </c>
      <c r="L7" s="73">
        <v>6</v>
      </c>
      <c r="M7" s="73">
        <v>6</v>
      </c>
      <c r="N7" s="73">
        <v>4</v>
      </c>
      <c r="O7" s="73">
        <v>5</v>
      </c>
      <c r="P7" s="73">
        <v>6</v>
      </c>
      <c r="Q7" s="73">
        <v>4</v>
      </c>
      <c r="R7" s="73">
        <v>5</v>
      </c>
      <c r="S7" s="73">
        <v>4</v>
      </c>
      <c r="T7" s="73">
        <v>4</v>
      </c>
      <c r="U7" s="73">
        <v>4</v>
      </c>
      <c r="V7" s="73">
        <v>4</v>
      </c>
      <c r="W7" s="73">
        <v>6</v>
      </c>
      <c r="X7" s="73">
        <v>4</v>
      </c>
      <c r="Y7" s="73">
        <v>4</v>
      </c>
      <c r="Z7" s="73">
        <v>5</v>
      </c>
      <c r="AA7" s="73">
        <v>5</v>
      </c>
      <c r="AB7" s="33"/>
      <c r="AC7" s="33"/>
      <c r="AD7" s="33" t="s">
        <v>567</v>
      </c>
      <c r="AE7" t="str">
        <f>VLOOKUP(AD7,GroupLabels!$E$2:$H$145,3,0)</f>
        <v>Albania - Albanian</v>
      </c>
    </row>
    <row r="8" spans="1:31" x14ac:dyDescent="0.25">
      <c r="A8" t="s">
        <v>3034</v>
      </c>
      <c r="B8" s="73">
        <v>21</v>
      </c>
      <c r="C8" s="73">
        <v>10</v>
      </c>
      <c r="D8" s="73">
        <v>4</v>
      </c>
      <c r="E8" s="73">
        <v>6</v>
      </c>
      <c r="F8" s="73">
        <v>5</v>
      </c>
      <c r="G8" s="73">
        <v>4</v>
      </c>
      <c r="H8" s="73">
        <v>5</v>
      </c>
      <c r="I8" s="73">
        <v>4</v>
      </c>
      <c r="J8" s="73">
        <v>5</v>
      </c>
      <c r="K8" s="73">
        <v>6</v>
      </c>
      <c r="L8" s="73">
        <v>6</v>
      </c>
      <c r="M8" s="73">
        <v>6</v>
      </c>
      <c r="N8" s="73">
        <v>4</v>
      </c>
      <c r="O8" s="73">
        <v>5</v>
      </c>
      <c r="P8" s="73">
        <v>6</v>
      </c>
      <c r="Q8" s="73">
        <v>4</v>
      </c>
      <c r="R8" s="73">
        <v>5</v>
      </c>
      <c r="S8" s="73">
        <v>4</v>
      </c>
      <c r="T8" s="73">
        <v>4</v>
      </c>
      <c r="U8" s="73">
        <v>4</v>
      </c>
      <c r="V8" s="73">
        <v>4</v>
      </c>
      <c r="W8" s="73">
        <v>6</v>
      </c>
      <c r="X8" s="73">
        <v>4</v>
      </c>
      <c r="Y8" s="73">
        <v>4</v>
      </c>
      <c r="Z8" s="73">
        <v>5</v>
      </c>
      <c r="AA8" s="73">
        <v>5</v>
      </c>
      <c r="AB8" s="33"/>
      <c r="AC8" s="33"/>
      <c r="AD8" s="33" t="s">
        <v>568</v>
      </c>
      <c r="AE8" t="str">
        <f>VLOOKUP(AD8,GroupLabels!$E$2:$H$145,3,0)</f>
        <v>Argentina - Spanish</v>
      </c>
    </row>
    <row r="9" spans="1:31" x14ac:dyDescent="0.25">
      <c r="A9" t="s">
        <v>3113</v>
      </c>
      <c r="B9" s="73">
        <v>22</v>
      </c>
      <c r="C9" s="73">
        <v>9</v>
      </c>
      <c r="D9" s="73">
        <v>4</v>
      </c>
      <c r="E9" s="73">
        <v>6</v>
      </c>
      <c r="F9" s="73">
        <v>5</v>
      </c>
      <c r="G9" s="73">
        <v>4</v>
      </c>
      <c r="H9" s="73">
        <v>5</v>
      </c>
      <c r="I9" s="73">
        <v>4</v>
      </c>
      <c r="J9" s="73">
        <v>5</v>
      </c>
      <c r="K9" s="73">
        <v>6</v>
      </c>
      <c r="L9" s="73">
        <v>6</v>
      </c>
      <c r="M9" s="73">
        <v>6</v>
      </c>
      <c r="N9" s="73">
        <v>4</v>
      </c>
      <c r="O9" s="73">
        <v>5</v>
      </c>
      <c r="P9" s="73">
        <v>6</v>
      </c>
      <c r="Q9" s="73">
        <v>4</v>
      </c>
      <c r="R9" s="73">
        <v>5</v>
      </c>
      <c r="S9" s="73">
        <v>4</v>
      </c>
      <c r="T9" s="73">
        <v>4</v>
      </c>
      <c r="U9" s="73">
        <v>4</v>
      </c>
      <c r="V9" s="73">
        <v>4</v>
      </c>
      <c r="W9" s="73">
        <v>6</v>
      </c>
      <c r="X9" s="73">
        <v>4</v>
      </c>
      <c r="Y9" s="73">
        <v>4</v>
      </c>
      <c r="Z9" s="73">
        <v>5</v>
      </c>
      <c r="AA9" s="73">
        <v>5</v>
      </c>
      <c r="AB9" s="33"/>
      <c r="AC9" s="33"/>
      <c r="AD9" s="33" t="s">
        <v>569</v>
      </c>
      <c r="AE9" t="str">
        <f>VLOOKUP(AD9,GroupLabels!$E$2:$H$145,3,0)</f>
        <v>Armenia - Armenian</v>
      </c>
    </row>
    <row r="10" spans="1:31" x14ac:dyDescent="0.25">
      <c r="A10" t="s">
        <v>2982</v>
      </c>
      <c r="B10" s="73">
        <v>21</v>
      </c>
      <c r="C10" s="73">
        <v>9</v>
      </c>
      <c r="D10" s="73">
        <v>4</v>
      </c>
      <c r="E10" s="73">
        <v>6</v>
      </c>
      <c r="F10" s="73">
        <v>5</v>
      </c>
      <c r="G10" s="73">
        <v>4</v>
      </c>
      <c r="H10" s="73">
        <v>5</v>
      </c>
      <c r="I10" s="73">
        <v>4</v>
      </c>
      <c r="J10" s="73">
        <v>5</v>
      </c>
      <c r="K10" s="73">
        <v>6</v>
      </c>
      <c r="L10" s="73">
        <v>6</v>
      </c>
      <c r="M10" s="73">
        <v>6</v>
      </c>
      <c r="N10" s="73">
        <v>4</v>
      </c>
      <c r="O10" s="73">
        <v>5</v>
      </c>
      <c r="P10" s="73">
        <v>6</v>
      </c>
      <c r="Q10" s="73">
        <v>4</v>
      </c>
      <c r="R10" s="73">
        <v>5</v>
      </c>
      <c r="S10" s="73">
        <v>4</v>
      </c>
      <c r="T10" s="73">
        <v>4</v>
      </c>
      <c r="U10" s="73">
        <v>4</v>
      </c>
      <c r="V10" s="73">
        <v>4</v>
      </c>
      <c r="W10" s="73">
        <v>6</v>
      </c>
      <c r="X10" s="73">
        <v>4</v>
      </c>
      <c r="Y10" s="73">
        <v>4</v>
      </c>
      <c r="Z10" s="73">
        <v>5</v>
      </c>
      <c r="AA10" s="73">
        <v>5</v>
      </c>
      <c r="AB10" s="33"/>
      <c r="AC10" s="33"/>
      <c r="AD10" s="33" t="s">
        <v>570</v>
      </c>
      <c r="AE10" t="str">
        <f>VLOOKUP(AD10,GroupLabels!$E$2:$H$145,3,0)</f>
        <v>Australia - English</v>
      </c>
    </row>
    <row r="11" spans="1:31" x14ac:dyDescent="0.25">
      <c r="A11" t="s">
        <v>2960</v>
      </c>
      <c r="B11" s="73">
        <v>22</v>
      </c>
      <c r="C11" s="73">
        <v>9</v>
      </c>
      <c r="D11" s="73">
        <v>4</v>
      </c>
      <c r="E11" s="73">
        <v>6</v>
      </c>
      <c r="F11" s="73">
        <v>5</v>
      </c>
      <c r="G11" s="73">
        <v>4</v>
      </c>
      <c r="H11" s="73">
        <v>5</v>
      </c>
      <c r="I11" s="73">
        <v>4</v>
      </c>
      <c r="J11" s="73">
        <v>5</v>
      </c>
      <c r="K11" s="73">
        <v>6</v>
      </c>
      <c r="L11" s="73">
        <v>6</v>
      </c>
      <c r="M11" s="73">
        <v>6</v>
      </c>
      <c r="N11" s="73">
        <v>4</v>
      </c>
      <c r="O11" s="73">
        <v>5</v>
      </c>
      <c r="P11" s="73">
        <v>6</v>
      </c>
      <c r="Q11" s="73">
        <v>4</v>
      </c>
      <c r="R11" s="73">
        <v>5</v>
      </c>
      <c r="S11" s="73">
        <v>4</v>
      </c>
      <c r="T11" s="73">
        <v>4</v>
      </c>
      <c r="U11" s="73">
        <v>4</v>
      </c>
      <c r="V11" s="73">
        <v>4</v>
      </c>
      <c r="W11" s="73">
        <v>6</v>
      </c>
      <c r="X11" s="73">
        <v>4</v>
      </c>
      <c r="Y11" s="73">
        <v>4</v>
      </c>
      <c r="Z11" s="73">
        <v>5</v>
      </c>
      <c r="AA11" s="73">
        <v>5</v>
      </c>
      <c r="AB11" s="33"/>
      <c r="AC11" s="33"/>
      <c r="AD11" s="33" t="s">
        <v>571</v>
      </c>
      <c r="AE11" t="str">
        <f>VLOOKUP(AD11,GroupLabels!$E$2:$H$145,3,0)</f>
        <v>Austria - German</v>
      </c>
    </row>
    <row r="12" spans="1:31" x14ac:dyDescent="0.25">
      <c r="A12" t="s">
        <v>2923</v>
      </c>
      <c r="B12" s="73">
        <v>22</v>
      </c>
      <c r="C12" s="73">
        <v>10</v>
      </c>
      <c r="D12" s="73">
        <v>4</v>
      </c>
      <c r="E12" s="73">
        <v>6</v>
      </c>
      <c r="F12" s="73">
        <v>5</v>
      </c>
      <c r="G12" s="73">
        <v>4</v>
      </c>
      <c r="H12" s="73">
        <v>5</v>
      </c>
      <c r="I12" s="73">
        <v>4</v>
      </c>
      <c r="J12" s="73">
        <v>5</v>
      </c>
      <c r="K12" s="73">
        <v>6</v>
      </c>
      <c r="L12" s="73">
        <v>6</v>
      </c>
      <c r="M12" s="73">
        <v>6</v>
      </c>
      <c r="N12" s="73">
        <v>4</v>
      </c>
      <c r="O12" s="73">
        <v>5</v>
      </c>
      <c r="P12" s="73">
        <v>6</v>
      </c>
      <c r="Q12" s="73">
        <v>4</v>
      </c>
      <c r="R12" s="73">
        <v>5</v>
      </c>
      <c r="S12" s="73">
        <v>4</v>
      </c>
      <c r="T12" s="73">
        <v>4</v>
      </c>
      <c r="U12" s="73">
        <v>4</v>
      </c>
      <c r="V12" s="73">
        <v>4</v>
      </c>
      <c r="W12" s="73">
        <v>6</v>
      </c>
      <c r="X12" s="73">
        <v>4</v>
      </c>
      <c r="Y12" s="73">
        <v>4</v>
      </c>
      <c r="Z12" s="73">
        <v>5</v>
      </c>
      <c r="AA12" s="73">
        <v>5</v>
      </c>
      <c r="AB12" s="33"/>
      <c r="AC12" s="33"/>
      <c r="AD12" s="33" t="s">
        <v>572</v>
      </c>
      <c r="AE12" t="str">
        <f>VLOOKUP(AD12,GroupLabels!$E$2:$H$145,3,0)</f>
        <v>Azerbaijan - Azerbaijani</v>
      </c>
    </row>
    <row r="13" spans="1:31" x14ac:dyDescent="0.25">
      <c r="A13" t="s">
        <v>3216</v>
      </c>
      <c r="B13" s="73">
        <v>22</v>
      </c>
      <c r="C13" s="73">
        <v>9</v>
      </c>
      <c r="D13" s="73">
        <v>4</v>
      </c>
      <c r="E13" s="73">
        <v>6</v>
      </c>
      <c r="F13" s="73">
        <v>5</v>
      </c>
      <c r="G13" s="73">
        <v>4</v>
      </c>
      <c r="H13" s="73">
        <v>5</v>
      </c>
      <c r="I13" s="73">
        <v>4</v>
      </c>
      <c r="J13" s="73">
        <v>5</v>
      </c>
      <c r="K13" s="73">
        <v>6</v>
      </c>
      <c r="L13" s="73">
        <v>6</v>
      </c>
      <c r="M13" s="73">
        <v>6</v>
      </c>
      <c r="N13" s="73">
        <v>4</v>
      </c>
      <c r="O13" s="73">
        <v>5</v>
      </c>
      <c r="P13" s="73">
        <v>6</v>
      </c>
      <c r="Q13" s="73">
        <v>4</v>
      </c>
      <c r="R13" s="73">
        <v>5</v>
      </c>
      <c r="S13" s="73">
        <v>4</v>
      </c>
      <c r="T13" s="73">
        <v>4</v>
      </c>
      <c r="U13" s="73">
        <v>4</v>
      </c>
      <c r="V13" s="73">
        <v>4</v>
      </c>
      <c r="W13" s="73">
        <v>6</v>
      </c>
      <c r="X13" s="73">
        <v>4</v>
      </c>
      <c r="Y13" s="73">
        <v>4</v>
      </c>
      <c r="Z13" s="73">
        <v>5</v>
      </c>
      <c r="AA13" s="73">
        <v>5</v>
      </c>
      <c r="AB13" s="33"/>
      <c r="AC13" s="33"/>
      <c r="AD13" s="33" t="s">
        <v>573</v>
      </c>
      <c r="AE13" t="str">
        <f>VLOOKUP(AD13,GroupLabels!$E$2:$H$145,3,0)</f>
        <v>Azerbaijan - Russian</v>
      </c>
    </row>
    <row r="14" spans="1:31" x14ac:dyDescent="0.25">
      <c r="A14" t="s">
        <v>3277</v>
      </c>
      <c r="B14" s="73">
        <v>22</v>
      </c>
      <c r="C14" s="73">
        <v>10</v>
      </c>
      <c r="D14" s="73">
        <v>4</v>
      </c>
      <c r="E14" s="73">
        <v>6</v>
      </c>
      <c r="F14" s="73">
        <v>5</v>
      </c>
      <c r="G14" s="73">
        <v>4</v>
      </c>
      <c r="H14" s="73">
        <v>5</v>
      </c>
      <c r="I14" s="73">
        <v>4</v>
      </c>
      <c r="J14" s="73">
        <v>5</v>
      </c>
      <c r="K14" s="73">
        <v>6</v>
      </c>
      <c r="L14" s="73">
        <v>6</v>
      </c>
      <c r="M14" s="73">
        <v>6</v>
      </c>
      <c r="N14" s="73">
        <v>4</v>
      </c>
      <c r="O14" s="73">
        <v>5</v>
      </c>
      <c r="P14" s="73">
        <v>6</v>
      </c>
      <c r="Q14" s="73">
        <v>4</v>
      </c>
      <c r="R14" s="73">
        <v>5</v>
      </c>
      <c r="S14" s="73">
        <v>4</v>
      </c>
      <c r="T14" s="73">
        <v>4</v>
      </c>
      <c r="U14" s="73">
        <v>4</v>
      </c>
      <c r="V14" s="73">
        <v>4</v>
      </c>
      <c r="W14" s="73">
        <v>6</v>
      </c>
      <c r="X14" s="73">
        <v>4</v>
      </c>
      <c r="Y14" s="73">
        <v>4</v>
      </c>
      <c r="Z14" s="73">
        <v>5</v>
      </c>
      <c r="AA14" s="73">
        <v>5</v>
      </c>
      <c r="AB14" s="33"/>
      <c r="AC14" s="33"/>
      <c r="AD14" s="33" t="s">
        <v>579</v>
      </c>
      <c r="AE14" t="str">
        <f>VLOOKUP(AD14,GroupLabels!$E$2:$H$145,3,0)</f>
        <v>B-S-J-G (China) - Chinese*</v>
      </c>
    </row>
    <row r="15" spans="1:31" x14ac:dyDescent="0.25">
      <c r="A15" t="s">
        <v>3185</v>
      </c>
      <c r="B15" s="73">
        <v>22</v>
      </c>
      <c r="C15" s="73">
        <v>10</v>
      </c>
      <c r="D15" s="73">
        <v>4</v>
      </c>
      <c r="E15" s="73">
        <v>6</v>
      </c>
      <c r="F15" s="73">
        <v>5</v>
      </c>
      <c r="G15" s="73">
        <v>4</v>
      </c>
      <c r="H15" s="73">
        <v>5</v>
      </c>
      <c r="I15" s="73">
        <v>4</v>
      </c>
      <c r="J15" s="73">
        <v>5</v>
      </c>
      <c r="K15" s="73">
        <v>6</v>
      </c>
      <c r="L15" s="73">
        <v>6</v>
      </c>
      <c r="M15" s="73">
        <v>6</v>
      </c>
      <c r="N15" s="73">
        <v>4</v>
      </c>
      <c r="O15" s="73">
        <v>5</v>
      </c>
      <c r="P15" s="73">
        <v>6</v>
      </c>
      <c r="Q15" s="73">
        <v>4</v>
      </c>
      <c r="R15" s="73">
        <v>5</v>
      </c>
      <c r="S15" s="73">
        <v>4</v>
      </c>
      <c r="T15" s="73">
        <v>4</v>
      </c>
      <c r="U15" s="73">
        <v>4</v>
      </c>
      <c r="V15" s="73">
        <v>4</v>
      </c>
      <c r="W15" s="73">
        <v>6</v>
      </c>
      <c r="X15" s="73">
        <v>4</v>
      </c>
      <c r="Y15" s="73">
        <v>4</v>
      </c>
      <c r="Z15" s="73">
        <v>5</v>
      </c>
      <c r="AA15" s="73">
        <v>5</v>
      </c>
      <c r="AB15" s="33"/>
      <c r="AC15" s="33"/>
      <c r="AD15" s="33" t="s">
        <v>574</v>
      </c>
      <c r="AE15" t="str">
        <f>VLOOKUP(AD15,GroupLabels!$E$2:$H$145,3,0)</f>
        <v>Belgium (Flemish Community) - Dutch</v>
      </c>
    </row>
    <row r="16" spans="1:31" x14ac:dyDescent="0.25">
      <c r="A16" t="s">
        <v>3479</v>
      </c>
      <c r="B16" s="73">
        <v>22</v>
      </c>
      <c r="C16" s="73">
        <v>9</v>
      </c>
      <c r="D16" s="73">
        <v>4</v>
      </c>
      <c r="E16" s="73">
        <v>6</v>
      </c>
      <c r="F16" s="73">
        <v>5</v>
      </c>
      <c r="G16" s="73">
        <v>4</v>
      </c>
      <c r="H16" s="73">
        <v>5</v>
      </c>
      <c r="I16" s="73">
        <v>4</v>
      </c>
      <c r="J16" s="73">
        <v>5</v>
      </c>
      <c r="K16" s="73">
        <v>6</v>
      </c>
      <c r="L16" s="73">
        <v>6</v>
      </c>
      <c r="M16" s="73">
        <v>6</v>
      </c>
      <c r="N16" s="73">
        <v>4</v>
      </c>
      <c r="O16" s="73">
        <v>5</v>
      </c>
      <c r="P16" s="73">
        <v>6</v>
      </c>
      <c r="Q16" s="73">
        <v>4</v>
      </c>
      <c r="R16" s="73">
        <v>5</v>
      </c>
      <c r="S16" s="73">
        <v>4</v>
      </c>
      <c r="T16" s="73">
        <v>4</v>
      </c>
      <c r="U16" s="73">
        <v>4</v>
      </c>
      <c r="V16" s="73">
        <v>4</v>
      </c>
      <c r="W16" s="73">
        <v>6</v>
      </c>
      <c r="X16" s="73">
        <v>4</v>
      </c>
      <c r="Y16" s="73">
        <v>4</v>
      </c>
      <c r="Z16" s="73">
        <v>5</v>
      </c>
      <c r="AA16" s="73">
        <v>5</v>
      </c>
      <c r="AB16" s="33"/>
      <c r="AC16" s="33"/>
      <c r="AD16" s="33" t="s">
        <v>575</v>
      </c>
      <c r="AE16" t="str">
        <f>VLOOKUP(AD16,GroupLabels!$E$2:$H$145,3,0)</f>
        <v>Belgium (French Community) - French</v>
      </c>
    </row>
    <row r="17" spans="1:31" x14ac:dyDescent="0.25">
      <c r="A17" t="s">
        <v>3478</v>
      </c>
      <c r="B17" s="73">
        <v>22</v>
      </c>
      <c r="C17" s="73">
        <v>9</v>
      </c>
      <c r="D17" s="73">
        <v>4</v>
      </c>
      <c r="E17" s="73">
        <v>6</v>
      </c>
      <c r="F17" s="73">
        <v>5</v>
      </c>
      <c r="G17" s="73">
        <v>4</v>
      </c>
      <c r="H17" s="73">
        <v>5</v>
      </c>
      <c r="I17" s="73">
        <v>4</v>
      </c>
      <c r="J17" s="73">
        <v>5</v>
      </c>
      <c r="K17" s="73">
        <v>6</v>
      </c>
      <c r="L17" s="73">
        <v>6</v>
      </c>
      <c r="M17" s="73">
        <v>6</v>
      </c>
      <c r="N17" s="73">
        <v>4</v>
      </c>
      <c r="O17" s="73">
        <v>5</v>
      </c>
      <c r="P17" s="73">
        <v>6</v>
      </c>
      <c r="Q17" s="73">
        <v>4</v>
      </c>
      <c r="R17" s="73">
        <v>5</v>
      </c>
      <c r="S17" s="73">
        <v>4</v>
      </c>
      <c r="T17" s="73">
        <v>4</v>
      </c>
      <c r="U17" s="73">
        <v>4</v>
      </c>
      <c r="V17" s="73">
        <v>4</v>
      </c>
      <c r="W17" s="73">
        <v>6</v>
      </c>
      <c r="X17" s="73">
        <v>4</v>
      </c>
      <c r="Y17" s="73">
        <v>4</v>
      </c>
      <c r="Z17" s="73">
        <v>5</v>
      </c>
      <c r="AA17" s="73">
        <v>5</v>
      </c>
      <c r="AB17" s="33"/>
      <c r="AC17" s="33"/>
      <c r="AD17" s="33" t="s">
        <v>576</v>
      </c>
      <c r="AE17" t="str">
        <f>VLOOKUP(AD17,GroupLabels!$E$2:$H$145,3,0)</f>
        <v>Belgium (French Community) - German</v>
      </c>
    </row>
    <row r="18" spans="1:31" x14ac:dyDescent="0.25">
      <c r="A18" t="s">
        <v>3199</v>
      </c>
      <c r="B18" s="73">
        <v>22</v>
      </c>
      <c r="C18" s="73">
        <v>9</v>
      </c>
      <c r="D18" s="73">
        <v>4</v>
      </c>
      <c r="E18" s="73">
        <v>6</v>
      </c>
      <c r="F18" s="73">
        <v>5</v>
      </c>
      <c r="G18" s="73">
        <v>4</v>
      </c>
      <c r="H18" s="73">
        <v>5</v>
      </c>
      <c r="I18" s="73">
        <v>4</v>
      </c>
      <c r="J18" s="73">
        <v>5</v>
      </c>
      <c r="K18" s="73">
        <v>6</v>
      </c>
      <c r="L18" s="73">
        <v>6</v>
      </c>
      <c r="M18" s="73">
        <v>6</v>
      </c>
      <c r="N18" s="73">
        <v>4</v>
      </c>
      <c r="O18" s="73">
        <v>5</v>
      </c>
      <c r="P18" s="73">
        <v>6</v>
      </c>
      <c r="Q18" s="73">
        <v>4</v>
      </c>
      <c r="R18" s="73">
        <v>5</v>
      </c>
      <c r="S18" s="73">
        <v>4</v>
      </c>
      <c r="T18" s="73">
        <v>4</v>
      </c>
      <c r="U18" s="73">
        <v>4</v>
      </c>
      <c r="V18" s="73">
        <v>4</v>
      </c>
      <c r="W18" s="73">
        <v>6</v>
      </c>
      <c r="X18" s="73">
        <v>4</v>
      </c>
      <c r="Y18" s="73">
        <v>4</v>
      </c>
      <c r="Z18" s="73">
        <v>5</v>
      </c>
      <c r="AA18" s="73">
        <v>5</v>
      </c>
      <c r="AB18" s="33"/>
      <c r="AC18" s="33"/>
      <c r="AD18" s="33" t="s">
        <v>577</v>
      </c>
      <c r="AE18" t="str">
        <f>VLOOKUP(AD18,GroupLabels!$E$2:$H$145,3,0)</f>
        <v>Brazil - Portuguese</v>
      </c>
    </row>
    <row r="19" spans="1:31" x14ac:dyDescent="0.25">
      <c r="A19" t="s">
        <v>2985</v>
      </c>
      <c r="B19" s="73">
        <v>18</v>
      </c>
      <c r="C19" s="73">
        <v>10</v>
      </c>
      <c r="D19" s="73">
        <v>4</v>
      </c>
      <c r="E19" s="73">
        <v>6</v>
      </c>
      <c r="F19" s="73">
        <v>5</v>
      </c>
      <c r="G19" s="73">
        <v>4</v>
      </c>
      <c r="H19" s="73">
        <v>5</v>
      </c>
      <c r="I19" s="73">
        <v>4</v>
      </c>
      <c r="J19" s="73">
        <v>5</v>
      </c>
      <c r="K19" s="73">
        <v>6</v>
      </c>
      <c r="L19" s="73">
        <v>6</v>
      </c>
      <c r="M19" s="73">
        <v>6</v>
      </c>
      <c r="N19" s="73">
        <v>4</v>
      </c>
      <c r="O19" s="73">
        <v>5</v>
      </c>
      <c r="P19" s="73">
        <v>6</v>
      </c>
      <c r="Q19" s="73">
        <v>4</v>
      </c>
      <c r="R19" s="73">
        <v>5</v>
      </c>
      <c r="S19" s="73">
        <v>4</v>
      </c>
      <c r="T19" s="73">
        <v>4</v>
      </c>
      <c r="U19" s="73">
        <v>4</v>
      </c>
      <c r="V19" s="73">
        <v>4</v>
      </c>
      <c r="W19" s="73">
        <v>6</v>
      </c>
      <c r="X19" s="73">
        <v>4</v>
      </c>
      <c r="Y19" s="73">
        <v>4</v>
      </c>
      <c r="Z19" s="73">
        <v>5</v>
      </c>
      <c r="AA19" s="73">
        <v>5</v>
      </c>
      <c r="AB19" s="33"/>
      <c r="AC19" s="33"/>
      <c r="AD19" s="33" t="s">
        <v>578</v>
      </c>
      <c r="AE19" t="str">
        <f>VLOOKUP(AD19,GroupLabels!$E$2:$H$145,3,0)</f>
        <v>Brunei Darussalam - English</v>
      </c>
    </row>
    <row r="20" spans="1:31" x14ac:dyDescent="0.25">
      <c r="A20" t="s">
        <v>2928</v>
      </c>
      <c r="B20" s="73">
        <v>21</v>
      </c>
      <c r="C20" s="73">
        <v>10</v>
      </c>
      <c r="D20" s="73">
        <v>4</v>
      </c>
      <c r="E20" s="73">
        <v>6</v>
      </c>
      <c r="F20" s="73">
        <v>5</v>
      </c>
      <c r="G20" s="73">
        <v>4</v>
      </c>
      <c r="H20" s="73">
        <v>5</v>
      </c>
      <c r="I20" s="73">
        <v>4</v>
      </c>
      <c r="J20" s="73">
        <v>5</v>
      </c>
      <c r="K20" s="73">
        <v>6</v>
      </c>
      <c r="L20" s="73">
        <v>6</v>
      </c>
      <c r="M20" s="73">
        <v>6</v>
      </c>
      <c r="N20" s="73">
        <v>4</v>
      </c>
      <c r="O20" s="73">
        <v>5</v>
      </c>
      <c r="P20" s="73">
        <v>6</v>
      </c>
      <c r="Q20" s="73">
        <v>4</v>
      </c>
      <c r="R20" s="73">
        <v>5</v>
      </c>
      <c r="S20" s="73">
        <v>4</v>
      </c>
      <c r="T20" s="73">
        <v>4</v>
      </c>
      <c r="U20" s="73">
        <v>4</v>
      </c>
      <c r="V20" s="73">
        <v>4</v>
      </c>
      <c r="W20" s="73">
        <v>6</v>
      </c>
      <c r="X20" s="73">
        <v>4</v>
      </c>
      <c r="Y20" s="73">
        <v>4</v>
      </c>
      <c r="Z20" s="73">
        <v>5</v>
      </c>
      <c r="AA20" s="73">
        <v>5</v>
      </c>
      <c r="AB20" s="33"/>
      <c r="AC20" s="33"/>
      <c r="AD20" s="33" t="s">
        <v>580</v>
      </c>
      <c r="AE20" t="str">
        <f>VLOOKUP(AD20,GroupLabels!$E$2:$H$145,3,0)</f>
        <v>Bulgaria - Bulgarian</v>
      </c>
    </row>
    <row r="21" spans="1:31" x14ac:dyDescent="0.25">
      <c r="A21" t="s">
        <v>751</v>
      </c>
      <c r="B21" s="73">
        <v>22</v>
      </c>
      <c r="C21" s="73">
        <v>9</v>
      </c>
      <c r="D21" s="73" t="s">
        <v>3476</v>
      </c>
      <c r="E21" s="73">
        <v>6</v>
      </c>
      <c r="F21" s="73">
        <v>5</v>
      </c>
      <c r="G21" s="73" t="s">
        <v>3476</v>
      </c>
      <c r="H21" s="73">
        <v>5</v>
      </c>
      <c r="I21" s="73">
        <v>4</v>
      </c>
      <c r="J21" s="73">
        <v>5</v>
      </c>
      <c r="K21" s="73" t="s">
        <v>3476</v>
      </c>
      <c r="L21" s="73">
        <v>6</v>
      </c>
      <c r="M21" s="73">
        <v>6</v>
      </c>
      <c r="N21" s="73" t="s">
        <v>3476</v>
      </c>
      <c r="O21" s="73">
        <v>5</v>
      </c>
      <c r="P21" s="73">
        <v>6</v>
      </c>
      <c r="Q21" s="73">
        <v>4</v>
      </c>
      <c r="R21" s="73">
        <v>5</v>
      </c>
      <c r="S21" s="73">
        <v>4</v>
      </c>
      <c r="T21" s="73" t="s">
        <v>3476</v>
      </c>
      <c r="U21" s="73">
        <v>4</v>
      </c>
      <c r="V21" s="73">
        <v>4</v>
      </c>
      <c r="W21" s="73">
        <v>6</v>
      </c>
      <c r="X21" s="73">
        <v>4</v>
      </c>
      <c r="Y21" s="73" t="s">
        <v>3476</v>
      </c>
      <c r="Z21" s="73">
        <v>5</v>
      </c>
      <c r="AA21" s="73" t="s">
        <v>3476</v>
      </c>
      <c r="AB21" s="33"/>
      <c r="AC21" s="33"/>
      <c r="AD21" s="33" t="s">
        <v>582</v>
      </c>
      <c r="AE21" t="str">
        <f>VLOOKUP(AD21,GroupLabels!$E$2:$H$145,3,0)</f>
        <v>Cambodia - Khmer</v>
      </c>
    </row>
    <row r="22" spans="1:31" x14ac:dyDescent="0.25">
      <c r="A22" t="s">
        <v>769</v>
      </c>
      <c r="B22" s="73">
        <v>22</v>
      </c>
      <c r="C22" s="73">
        <v>10</v>
      </c>
      <c r="D22" s="73">
        <v>4</v>
      </c>
      <c r="E22" s="73">
        <v>6</v>
      </c>
      <c r="F22" s="73">
        <v>5</v>
      </c>
      <c r="G22" s="73">
        <v>4</v>
      </c>
      <c r="H22" s="73">
        <v>5</v>
      </c>
      <c r="I22" s="73">
        <v>4</v>
      </c>
      <c r="J22" s="73">
        <v>5</v>
      </c>
      <c r="K22" s="73">
        <v>6</v>
      </c>
      <c r="L22" s="73">
        <v>6</v>
      </c>
      <c r="M22" s="73">
        <v>6</v>
      </c>
      <c r="N22" s="73">
        <v>4</v>
      </c>
      <c r="O22" s="73">
        <v>5</v>
      </c>
      <c r="P22" s="73">
        <v>6</v>
      </c>
      <c r="Q22" s="73">
        <v>4</v>
      </c>
      <c r="R22" s="73">
        <v>5</v>
      </c>
      <c r="S22" s="73">
        <v>4</v>
      </c>
      <c r="T22" s="73">
        <v>4</v>
      </c>
      <c r="U22" s="73">
        <v>4</v>
      </c>
      <c r="V22" s="73">
        <v>4</v>
      </c>
      <c r="W22" s="73">
        <v>6</v>
      </c>
      <c r="X22" s="73">
        <v>4</v>
      </c>
      <c r="Y22" s="73">
        <v>4</v>
      </c>
      <c r="Z22" s="73">
        <v>5</v>
      </c>
      <c r="AA22" s="73" t="s">
        <v>3476</v>
      </c>
      <c r="AB22" s="33"/>
      <c r="AC22" s="33"/>
      <c r="AD22" s="33" t="s">
        <v>583</v>
      </c>
      <c r="AE22" t="str">
        <f>VLOOKUP(AD22,GroupLabels!$E$2:$H$145,3,0)</f>
        <v>Canada - English</v>
      </c>
    </row>
    <row r="23" spans="1:31" x14ac:dyDescent="0.25">
      <c r="A23" t="s">
        <v>770</v>
      </c>
      <c r="B23" s="73">
        <v>19</v>
      </c>
      <c r="C23" s="73">
        <v>10</v>
      </c>
      <c r="D23" s="73">
        <v>4</v>
      </c>
      <c r="E23" s="73">
        <v>6</v>
      </c>
      <c r="F23" s="73">
        <v>5</v>
      </c>
      <c r="G23" s="73">
        <v>4</v>
      </c>
      <c r="H23" s="73">
        <v>5</v>
      </c>
      <c r="I23" s="73">
        <v>4</v>
      </c>
      <c r="J23" s="73">
        <v>5</v>
      </c>
      <c r="K23" s="73">
        <v>6</v>
      </c>
      <c r="L23" s="73">
        <v>6</v>
      </c>
      <c r="M23" s="73">
        <v>6</v>
      </c>
      <c r="N23" s="73">
        <v>4</v>
      </c>
      <c r="O23" s="73">
        <v>5</v>
      </c>
      <c r="P23" s="73">
        <v>6</v>
      </c>
      <c r="Q23" s="73">
        <v>4</v>
      </c>
      <c r="R23" s="73">
        <v>5</v>
      </c>
      <c r="S23" s="73">
        <v>4</v>
      </c>
      <c r="T23" s="73">
        <v>4</v>
      </c>
      <c r="U23" s="73">
        <v>4</v>
      </c>
      <c r="V23" s="73">
        <v>4</v>
      </c>
      <c r="W23" s="73">
        <v>6</v>
      </c>
      <c r="X23" s="73">
        <v>4</v>
      </c>
      <c r="Y23" s="73">
        <v>4</v>
      </c>
      <c r="Z23" s="73">
        <v>5</v>
      </c>
      <c r="AA23" s="73" t="s">
        <v>3476</v>
      </c>
      <c r="AB23" s="33"/>
      <c r="AC23" s="33"/>
      <c r="AD23" s="33" t="s">
        <v>584</v>
      </c>
      <c r="AE23" t="str">
        <f>VLOOKUP(AD23,GroupLabels!$E$2:$H$145,3,0)</f>
        <v>Canada - French</v>
      </c>
    </row>
    <row r="24" spans="1:31" x14ac:dyDescent="0.25">
      <c r="A24" t="s">
        <v>3037</v>
      </c>
      <c r="B24" s="73">
        <v>21</v>
      </c>
      <c r="C24" s="73">
        <v>10</v>
      </c>
      <c r="D24" s="73">
        <v>4</v>
      </c>
      <c r="E24" s="73">
        <v>6</v>
      </c>
      <c r="F24" s="73">
        <v>5</v>
      </c>
      <c r="G24" s="73">
        <v>4</v>
      </c>
      <c r="H24" s="73">
        <v>5</v>
      </c>
      <c r="I24" s="73">
        <v>4</v>
      </c>
      <c r="J24" s="73">
        <v>5</v>
      </c>
      <c r="K24" s="73">
        <v>6</v>
      </c>
      <c r="L24" s="73">
        <v>6</v>
      </c>
      <c r="M24" s="73">
        <v>6</v>
      </c>
      <c r="N24" s="73">
        <v>4</v>
      </c>
      <c r="O24" s="73">
        <v>5</v>
      </c>
      <c r="P24" s="73">
        <v>6</v>
      </c>
      <c r="Q24" s="73">
        <v>4</v>
      </c>
      <c r="R24" s="73">
        <v>5</v>
      </c>
      <c r="S24" s="73">
        <v>4</v>
      </c>
      <c r="T24" s="73">
        <v>4</v>
      </c>
      <c r="U24" s="73">
        <v>4</v>
      </c>
      <c r="V24" s="73">
        <v>4</v>
      </c>
      <c r="W24" s="73">
        <v>6</v>
      </c>
      <c r="X24" s="73">
        <v>4</v>
      </c>
      <c r="Y24" s="73">
        <v>4</v>
      </c>
      <c r="Z24" s="73">
        <v>5</v>
      </c>
      <c r="AA24" s="73">
        <v>5</v>
      </c>
      <c r="AB24" s="33"/>
      <c r="AC24" s="33"/>
      <c r="AD24" s="33" t="s">
        <v>585</v>
      </c>
      <c r="AE24" t="str">
        <f>VLOOKUP(AD24,GroupLabels!$E$2:$H$145,3,0)</f>
        <v>Chile - Spanish</v>
      </c>
    </row>
    <row r="25" spans="1:31" x14ac:dyDescent="0.25">
      <c r="A25" t="s">
        <v>3040</v>
      </c>
      <c r="B25" s="73">
        <v>19</v>
      </c>
      <c r="C25" s="73">
        <v>9</v>
      </c>
      <c r="D25" s="73">
        <v>4</v>
      </c>
      <c r="E25" s="73">
        <v>6</v>
      </c>
      <c r="F25" s="73">
        <v>5</v>
      </c>
      <c r="G25" s="73">
        <v>4</v>
      </c>
      <c r="H25" s="73">
        <v>5</v>
      </c>
      <c r="I25" s="73">
        <v>4</v>
      </c>
      <c r="J25" s="73">
        <v>5</v>
      </c>
      <c r="K25" s="73">
        <v>6</v>
      </c>
      <c r="L25" s="73">
        <v>6</v>
      </c>
      <c r="M25" s="73">
        <v>6</v>
      </c>
      <c r="N25" s="73">
        <v>4</v>
      </c>
      <c r="O25" s="73">
        <v>5</v>
      </c>
      <c r="P25" s="73">
        <v>6</v>
      </c>
      <c r="Q25" s="73">
        <v>4</v>
      </c>
      <c r="R25" s="73">
        <v>5</v>
      </c>
      <c r="S25" s="73">
        <v>4</v>
      </c>
      <c r="T25" s="73">
        <v>4</v>
      </c>
      <c r="U25" s="73">
        <v>4</v>
      </c>
      <c r="V25" s="73">
        <v>4</v>
      </c>
      <c r="W25" s="73">
        <v>6</v>
      </c>
      <c r="X25" s="73">
        <v>4</v>
      </c>
      <c r="Y25" s="73">
        <v>4</v>
      </c>
      <c r="Z25" s="73">
        <v>5</v>
      </c>
      <c r="AA25" s="73">
        <v>5</v>
      </c>
      <c r="AB25" s="33"/>
      <c r="AC25" s="33"/>
      <c r="AD25" s="33" t="s">
        <v>586</v>
      </c>
      <c r="AE25" t="str">
        <f>VLOOKUP(AD25,GroupLabels!$E$2:$H$145,3,0)</f>
        <v>Colombia - Spanish</v>
      </c>
    </row>
    <row r="26" spans="1:31" x14ac:dyDescent="0.25">
      <c r="A26" t="s">
        <v>763</v>
      </c>
      <c r="B26" s="73" t="s">
        <v>3476</v>
      </c>
      <c r="C26" s="73" t="s">
        <v>3476</v>
      </c>
      <c r="D26" s="73">
        <v>4</v>
      </c>
      <c r="E26" s="73">
        <v>6</v>
      </c>
      <c r="F26" s="73">
        <v>5</v>
      </c>
      <c r="G26" s="73">
        <v>4</v>
      </c>
      <c r="H26" s="73" t="s">
        <v>3476</v>
      </c>
      <c r="I26" s="73">
        <v>4</v>
      </c>
      <c r="J26" s="73">
        <v>5</v>
      </c>
      <c r="K26" s="73">
        <v>6</v>
      </c>
      <c r="L26" s="73">
        <v>6</v>
      </c>
      <c r="M26" s="73">
        <v>6</v>
      </c>
      <c r="N26" s="73">
        <v>4</v>
      </c>
      <c r="O26" s="73">
        <v>5</v>
      </c>
      <c r="P26" s="73">
        <v>6</v>
      </c>
      <c r="Q26" s="73">
        <v>4</v>
      </c>
      <c r="R26" s="73" t="s">
        <v>3476</v>
      </c>
      <c r="S26" s="73">
        <v>4</v>
      </c>
      <c r="T26" s="73">
        <v>4</v>
      </c>
      <c r="U26" s="73">
        <v>4</v>
      </c>
      <c r="V26" s="73">
        <v>4</v>
      </c>
      <c r="W26" s="73">
        <v>6</v>
      </c>
      <c r="X26" s="73">
        <v>4</v>
      </c>
      <c r="Y26" s="73">
        <v>4</v>
      </c>
      <c r="Z26" s="73">
        <v>5</v>
      </c>
      <c r="AA26" s="73">
        <v>5</v>
      </c>
      <c r="AB26" s="33"/>
      <c r="AC26" s="33"/>
      <c r="AD26" s="33" t="s">
        <v>587</v>
      </c>
      <c r="AE26" t="str">
        <f>VLOOKUP(AD26,GroupLabels!$E$2:$H$145,3,0)</f>
        <v>Costa Rica - Spanish</v>
      </c>
    </row>
    <row r="27" spans="1:31" x14ac:dyDescent="0.25">
      <c r="A27" t="s">
        <v>3098</v>
      </c>
      <c r="B27" s="73">
        <v>22</v>
      </c>
      <c r="C27" s="73">
        <v>9</v>
      </c>
      <c r="D27" s="73">
        <v>4</v>
      </c>
      <c r="E27" s="73">
        <v>6</v>
      </c>
      <c r="F27" s="73">
        <v>5</v>
      </c>
      <c r="G27" s="73">
        <v>4</v>
      </c>
      <c r="H27" s="73">
        <v>5</v>
      </c>
      <c r="I27" s="73">
        <v>4</v>
      </c>
      <c r="J27" s="73">
        <v>5</v>
      </c>
      <c r="K27" s="73">
        <v>6</v>
      </c>
      <c r="L27" s="73">
        <v>6</v>
      </c>
      <c r="M27" s="73">
        <v>6</v>
      </c>
      <c r="N27" s="73">
        <v>4</v>
      </c>
      <c r="O27" s="73">
        <v>5</v>
      </c>
      <c r="P27" s="73">
        <v>6</v>
      </c>
      <c r="Q27" s="73">
        <v>4</v>
      </c>
      <c r="R27" s="73">
        <v>5</v>
      </c>
      <c r="S27" s="73">
        <v>4</v>
      </c>
      <c r="T27" s="73">
        <v>4</v>
      </c>
      <c r="U27" s="73">
        <v>4</v>
      </c>
      <c r="V27" s="73">
        <v>4</v>
      </c>
      <c r="W27" s="73">
        <v>6</v>
      </c>
      <c r="X27" s="73">
        <v>4</v>
      </c>
      <c r="Y27" s="73">
        <v>4</v>
      </c>
      <c r="Z27" s="73">
        <v>5</v>
      </c>
      <c r="AA27" s="73">
        <v>5</v>
      </c>
      <c r="AB27" s="33"/>
      <c r="AC27" s="33"/>
      <c r="AD27" s="33" t="s">
        <v>588</v>
      </c>
      <c r="AE27" t="str">
        <f>VLOOKUP(AD27,GroupLabels!$E$2:$H$145,3,0)</f>
        <v>Croatia - Croatian</v>
      </c>
    </row>
    <row r="28" spans="1:31" x14ac:dyDescent="0.25">
      <c r="A28" t="s">
        <v>2988</v>
      </c>
      <c r="B28" s="73">
        <v>22</v>
      </c>
      <c r="C28" s="73">
        <v>9</v>
      </c>
      <c r="D28" s="73">
        <v>4</v>
      </c>
      <c r="E28" s="73">
        <v>6</v>
      </c>
      <c r="F28" s="73">
        <v>5</v>
      </c>
      <c r="G28" s="73">
        <v>4</v>
      </c>
      <c r="H28" s="73">
        <v>5</v>
      </c>
      <c r="I28" s="73">
        <v>4</v>
      </c>
      <c r="J28" s="73">
        <v>5</v>
      </c>
      <c r="K28" s="73">
        <v>6</v>
      </c>
      <c r="L28" s="73">
        <v>6</v>
      </c>
      <c r="M28" s="73">
        <v>6</v>
      </c>
      <c r="N28" s="73">
        <v>4</v>
      </c>
      <c r="O28" s="73">
        <v>5</v>
      </c>
      <c r="P28" s="73">
        <v>6</v>
      </c>
      <c r="Q28" s="73">
        <v>4</v>
      </c>
      <c r="R28" s="73">
        <v>5</v>
      </c>
      <c r="S28" s="73">
        <v>4</v>
      </c>
      <c r="T28" s="73">
        <v>4</v>
      </c>
      <c r="U28" s="73">
        <v>4</v>
      </c>
      <c r="V28" s="73">
        <v>4</v>
      </c>
      <c r="W28" s="73">
        <v>6</v>
      </c>
      <c r="X28" s="73">
        <v>4</v>
      </c>
      <c r="Y28" s="73">
        <v>4</v>
      </c>
      <c r="Z28" s="73">
        <v>5</v>
      </c>
      <c r="AA28" s="73">
        <v>5</v>
      </c>
      <c r="AB28" s="33"/>
      <c r="AC28" s="33"/>
      <c r="AD28" s="33" t="s">
        <v>589</v>
      </c>
      <c r="AE28" t="str">
        <f>VLOOKUP(AD28,GroupLabels!$E$2:$H$145,3,0)</f>
        <v>Cyprus - English*</v>
      </c>
    </row>
    <row r="29" spans="1:31" x14ac:dyDescent="0.25">
      <c r="A29" t="s">
        <v>2974</v>
      </c>
      <c r="B29" s="73">
        <v>22</v>
      </c>
      <c r="C29" s="73">
        <v>10</v>
      </c>
      <c r="D29" s="73">
        <v>4</v>
      </c>
      <c r="E29" s="73">
        <v>6</v>
      </c>
      <c r="F29" s="73">
        <v>5</v>
      </c>
      <c r="G29" s="73">
        <v>4</v>
      </c>
      <c r="H29" s="73">
        <v>5</v>
      </c>
      <c r="I29" s="73">
        <v>4</v>
      </c>
      <c r="J29" s="73">
        <v>5</v>
      </c>
      <c r="K29" s="73">
        <v>6</v>
      </c>
      <c r="L29" s="73">
        <v>6</v>
      </c>
      <c r="M29" s="73">
        <v>6</v>
      </c>
      <c r="N29" s="73">
        <v>4</v>
      </c>
      <c r="O29" s="73">
        <v>5</v>
      </c>
      <c r="P29" s="73">
        <v>6</v>
      </c>
      <c r="Q29" s="73">
        <v>4</v>
      </c>
      <c r="R29" s="73">
        <v>5</v>
      </c>
      <c r="S29" s="73">
        <v>4</v>
      </c>
      <c r="T29" s="73">
        <v>4</v>
      </c>
      <c r="U29" s="73">
        <v>4</v>
      </c>
      <c r="V29" s="73">
        <v>4</v>
      </c>
      <c r="W29" s="73">
        <v>6</v>
      </c>
      <c r="X29" s="73">
        <v>4</v>
      </c>
      <c r="Y29" s="73">
        <v>4</v>
      </c>
      <c r="Z29" s="73">
        <v>5</v>
      </c>
      <c r="AA29" s="73">
        <v>5</v>
      </c>
      <c r="AB29" s="33"/>
      <c r="AC29" s="33"/>
      <c r="AD29" s="33" t="s">
        <v>590</v>
      </c>
      <c r="AE29" t="str">
        <f>VLOOKUP(AD29,GroupLabels!$E$2:$H$145,3,0)</f>
        <v>Cyprus - Modern Greek*</v>
      </c>
    </row>
    <row r="30" spans="1:31" x14ac:dyDescent="0.25">
      <c r="A30" t="s">
        <v>2946</v>
      </c>
      <c r="B30" s="73">
        <v>21</v>
      </c>
      <c r="C30" s="73">
        <v>9</v>
      </c>
      <c r="D30" s="73">
        <v>4</v>
      </c>
      <c r="E30" s="73">
        <v>6</v>
      </c>
      <c r="F30" s="73">
        <v>5</v>
      </c>
      <c r="G30" s="73">
        <v>4</v>
      </c>
      <c r="H30" s="73">
        <v>5</v>
      </c>
      <c r="I30" s="73">
        <v>4</v>
      </c>
      <c r="J30" s="73">
        <v>5</v>
      </c>
      <c r="K30" s="73">
        <v>6</v>
      </c>
      <c r="L30" s="73">
        <v>6</v>
      </c>
      <c r="M30" s="73">
        <v>6</v>
      </c>
      <c r="N30" s="73">
        <v>4</v>
      </c>
      <c r="O30" s="73">
        <v>5</v>
      </c>
      <c r="P30" s="73">
        <v>6</v>
      </c>
      <c r="Q30" s="73">
        <v>4</v>
      </c>
      <c r="R30" s="73">
        <v>5</v>
      </c>
      <c r="S30" s="73">
        <v>4</v>
      </c>
      <c r="T30" s="73">
        <v>4</v>
      </c>
      <c r="U30" s="73">
        <v>4</v>
      </c>
      <c r="V30" s="73">
        <v>4</v>
      </c>
      <c r="W30" s="73">
        <v>6</v>
      </c>
      <c r="X30" s="73">
        <v>4</v>
      </c>
      <c r="Y30" s="73">
        <v>4</v>
      </c>
      <c r="Z30" s="73">
        <v>5</v>
      </c>
      <c r="AA30" s="73">
        <v>5</v>
      </c>
      <c r="AB30" s="33"/>
      <c r="AC30" s="33"/>
      <c r="AD30" s="33" t="s">
        <v>591</v>
      </c>
      <c r="AE30" t="str">
        <f>VLOOKUP(AD30,GroupLabels!$E$2:$H$145,3,0)</f>
        <v>Czechia - Czech</v>
      </c>
    </row>
    <row r="31" spans="1:31" x14ac:dyDescent="0.25">
      <c r="A31" t="s">
        <v>765</v>
      </c>
      <c r="B31" s="73">
        <v>20</v>
      </c>
      <c r="C31" s="73">
        <v>9</v>
      </c>
      <c r="D31" s="73">
        <v>4</v>
      </c>
      <c r="E31" s="73">
        <v>6</v>
      </c>
      <c r="F31" s="73">
        <v>5</v>
      </c>
      <c r="G31" s="73">
        <v>4</v>
      </c>
      <c r="H31" s="73">
        <v>5</v>
      </c>
      <c r="I31" s="73">
        <v>4</v>
      </c>
      <c r="J31" s="73">
        <v>5</v>
      </c>
      <c r="K31" s="73">
        <v>6</v>
      </c>
      <c r="L31" s="73">
        <v>6</v>
      </c>
      <c r="M31" s="73">
        <v>6</v>
      </c>
      <c r="N31" s="73">
        <v>4</v>
      </c>
      <c r="O31" s="73">
        <v>5</v>
      </c>
      <c r="P31" s="73">
        <v>6</v>
      </c>
      <c r="Q31" s="73">
        <v>4</v>
      </c>
      <c r="R31" s="73">
        <v>5</v>
      </c>
      <c r="S31" s="73" t="s">
        <v>3476</v>
      </c>
      <c r="T31" s="73">
        <v>4</v>
      </c>
      <c r="U31" s="73">
        <v>4</v>
      </c>
      <c r="V31" s="73">
        <v>4</v>
      </c>
      <c r="W31" s="73">
        <v>6</v>
      </c>
      <c r="X31" s="73">
        <v>4</v>
      </c>
      <c r="Y31" s="73">
        <v>4</v>
      </c>
      <c r="Z31" s="73">
        <v>5</v>
      </c>
      <c r="AA31" s="73">
        <v>5</v>
      </c>
      <c r="AB31" s="33"/>
      <c r="AC31" s="33"/>
      <c r="AD31" s="33" t="s">
        <v>592</v>
      </c>
      <c r="AE31" t="str">
        <f>VLOOKUP(AD31,GroupLabels!$E$2:$H$145,3,0)</f>
        <v>Denmark - Danish</v>
      </c>
    </row>
    <row r="32" spans="1:31" x14ac:dyDescent="0.25">
      <c r="A32" t="s">
        <v>766</v>
      </c>
      <c r="B32" s="73">
        <v>19</v>
      </c>
      <c r="C32" s="73">
        <v>9</v>
      </c>
      <c r="D32" s="73">
        <v>4</v>
      </c>
      <c r="E32" s="73">
        <v>6</v>
      </c>
      <c r="F32" s="73">
        <v>5</v>
      </c>
      <c r="G32" s="73">
        <v>4</v>
      </c>
      <c r="H32" s="73">
        <v>5</v>
      </c>
      <c r="I32" s="73">
        <v>4</v>
      </c>
      <c r="J32" s="73">
        <v>5</v>
      </c>
      <c r="K32" s="73">
        <v>6</v>
      </c>
      <c r="L32" s="73">
        <v>6</v>
      </c>
      <c r="M32" s="73">
        <v>6</v>
      </c>
      <c r="N32" s="73">
        <v>4</v>
      </c>
      <c r="O32" s="73">
        <v>5</v>
      </c>
      <c r="P32" s="73">
        <v>6</v>
      </c>
      <c r="Q32" s="73">
        <v>4</v>
      </c>
      <c r="R32" s="73">
        <v>5</v>
      </c>
      <c r="S32" s="73" t="s">
        <v>3476</v>
      </c>
      <c r="T32" s="73">
        <v>4</v>
      </c>
      <c r="U32" s="73">
        <v>4</v>
      </c>
      <c r="V32" s="73">
        <v>4</v>
      </c>
      <c r="W32" s="73">
        <v>6</v>
      </c>
      <c r="X32" s="73">
        <v>4</v>
      </c>
      <c r="Y32" s="73">
        <v>4</v>
      </c>
      <c r="Z32" s="73">
        <v>5</v>
      </c>
      <c r="AA32" s="73">
        <v>5</v>
      </c>
      <c r="AB32" s="33"/>
      <c r="AC32" s="33"/>
      <c r="AD32" s="33" t="s">
        <v>593</v>
      </c>
      <c r="AE32" t="str">
        <f>VLOOKUP(AD32,GroupLabels!$E$2:$H$145,3,0)</f>
        <v>Denmark - Faroese</v>
      </c>
    </row>
    <row r="33" spans="1:31" x14ac:dyDescent="0.25">
      <c r="A33" t="s">
        <v>3044</v>
      </c>
      <c r="B33" s="73">
        <v>21</v>
      </c>
      <c r="C33" s="73">
        <v>9</v>
      </c>
      <c r="D33" s="73">
        <v>4</v>
      </c>
      <c r="E33" s="73">
        <v>6</v>
      </c>
      <c r="F33" s="73">
        <v>5</v>
      </c>
      <c r="G33" s="73">
        <v>4</v>
      </c>
      <c r="H33" s="73">
        <v>5</v>
      </c>
      <c r="I33" s="73">
        <v>4</v>
      </c>
      <c r="J33" s="73">
        <v>5</v>
      </c>
      <c r="K33" s="73">
        <v>6</v>
      </c>
      <c r="L33" s="73">
        <v>6</v>
      </c>
      <c r="M33" s="73">
        <v>6</v>
      </c>
      <c r="N33" s="73">
        <v>4</v>
      </c>
      <c r="O33" s="73">
        <v>5</v>
      </c>
      <c r="P33" s="73">
        <v>6</v>
      </c>
      <c r="Q33" s="73">
        <v>4</v>
      </c>
      <c r="R33" s="73">
        <v>5</v>
      </c>
      <c r="S33" s="73">
        <v>4</v>
      </c>
      <c r="T33" s="73">
        <v>4</v>
      </c>
      <c r="U33" s="73">
        <v>4</v>
      </c>
      <c r="V33" s="73">
        <v>4</v>
      </c>
      <c r="W33" s="73">
        <v>6</v>
      </c>
      <c r="X33" s="73">
        <v>4</v>
      </c>
      <c r="Y33" s="73">
        <v>4</v>
      </c>
      <c r="Z33" s="73">
        <v>5</v>
      </c>
      <c r="AA33" s="73">
        <v>5</v>
      </c>
      <c r="AB33" s="33"/>
      <c r="AC33" s="33"/>
      <c r="AD33" s="33" t="s">
        <v>594</v>
      </c>
      <c r="AE33" t="str">
        <f>VLOOKUP(AD33,GroupLabels!$E$2:$H$145,3,0)</f>
        <v>Dominican Republic - Spanish</v>
      </c>
    </row>
    <row r="34" spans="1:31" x14ac:dyDescent="0.25">
      <c r="A34" t="s">
        <v>752</v>
      </c>
      <c r="B34" s="73">
        <v>22</v>
      </c>
      <c r="C34" s="73">
        <v>10</v>
      </c>
      <c r="D34" s="73" t="s">
        <v>3476</v>
      </c>
      <c r="E34" s="73">
        <v>6</v>
      </c>
      <c r="F34" s="73">
        <v>5</v>
      </c>
      <c r="G34" s="73" t="s">
        <v>3476</v>
      </c>
      <c r="H34" s="73">
        <v>5</v>
      </c>
      <c r="I34" s="73">
        <v>4</v>
      </c>
      <c r="J34" s="73">
        <v>5</v>
      </c>
      <c r="K34" s="73" t="s">
        <v>3476</v>
      </c>
      <c r="L34" s="73">
        <v>6</v>
      </c>
      <c r="M34" s="73">
        <v>6</v>
      </c>
      <c r="N34" s="73" t="s">
        <v>3476</v>
      </c>
      <c r="O34" s="73">
        <v>5</v>
      </c>
      <c r="P34" s="73">
        <v>6</v>
      </c>
      <c r="Q34" s="73">
        <v>4</v>
      </c>
      <c r="R34" s="73">
        <v>5</v>
      </c>
      <c r="S34" s="73">
        <v>4</v>
      </c>
      <c r="T34" s="73" t="s">
        <v>3476</v>
      </c>
      <c r="U34" s="73">
        <v>4</v>
      </c>
      <c r="V34" s="73">
        <v>4</v>
      </c>
      <c r="W34" s="73">
        <v>6</v>
      </c>
      <c r="X34" s="73">
        <v>4</v>
      </c>
      <c r="Y34" s="73" t="s">
        <v>3476</v>
      </c>
      <c r="Z34" s="73">
        <v>5</v>
      </c>
      <c r="AA34" s="73" t="s">
        <v>3476</v>
      </c>
      <c r="AB34" s="33"/>
      <c r="AC34" s="33"/>
      <c r="AD34" s="33" t="s">
        <v>595</v>
      </c>
      <c r="AE34" t="str">
        <f>VLOOKUP(AD34,GroupLabels!$E$2:$H$145,3,0)</f>
        <v>Dushanbe (Tajikistan) - Russian</v>
      </c>
    </row>
    <row r="35" spans="1:31" x14ac:dyDescent="0.25">
      <c r="A35" t="s">
        <v>753</v>
      </c>
      <c r="B35" s="73">
        <v>20</v>
      </c>
      <c r="C35" s="73">
        <v>10</v>
      </c>
      <c r="D35" s="73" t="s">
        <v>3476</v>
      </c>
      <c r="E35" s="73">
        <v>6</v>
      </c>
      <c r="F35" s="73">
        <v>5</v>
      </c>
      <c r="G35" s="73" t="s">
        <v>3476</v>
      </c>
      <c r="H35" s="73">
        <v>5</v>
      </c>
      <c r="I35" s="73">
        <v>4</v>
      </c>
      <c r="J35" s="73">
        <v>5</v>
      </c>
      <c r="K35" s="73" t="s">
        <v>3476</v>
      </c>
      <c r="L35" s="73">
        <v>6</v>
      </c>
      <c r="M35" s="73">
        <v>6</v>
      </c>
      <c r="N35" s="73" t="s">
        <v>3476</v>
      </c>
      <c r="O35" s="73">
        <v>5</v>
      </c>
      <c r="P35" s="73">
        <v>6</v>
      </c>
      <c r="Q35" s="73">
        <v>4</v>
      </c>
      <c r="R35" s="73">
        <v>5</v>
      </c>
      <c r="S35" s="73">
        <v>4</v>
      </c>
      <c r="T35" s="73" t="s">
        <v>3476</v>
      </c>
      <c r="U35" s="73">
        <v>4</v>
      </c>
      <c r="V35" s="73">
        <v>4</v>
      </c>
      <c r="W35" s="73">
        <v>6</v>
      </c>
      <c r="X35" s="73">
        <v>4</v>
      </c>
      <c r="Y35" s="73" t="s">
        <v>3476</v>
      </c>
      <c r="Z35" s="73">
        <v>5</v>
      </c>
      <c r="AA35" s="73" t="s">
        <v>3476</v>
      </c>
      <c r="AB35" s="33"/>
      <c r="AC35" s="33"/>
      <c r="AD35" s="33" t="s">
        <v>596</v>
      </c>
      <c r="AE35" t="str">
        <f>VLOOKUP(AD35,GroupLabels!$E$2:$H$145,3,0)</f>
        <v>Dushanbe (Tajikistan) - Tajik</v>
      </c>
    </row>
    <row r="36" spans="1:31" x14ac:dyDescent="0.25">
      <c r="A36" t="s">
        <v>3046</v>
      </c>
      <c r="B36" s="73">
        <v>21</v>
      </c>
      <c r="C36" s="73">
        <v>9</v>
      </c>
      <c r="D36" s="73">
        <v>4</v>
      </c>
      <c r="E36" s="73">
        <v>6</v>
      </c>
      <c r="F36" s="73">
        <v>5</v>
      </c>
      <c r="G36" s="73">
        <v>4</v>
      </c>
      <c r="H36" s="73">
        <v>5</v>
      </c>
      <c r="I36" s="73">
        <v>4</v>
      </c>
      <c r="J36" s="73">
        <v>5</v>
      </c>
      <c r="K36" s="73">
        <v>6</v>
      </c>
      <c r="L36" s="73">
        <v>6</v>
      </c>
      <c r="M36" s="73">
        <v>6</v>
      </c>
      <c r="N36" s="73">
        <v>4</v>
      </c>
      <c r="O36" s="73">
        <v>5</v>
      </c>
      <c r="P36" s="73">
        <v>6</v>
      </c>
      <c r="Q36" s="73">
        <v>4</v>
      </c>
      <c r="R36" s="73">
        <v>5</v>
      </c>
      <c r="S36" s="73">
        <v>4</v>
      </c>
      <c r="T36" s="73">
        <v>4</v>
      </c>
      <c r="U36" s="73">
        <v>4</v>
      </c>
      <c r="V36" s="73">
        <v>4</v>
      </c>
      <c r="W36" s="73">
        <v>6</v>
      </c>
      <c r="X36" s="73">
        <v>4</v>
      </c>
      <c r="Y36" s="73">
        <v>4</v>
      </c>
      <c r="Z36" s="73">
        <v>5</v>
      </c>
      <c r="AA36" s="73">
        <v>5</v>
      </c>
      <c r="AB36" s="33"/>
      <c r="AC36" s="33"/>
      <c r="AD36" s="33" t="s">
        <v>597</v>
      </c>
      <c r="AE36" t="str">
        <f>VLOOKUP(AD36,GroupLabels!$E$2:$H$145,3,0)</f>
        <v>Ecuador - Spanish</v>
      </c>
    </row>
    <row r="37" spans="1:31" x14ac:dyDescent="0.25">
      <c r="A37" t="s">
        <v>3062</v>
      </c>
      <c r="B37" s="73">
        <v>21</v>
      </c>
      <c r="C37" s="73">
        <v>9</v>
      </c>
      <c r="D37" s="73">
        <v>4</v>
      </c>
      <c r="E37" s="73">
        <v>6</v>
      </c>
      <c r="F37" s="73">
        <v>5</v>
      </c>
      <c r="G37" s="73">
        <v>4</v>
      </c>
      <c r="H37" s="73">
        <v>5</v>
      </c>
      <c r="I37" s="73">
        <v>4</v>
      </c>
      <c r="J37" s="73">
        <v>5</v>
      </c>
      <c r="K37" s="73">
        <v>6</v>
      </c>
      <c r="L37" s="73">
        <v>6</v>
      </c>
      <c r="M37" s="73">
        <v>6</v>
      </c>
      <c r="N37" s="73">
        <v>4</v>
      </c>
      <c r="O37" s="73">
        <v>5</v>
      </c>
      <c r="P37" s="73">
        <v>6</v>
      </c>
      <c r="Q37" s="73">
        <v>4</v>
      </c>
      <c r="R37" s="73">
        <v>5</v>
      </c>
      <c r="S37" s="73">
        <v>4</v>
      </c>
      <c r="T37" s="73">
        <v>4</v>
      </c>
      <c r="U37" s="73">
        <v>4</v>
      </c>
      <c r="V37" s="73">
        <v>4</v>
      </c>
      <c r="W37" s="73">
        <v>6</v>
      </c>
      <c r="X37" s="73">
        <v>4</v>
      </c>
      <c r="Y37" s="73">
        <v>4</v>
      </c>
      <c r="Z37" s="73">
        <v>5</v>
      </c>
      <c r="AA37" s="73">
        <v>5</v>
      </c>
      <c r="AB37" s="33"/>
      <c r="AC37" s="33"/>
      <c r="AD37" s="33" t="s">
        <v>598</v>
      </c>
      <c r="AE37" t="str">
        <f>VLOOKUP(AD37,GroupLabels!$E$2:$H$145,3,0)</f>
        <v>El Salvador - Spanish</v>
      </c>
    </row>
    <row r="38" spans="1:31" x14ac:dyDescent="0.25">
      <c r="A38" t="s">
        <v>3069</v>
      </c>
      <c r="B38" s="73">
        <v>22</v>
      </c>
      <c r="C38" s="73">
        <v>9</v>
      </c>
      <c r="D38" s="73">
        <v>4</v>
      </c>
      <c r="E38" s="73">
        <v>6</v>
      </c>
      <c r="F38" s="73">
        <v>5</v>
      </c>
      <c r="G38" s="73">
        <v>4</v>
      </c>
      <c r="H38" s="73">
        <v>5</v>
      </c>
      <c r="I38" s="73">
        <v>4</v>
      </c>
      <c r="J38" s="73">
        <v>5</v>
      </c>
      <c r="K38" s="73">
        <v>6</v>
      </c>
      <c r="L38" s="73">
        <v>6</v>
      </c>
      <c r="M38" s="73">
        <v>6</v>
      </c>
      <c r="N38" s="73">
        <v>4</v>
      </c>
      <c r="O38" s="73">
        <v>5</v>
      </c>
      <c r="P38" s="73">
        <v>6</v>
      </c>
      <c r="Q38" s="73">
        <v>4</v>
      </c>
      <c r="R38" s="73">
        <v>5</v>
      </c>
      <c r="S38" s="73">
        <v>4</v>
      </c>
      <c r="T38" s="73">
        <v>4</v>
      </c>
      <c r="U38" s="73">
        <v>4</v>
      </c>
      <c r="V38" s="73">
        <v>4</v>
      </c>
      <c r="W38" s="73">
        <v>6</v>
      </c>
      <c r="X38" s="73">
        <v>4</v>
      </c>
      <c r="Y38" s="73">
        <v>4</v>
      </c>
      <c r="Z38" s="73">
        <v>5</v>
      </c>
      <c r="AA38" s="73">
        <v>5</v>
      </c>
      <c r="AB38" s="33"/>
      <c r="AC38" s="33"/>
      <c r="AD38" s="33" t="s">
        <v>599</v>
      </c>
      <c r="AE38" t="str">
        <f>VLOOKUP(AD38,GroupLabels!$E$2:$H$145,3,0)</f>
        <v>Estonia - Estonian</v>
      </c>
    </row>
    <row r="39" spans="1:31" x14ac:dyDescent="0.25">
      <c r="A39" t="s">
        <v>3210</v>
      </c>
      <c r="B39" s="73">
        <v>21</v>
      </c>
      <c r="C39" s="73">
        <v>9</v>
      </c>
      <c r="D39" s="73">
        <v>4</v>
      </c>
      <c r="E39" s="73">
        <v>6</v>
      </c>
      <c r="F39" s="73">
        <v>5</v>
      </c>
      <c r="G39" s="73">
        <v>4</v>
      </c>
      <c r="H39" s="73">
        <v>5</v>
      </c>
      <c r="I39" s="73">
        <v>4</v>
      </c>
      <c r="J39" s="73">
        <v>5</v>
      </c>
      <c r="K39" s="73">
        <v>6</v>
      </c>
      <c r="L39" s="73">
        <v>6</v>
      </c>
      <c r="M39" s="73">
        <v>6</v>
      </c>
      <c r="N39" s="73">
        <v>4</v>
      </c>
      <c r="O39" s="73">
        <v>5</v>
      </c>
      <c r="P39" s="73">
        <v>6</v>
      </c>
      <c r="Q39" s="73">
        <v>4</v>
      </c>
      <c r="R39" s="73">
        <v>5</v>
      </c>
      <c r="S39" s="73">
        <v>4</v>
      </c>
      <c r="T39" s="73">
        <v>4</v>
      </c>
      <c r="U39" s="73">
        <v>4</v>
      </c>
      <c r="V39" s="73">
        <v>4</v>
      </c>
      <c r="W39" s="73">
        <v>6</v>
      </c>
      <c r="X39" s="73">
        <v>4</v>
      </c>
      <c r="Y39" s="73">
        <v>4</v>
      </c>
      <c r="Z39" s="73">
        <v>5</v>
      </c>
      <c r="AA39" s="73">
        <v>5</v>
      </c>
      <c r="AB39" s="33"/>
      <c r="AC39" s="33"/>
      <c r="AD39" s="33" t="s">
        <v>600</v>
      </c>
      <c r="AE39" t="str">
        <f>VLOOKUP(AD39,GroupLabels!$E$2:$H$145,3,0)</f>
        <v>Estonia - Russian</v>
      </c>
    </row>
    <row r="40" spans="1:31" x14ac:dyDescent="0.25">
      <c r="A40" t="s">
        <v>3076</v>
      </c>
      <c r="B40" s="73">
        <v>21</v>
      </c>
      <c r="C40" s="73">
        <v>10</v>
      </c>
      <c r="D40" s="73">
        <v>4</v>
      </c>
      <c r="E40" s="73">
        <v>6</v>
      </c>
      <c r="F40" s="73">
        <v>5</v>
      </c>
      <c r="G40" s="73">
        <v>4</v>
      </c>
      <c r="H40" s="73">
        <v>5</v>
      </c>
      <c r="I40" s="73">
        <v>4</v>
      </c>
      <c r="J40" s="73">
        <v>5</v>
      </c>
      <c r="K40" s="73">
        <v>6</v>
      </c>
      <c r="L40" s="73">
        <v>6</v>
      </c>
      <c r="M40" s="73">
        <v>6</v>
      </c>
      <c r="N40" s="73">
        <v>4</v>
      </c>
      <c r="O40" s="73">
        <v>5</v>
      </c>
      <c r="P40" s="73">
        <v>6</v>
      </c>
      <c r="Q40" s="73">
        <v>4</v>
      </c>
      <c r="R40" s="73">
        <v>5</v>
      </c>
      <c r="S40" s="73">
        <v>4</v>
      </c>
      <c r="T40" s="73">
        <v>4</v>
      </c>
      <c r="U40" s="73">
        <v>4</v>
      </c>
      <c r="V40" s="73">
        <v>4</v>
      </c>
      <c r="W40" s="73">
        <v>6</v>
      </c>
      <c r="X40" s="73">
        <v>4</v>
      </c>
      <c r="Y40" s="73">
        <v>4</v>
      </c>
      <c r="Z40" s="73">
        <v>5</v>
      </c>
      <c r="AA40" s="73">
        <v>5</v>
      </c>
      <c r="AB40" s="33"/>
      <c r="AC40" s="33"/>
      <c r="AD40" s="33" t="s">
        <v>601</v>
      </c>
      <c r="AE40" t="str">
        <f>VLOOKUP(AD40,GroupLabels!$E$2:$H$145,3,0)</f>
        <v>Finland - Finnish</v>
      </c>
    </row>
    <row r="41" spans="1:31" x14ac:dyDescent="0.25">
      <c r="A41" t="s">
        <v>3244</v>
      </c>
      <c r="B41" s="73">
        <v>20</v>
      </c>
      <c r="C41" s="73">
        <v>9</v>
      </c>
      <c r="D41" s="73">
        <v>4</v>
      </c>
      <c r="E41" s="73">
        <v>6</v>
      </c>
      <c r="F41" s="73">
        <v>5</v>
      </c>
      <c r="G41" s="73">
        <v>4</v>
      </c>
      <c r="H41" s="73">
        <v>5</v>
      </c>
      <c r="I41" s="73">
        <v>4</v>
      </c>
      <c r="J41" s="73">
        <v>5</v>
      </c>
      <c r="K41" s="73">
        <v>6</v>
      </c>
      <c r="L41" s="73">
        <v>6</v>
      </c>
      <c r="M41" s="73">
        <v>6</v>
      </c>
      <c r="N41" s="73">
        <v>4</v>
      </c>
      <c r="O41" s="73">
        <v>5</v>
      </c>
      <c r="P41" s="73">
        <v>6</v>
      </c>
      <c r="Q41" s="73">
        <v>4</v>
      </c>
      <c r="R41" s="73">
        <v>5</v>
      </c>
      <c r="S41" s="73">
        <v>4</v>
      </c>
      <c r="T41" s="73">
        <v>4</v>
      </c>
      <c r="U41" s="73">
        <v>4</v>
      </c>
      <c r="V41" s="73">
        <v>4</v>
      </c>
      <c r="W41" s="73">
        <v>6</v>
      </c>
      <c r="X41" s="73">
        <v>4</v>
      </c>
      <c r="Y41" s="73">
        <v>4</v>
      </c>
      <c r="Z41" s="73">
        <v>5</v>
      </c>
      <c r="AA41" s="73">
        <v>5</v>
      </c>
      <c r="AB41" s="33"/>
      <c r="AC41" s="33"/>
      <c r="AD41" s="33" t="s">
        <v>602</v>
      </c>
      <c r="AE41" t="str">
        <f>VLOOKUP(AD41,GroupLabels!$E$2:$H$145,3,0)</f>
        <v>Finland - Swedish</v>
      </c>
    </row>
    <row r="42" spans="1:31" x14ac:dyDescent="0.25">
      <c r="A42" t="s">
        <v>3083</v>
      </c>
      <c r="B42" s="73">
        <v>20</v>
      </c>
      <c r="C42" s="73">
        <v>9</v>
      </c>
      <c r="D42" s="73">
        <v>4</v>
      </c>
      <c r="E42" s="73">
        <v>6</v>
      </c>
      <c r="F42" s="73">
        <v>5</v>
      </c>
      <c r="G42" s="73">
        <v>4</v>
      </c>
      <c r="H42" s="73">
        <v>5</v>
      </c>
      <c r="I42" s="73">
        <v>4</v>
      </c>
      <c r="J42" s="73">
        <v>5</v>
      </c>
      <c r="K42" s="73">
        <v>6</v>
      </c>
      <c r="L42" s="73">
        <v>6</v>
      </c>
      <c r="M42" s="73">
        <v>6</v>
      </c>
      <c r="N42" s="73">
        <v>4</v>
      </c>
      <c r="O42" s="73">
        <v>5</v>
      </c>
      <c r="P42" s="73">
        <v>6</v>
      </c>
      <c r="Q42" s="73">
        <v>4</v>
      </c>
      <c r="R42" s="73">
        <v>5</v>
      </c>
      <c r="S42" s="73">
        <v>4</v>
      </c>
      <c r="T42" s="73">
        <v>4</v>
      </c>
      <c r="U42" s="73">
        <v>4</v>
      </c>
      <c r="V42" s="73">
        <v>4</v>
      </c>
      <c r="W42" s="73">
        <v>6</v>
      </c>
      <c r="X42" s="73">
        <v>4</v>
      </c>
      <c r="Y42" s="73">
        <v>4</v>
      </c>
      <c r="Z42" s="73">
        <v>5</v>
      </c>
      <c r="AA42" s="73">
        <v>5</v>
      </c>
      <c r="AB42" s="33"/>
      <c r="AC42" s="33"/>
      <c r="AD42" s="33" t="s">
        <v>603</v>
      </c>
      <c r="AE42" t="str">
        <f>VLOOKUP(AD42,GroupLabels!$E$2:$H$145,3,0)</f>
        <v>France - French</v>
      </c>
    </row>
    <row r="43" spans="1:31" x14ac:dyDescent="0.25">
      <c r="A43" t="s">
        <v>2920</v>
      </c>
      <c r="B43" s="73">
        <v>20</v>
      </c>
      <c r="C43" s="73">
        <v>9</v>
      </c>
      <c r="D43" s="73">
        <v>4</v>
      </c>
      <c r="E43" s="73">
        <v>6</v>
      </c>
      <c r="F43" s="73">
        <v>5</v>
      </c>
      <c r="G43" s="73">
        <v>4</v>
      </c>
      <c r="H43" s="73">
        <v>5</v>
      </c>
      <c r="I43" s="73">
        <v>4</v>
      </c>
      <c r="J43" s="73">
        <v>5</v>
      </c>
      <c r="K43" s="73">
        <v>6</v>
      </c>
      <c r="L43" s="73">
        <v>6</v>
      </c>
      <c r="M43" s="73">
        <v>6</v>
      </c>
      <c r="N43" s="73">
        <v>4</v>
      </c>
      <c r="O43" s="73">
        <v>5</v>
      </c>
      <c r="P43" s="73">
        <v>6</v>
      </c>
      <c r="Q43" s="73">
        <v>4</v>
      </c>
      <c r="R43" s="73">
        <v>5</v>
      </c>
      <c r="S43" s="73">
        <v>4</v>
      </c>
      <c r="T43" s="73">
        <v>4</v>
      </c>
      <c r="U43" s="73">
        <v>4</v>
      </c>
      <c r="V43" s="73">
        <v>4</v>
      </c>
      <c r="W43" s="73">
        <v>6</v>
      </c>
      <c r="X43" s="73">
        <v>4</v>
      </c>
      <c r="Y43" s="73">
        <v>4</v>
      </c>
      <c r="Z43" s="73">
        <v>5</v>
      </c>
      <c r="AA43" s="73">
        <v>5</v>
      </c>
      <c r="AB43" s="33"/>
      <c r="AC43" s="33"/>
      <c r="AD43" s="33" t="s">
        <v>604</v>
      </c>
      <c r="AE43" t="str">
        <f>VLOOKUP(AD43,GroupLabels!$E$2:$H$145,3,0)</f>
        <v>Georgia - Azerbaijani</v>
      </c>
    </row>
    <row r="44" spans="1:31" x14ac:dyDescent="0.25">
      <c r="A44" t="s">
        <v>3136</v>
      </c>
      <c r="B44" s="73">
        <v>22</v>
      </c>
      <c r="C44" s="73">
        <v>10</v>
      </c>
      <c r="D44" s="73">
        <v>4</v>
      </c>
      <c r="E44" s="73">
        <v>6</v>
      </c>
      <c r="F44" s="73">
        <v>5</v>
      </c>
      <c r="G44" s="73">
        <v>4</v>
      </c>
      <c r="H44" s="73">
        <v>5</v>
      </c>
      <c r="I44" s="73">
        <v>4</v>
      </c>
      <c r="J44" s="73">
        <v>5</v>
      </c>
      <c r="K44" s="73">
        <v>6</v>
      </c>
      <c r="L44" s="73">
        <v>6</v>
      </c>
      <c r="M44" s="73">
        <v>6</v>
      </c>
      <c r="N44" s="73">
        <v>4</v>
      </c>
      <c r="O44" s="73">
        <v>5</v>
      </c>
      <c r="P44" s="73">
        <v>6</v>
      </c>
      <c r="Q44" s="73">
        <v>4</v>
      </c>
      <c r="R44" s="73">
        <v>5</v>
      </c>
      <c r="S44" s="73">
        <v>4</v>
      </c>
      <c r="T44" s="73">
        <v>4</v>
      </c>
      <c r="U44" s="73">
        <v>4</v>
      </c>
      <c r="V44" s="73">
        <v>4</v>
      </c>
      <c r="W44" s="73">
        <v>6</v>
      </c>
      <c r="X44" s="73">
        <v>4</v>
      </c>
      <c r="Y44" s="73">
        <v>4</v>
      </c>
      <c r="Z44" s="73">
        <v>5</v>
      </c>
      <c r="AA44" s="73">
        <v>5</v>
      </c>
      <c r="AB44" s="33"/>
      <c r="AC44" s="33"/>
      <c r="AD44" s="33" t="s">
        <v>605</v>
      </c>
      <c r="AE44" t="str">
        <f>VLOOKUP(AD44,GroupLabels!$E$2:$H$145,3,0)</f>
        <v>Georgia - Georgian</v>
      </c>
    </row>
    <row r="45" spans="1:31" x14ac:dyDescent="0.25">
      <c r="A45" t="s">
        <v>3211</v>
      </c>
      <c r="B45" s="73">
        <v>21</v>
      </c>
      <c r="C45" s="73">
        <v>9</v>
      </c>
      <c r="D45" s="73">
        <v>4</v>
      </c>
      <c r="E45" s="73">
        <v>6</v>
      </c>
      <c r="F45" s="73">
        <v>5</v>
      </c>
      <c r="G45" s="73">
        <v>4</v>
      </c>
      <c r="H45" s="73">
        <v>5</v>
      </c>
      <c r="I45" s="73">
        <v>4</v>
      </c>
      <c r="J45" s="73">
        <v>5</v>
      </c>
      <c r="K45" s="73">
        <v>6</v>
      </c>
      <c r="L45" s="73">
        <v>6</v>
      </c>
      <c r="M45" s="73">
        <v>6</v>
      </c>
      <c r="N45" s="73">
        <v>4</v>
      </c>
      <c r="O45" s="73">
        <v>5</v>
      </c>
      <c r="P45" s="73">
        <v>6</v>
      </c>
      <c r="Q45" s="73">
        <v>4</v>
      </c>
      <c r="R45" s="73">
        <v>5</v>
      </c>
      <c r="S45" s="73">
        <v>4</v>
      </c>
      <c r="T45" s="73">
        <v>4</v>
      </c>
      <c r="U45" s="73">
        <v>4</v>
      </c>
      <c r="V45" s="73">
        <v>4</v>
      </c>
      <c r="W45" s="73">
        <v>6</v>
      </c>
      <c r="X45" s="73">
        <v>4</v>
      </c>
      <c r="Y45" s="73">
        <v>4</v>
      </c>
      <c r="Z45" s="73">
        <v>5</v>
      </c>
      <c r="AA45" s="73">
        <v>5</v>
      </c>
      <c r="AB45" s="33"/>
      <c r="AC45" s="33"/>
      <c r="AD45" s="33" t="s">
        <v>606</v>
      </c>
      <c r="AE45" t="str">
        <f>VLOOKUP(AD45,GroupLabels!$E$2:$H$145,3,0)</f>
        <v>Georgia - Russian</v>
      </c>
    </row>
    <row r="46" spans="1:31" x14ac:dyDescent="0.25">
      <c r="A46" t="s">
        <v>767</v>
      </c>
      <c r="B46" s="73">
        <v>22</v>
      </c>
      <c r="C46" s="73">
        <v>9</v>
      </c>
      <c r="D46" s="73">
        <v>4</v>
      </c>
      <c r="E46" s="73">
        <v>6</v>
      </c>
      <c r="F46" s="73">
        <v>5</v>
      </c>
      <c r="G46" s="73">
        <v>4</v>
      </c>
      <c r="H46" s="73">
        <v>5</v>
      </c>
      <c r="I46" s="73">
        <v>4</v>
      </c>
      <c r="J46" s="73">
        <v>5</v>
      </c>
      <c r="K46" s="73">
        <v>6</v>
      </c>
      <c r="L46" s="73">
        <v>6</v>
      </c>
      <c r="M46" s="73">
        <v>6</v>
      </c>
      <c r="N46" s="73">
        <v>4</v>
      </c>
      <c r="O46" s="73">
        <v>5</v>
      </c>
      <c r="P46" s="73">
        <v>6</v>
      </c>
      <c r="Q46" s="73">
        <v>4</v>
      </c>
      <c r="R46" s="73">
        <v>5</v>
      </c>
      <c r="S46" s="73" t="s">
        <v>3476</v>
      </c>
      <c r="T46" s="73">
        <v>4</v>
      </c>
      <c r="U46" s="73">
        <v>4</v>
      </c>
      <c r="V46" s="73">
        <v>4</v>
      </c>
      <c r="W46" s="73">
        <v>6</v>
      </c>
      <c r="X46" s="73">
        <v>4</v>
      </c>
      <c r="Y46" s="73">
        <v>4</v>
      </c>
      <c r="Z46" s="73">
        <v>5</v>
      </c>
      <c r="AA46" s="73">
        <v>5</v>
      </c>
      <c r="AB46" s="33"/>
      <c r="AC46" s="33"/>
      <c r="AD46" s="33" t="s">
        <v>607</v>
      </c>
      <c r="AE46" t="str">
        <f>VLOOKUP(AD46,GroupLabels!$E$2:$H$145,3,0)</f>
        <v>Germany - German</v>
      </c>
    </row>
    <row r="47" spans="1:31" x14ac:dyDescent="0.25">
      <c r="A47" t="s">
        <v>2976</v>
      </c>
      <c r="B47" s="73">
        <v>21</v>
      </c>
      <c r="C47" s="73">
        <v>9</v>
      </c>
      <c r="D47" s="73">
        <v>4</v>
      </c>
      <c r="E47" s="73">
        <v>6</v>
      </c>
      <c r="F47" s="73">
        <v>5</v>
      </c>
      <c r="G47" s="73">
        <v>4</v>
      </c>
      <c r="H47" s="73">
        <v>5</v>
      </c>
      <c r="I47" s="73">
        <v>4</v>
      </c>
      <c r="J47" s="73">
        <v>5</v>
      </c>
      <c r="K47" s="73">
        <v>6</v>
      </c>
      <c r="L47" s="73">
        <v>6</v>
      </c>
      <c r="M47" s="73">
        <v>6</v>
      </c>
      <c r="N47" s="73">
        <v>4</v>
      </c>
      <c r="O47" s="73">
        <v>5</v>
      </c>
      <c r="P47" s="73">
        <v>6</v>
      </c>
      <c r="Q47" s="73">
        <v>4</v>
      </c>
      <c r="R47" s="73">
        <v>5</v>
      </c>
      <c r="S47" s="73">
        <v>4</v>
      </c>
      <c r="T47" s="73">
        <v>4</v>
      </c>
      <c r="U47" s="73">
        <v>4</v>
      </c>
      <c r="V47" s="73">
        <v>4</v>
      </c>
      <c r="W47" s="73">
        <v>6</v>
      </c>
      <c r="X47" s="73">
        <v>4</v>
      </c>
      <c r="Y47" s="73">
        <v>4</v>
      </c>
      <c r="Z47" s="73">
        <v>5</v>
      </c>
      <c r="AA47" s="73">
        <v>5</v>
      </c>
      <c r="AB47" s="33"/>
      <c r="AC47" s="33"/>
      <c r="AD47" s="33" t="s">
        <v>608</v>
      </c>
      <c r="AE47" t="str">
        <f>VLOOKUP(AD47,GroupLabels!$E$2:$H$145,3,0)</f>
        <v>Greece - Modern Greek</v>
      </c>
    </row>
    <row r="48" spans="1:31" x14ac:dyDescent="0.25">
      <c r="A48" t="s">
        <v>3050</v>
      </c>
      <c r="B48" s="73">
        <v>22</v>
      </c>
      <c r="C48" s="73">
        <v>9</v>
      </c>
      <c r="D48" s="73">
        <v>4</v>
      </c>
      <c r="E48" s="73">
        <v>6</v>
      </c>
      <c r="F48" s="73">
        <v>5</v>
      </c>
      <c r="G48" s="73">
        <v>4</v>
      </c>
      <c r="H48" s="73">
        <v>5</v>
      </c>
      <c r="I48" s="73">
        <v>4</v>
      </c>
      <c r="J48" s="73">
        <v>5</v>
      </c>
      <c r="K48" s="73">
        <v>6</v>
      </c>
      <c r="L48" s="73">
        <v>6</v>
      </c>
      <c r="M48" s="73">
        <v>6</v>
      </c>
      <c r="N48" s="73">
        <v>4</v>
      </c>
      <c r="O48" s="73">
        <v>5</v>
      </c>
      <c r="P48" s="73">
        <v>6</v>
      </c>
      <c r="Q48" s="73">
        <v>4</v>
      </c>
      <c r="R48" s="73">
        <v>5</v>
      </c>
      <c r="S48" s="73">
        <v>4</v>
      </c>
      <c r="T48" s="73">
        <v>4</v>
      </c>
      <c r="U48" s="73">
        <v>4</v>
      </c>
      <c r="V48" s="73">
        <v>4</v>
      </c>
      <c r="W48" s="73">
        <v>6</v>
      </c>
      <c r="X48" s="73">
        <v>4</v>
      </c>
      <c r="Y48" s="73">
        <v>4</v>
      </c>
      <c r="Z48" s="73">
        <v>5</v>
      </c>
      <c r="AA48" s="73">
        <v>5</v>
      </c>
      <c r="AB48" s="33"/>
      <c r="AC48" s="33"/>
      <c r="AD48" s="33" t="s">
        <v>609</v>
      </c>
      <c r="AE48" t="str">
        <f>VLOOKUP(AD48,GroupLabels!$E$2:$H$145,3,0)</f>
        <v>Guatemala - Spanish</v>
      </c>
    </row>
    <row r="49" spans="1:31" x14ac:dyDescent="0.25">
      <c r="A49" t="s">
        <v>3278</v>
      </c>
      <c r="B49" s="73">
        <v>20</v>
      </c>
      <c r="C49" s="73">
        <v>10</v>
      </c>
      <c r="D49" s="73">
        <v>4</v>
      </c>
      <c r="E49" s="73">
        <v>6</v>
      </c>
      <c r="F49" s="73">
        <v>5</v>
      </c>
      <c r="G49" s="73">
        <v>4</v>
      </c>
      <c r="H49" s="73">
        <v>5</v>
      </c>
      <c r="I49" s="73">
        <v>4</v>
      </c>
      <c r="J49" s="73">
        <v>5</v>
      </c>
      <c r="K49" s="73">
        <v>6</v>
      </c>
      <c r="L49" s="73">
        <v>6</v>
      </c>
      <c r="M49" s="73">
        <v>6</v>
      </c>
      <c r="N49" s="73">
        <v>4</v>
      </c>
      <c r="O49" s="73">
        <v>5</v>
      </c>
      <c r="P49" s="73">
        <v>6</v>
      </c>
      <c r="Q49" s="73">
        <v>4</v>
      </c>
      <c r="R49" s="73">
        <v>5</v>
      </c>
      <c r="S49" s="73">
        <v>4</v>
      </c>
      <c r="T49" s="73">
        <v>4</v>
      </c>
      <c r="U49" s="73">
        <v>4</v>
      </c>
      <c r="V49" s="73">
        <v>4</v>
      </c>
      <c r="W49" s="73">
        <v>6</v>
      </c>
      <c r="X49" s="73">
        <v>4</v>
      </c>
      <c r="Y49" s="73">
        <v>4</v>
      </c>
      <c r="Z49" s="73">
        <v>5</v>
      </c>
      <c r="AA49" s="73">
        <v>5</v>
      </c>
      <c r="AB49" s="33"/>
      <c r="AC49" s="33"/>
      <c r="AD49" s="33" t="s">
        <v>610</v>
      </c>
      <c r="AE49" t="str">
        <f>VLOOKUP(AD49,GroupLabels!$E$2:$H$145,3,0)</f>
        <v>Hong Kong (China) - Chinese</v>
      </c>
    </row>
    <row r="50" spans="1:31" x14ac:dyDescent="0.25">
      <c r="A50" t="s">
        <v>2993</v>
      </c>
      <c r="B50" s="73">
        <v>20</v>
      </c>
      <c r="C50" s="73">
        <v>10</v>
      </c>
      <c r="D50" s="73">
        <v>4</v>
      </c>
      <c r="E50" s="73">
        <v>6</v>
      </c>
      <c r="F50" s="73">
        <v>5</v>
      </c>
      <c r="G50" s="73">
        <v>4</v>
      </c>
      <c r="H50" s="73">
        <v>5</v>
      </c>
      <c r="I50" s="73">
        <v>4</v>
      </c>
      <c r="J50" s="73">
        <v>5</v>
      </c>
      <c r="K50" s="73">
        <v>6</v>
      </c>
      <c r="L50" s="73">
        <v>6</v>
      </c>
      <c r="M50" s="73">
        <v>6</v>
      </c>
      <c r="N50" s="73">
        <v>4</v>
      </c>
      <c r="O50" s="73">
        <v>5</v>
      </c>
      <c r="P50" s="73">
        <v>6</v>
      </c>
      <c r="Q50" s="73">
        <v>4</v>
      </c>
      <c r="R50" s="73">
        <v>5</v>
      </c>
      <c r="S50" s="73">
        <v>4</v>
      </c>
      <c r="T50" s="73">
        <v>4</v>
      </c>
      <c r="U50" s="73">
        <v>4</v>
      </c>
      <c r="V50" s="73">
        <v>4</v>
      </c>
      <c r="W50" s="73">
        <v>6</v>
      </c>
      <c r="X50" s="73">
        <v>4</v>
      </c>
      <c r="Y50" s="73">
        <v>4</v>
      </c>
      <c r="Z50" s="73">
        <v>5</v>
      </c>
      <c r="AA50" s="73">
        <v>5</v>
      </c>
      <c r="AB50" s="33"/>
      <c r="AC50" s="33"/>
      <c r="AD50" s="33" t="s">
        <v>611</v>
      </c>
      <c r="AE50" t="str">
        <f>VLOOKUP(AD50,GroupLabels!$E$2:$H$145,3,0)</f>
        <v>Hong Kong (China) - English</v>
      </c>
    </row>
    <row r="51" spans="1:31" x14ac:dyDescent="0.25">
      <c r="A51" t="s">
        <v>3103</v>
      </c>
      <c r="B51" s="73">
        <v>20</v>
      </c>
      <c r="C51" s="73">
        <v>10</v>
      </c>
      <c r="D51" s="73">
        <v>4</v>
      </c>
      <c r="E51" s="73">
        <v>6</v>
      </c>
      <c r="F51" s="73">
        <v>5</v>
      </c>
      <c r="G51" s="73">
        <v>4</v>
      </c>
      <c r="H51" s="73">
        <v>5</v>
      </c>
      <c r="I51" s="73">
        <v>4</v>
      </c>
      <c r="J51" s="73">
        <v>5</v>
      </c>
      <c r="K51" s="73">
        <v>6</v>
      </c>
      <c r="L51" s="73">
        <v>6</v>
      </c>
      <c r="M51" s="73">
        <v>6</v>
      </c>
      <c r="N51" s="73">
        <v>4</v>
      </c>
      <c r="O51" s="73">
        <v>5</v>
      </c>
      <c r="P51" s="73">
        <v>6</v>
      </c>
      <c r="Q51" s="73">
        <v>4</v>
      </c>
      <c r="R51" s="73">
        <v>5</v>
      </c>
      <c r="S51" s="73">
        <v>4</v>
      </c>
      <c r="T51" s="73">
        <v>4</v>
      </c>
      <c r="U51" s="73">
        <v>4</v>
      </c>
      <c r="V51" s="73">
        <v>4</v>
      </c>
      <c r="W51" s="73">
        <v>6</v>
      </c>
      <c r="X51" s="73">
        <v>4</v>
      </c>
      <c r="Y51" s="73">
        <v>4</v>
      </c>
      <c r="Z51" s="73">
        <v>5</v>
      </c>
      <c r="AA51" s="73">
        <v>5</v>
      </c>
      <c r="AB51" s="33"/>
      <c r="AC51" s="33"/>
      <c r="AD51" s="33" t="s">
        <v>612</v>
      </c>
      <c r="AE51" t="str">
        <f>VLOOKUP(AD51,GroupLabels!$E$2:$H$145,3,0)</f>
        <v>Hungary - Hungarian</v>
      </c>
    </row>
    <row r="52" spans="1:31" x14ac:dyDescent="0.25">
      <c r="A52" t="s">
        <v>3122</v>
      </c>
      <c r="B52" s="73">
        <v>22</v>
      </c>
      <c r="C52" s="73">
        <v>9</v>
      </c>
      <c r="D52" s="73">
        <v>4</v>
      </c>
      <c r="E52" s="73">
        <v>6</v>
      </c>
      <c r="F52" s="73">
        <v>5</v>
      </c>
      <c r="G52" s="73">
        <v>4</v>
      </c>
      <c r="H52" s="73">
        <v>5</v>
      </c>
      <c r="I52" s="73">
        <v>4</v>
      </c>
      <c r="J52" s="73">
        <v>5</v>
      </c>
      <c r="K52" s="73">
        <v>6</v>
      </c>
      <c r="L52" s="73">
        <v>6</v>
      </c>
      <c r="M52" s="73">
        <v>6</v>
      </c>
      <c r="N52" s="73">
        <v>4</v>
      </c>
      <c r="O52" s="73">
        <v>5</v>
      </c>
      <c r="P52" s="73">
        <v>6</v>
      </c>
      <c r="Q52" s="73">
        <v>4</v>
      </c>
      <c r="R52" s="73">
        <v>5</v>
      </c>
      <c r="S52" s="73">
        <v>4</v>
      </c>
      <c r="T52" s="73">
        <v>4</v>
      </c>
      <c r="U52" s="73">
        <v>4</v>
      </c>
      <c r="V52" s="73">
        <v>4</v>
      </c>
      <c r="W52" s="73">
        <v>6</v>
      </c>
      <c r="X52" s="73">
        <v>4</v>
      </c>
      <c r="Y52" s="73">
        <v>4</v>
      </c>
      <c r="Z52" s="73">
        <v>5</v>
      </c>
      <c r="AA52" s="73">
        <v>5</v>
      </c>
      <c r="AB52" s="33"/>
      <c r="AC52" s="33"/>
      <c r="AD52" s="33" t="s">
        <v>613</v>
      </c>
      <c r="AE52" t="str">
        <f>VLOOKUP(AD52,GroupLabels!$E$2:$H$145,3,0)</f>
        <v>Iceland - Icelandic</v>
      </c>
    </row>
    <row r="53" spans="1:31" x14ac:dyDescent="0.25">
      <c r="A53" t="s">
        <v>3118</v>
      </c>
      <c r="B53" s="73">
        <v>20</v>
      </c>
      <c r="C53" s="73">
        <v>10</v>
      </c>
      <c r="D53" s="73">
        <v>4</v>
      </c>
      <c r="E53" s="73">
        <v>6</v>
      </c>
      <c r="F53" s="73">
        <v>5</v>
      </c>
      <c r="G53" s="73">
        <v>4</v>
      </c>
      <c r="H53" s="73">
        <v>5</v>
      </c>
      <c r="I53" s="73">
        <v>4</v>
      </c>
      <c r="J53" s="73">
        <v>5</v>
      </c>
      <c r="K53" s="73">
        <v>6</v>
      </c>
      <c r="L53" s="73">
        <v>6</v>
      </c>
      <c r="M53" s="73">
        <v>6</v>
      </c>
      <c r="N53" s="73">
        <v>4</v>
      </c>
      <c r="O53" s="73">
        <v>5</v>
      </c>
      <c r="P53" s="73">
        <v>6</v>
      </c>
      <c r="Q53" s="73">
        <v>4</v>
      </c>
      <c r="R53" s="73">
        <v>5</v>
      </c>
      <c r="S53" s="73">
        <v>4</v>
      </c>
      <c r="T53" s="73">
        <v>4</v>
      </c>
      <c r="U53" s="73">
        <v>4</v>
      </c>
      <c r="V53" s="73">
        <v>4</v>
      </c>
      <c r="W53" s="73">
        <v>6</v>
      </c>
      <c r="X53" s="73">
        <v>4</v>
      </c>
      <c r="Y53" s="73">
        <v>4</v>
      </c>
      <c r="Z53" s="73">
        <v>5</v>
      </c>
      <c r="AA53" s="73">
        <v>5</v>
      </c>
      <c r="AB53" s="33"/>
      <c r="AC53" s="33"/>
      <c r="AD53" s="33" t="s">
        <v>614</v>
      </c>
      <c r="AE53" t="str">
        <f>VLOOKUP(AD53,GroupLabels!$E$2:$H$145,3,0)</f>
        <v>Indonesia - Indonesian</v>
      </c>
    </row>
    <row r="54" spans="1:31" x14ac:dyDescent="0.25">
      <c r="A54" t="s">
        <v>2995</v>
      </c>
      <c r="B54" s="73">
        <v>21</v>
      </c>
      <c r="C54" s="73">
        <v>10</v>
      </c>
      <c r="D54" s="73">
        <v>4</v>
      </c>
      <c r="E54" s="73">
        <v>6</v>
      </c>
      <c r="F54" s="73">
        <v>5</v>
      </c>
      <c r="G54" s="73">
        <v>4</v>
      </c>
      <c r="H54" s="73">
        <v>5</v>
      </c>
      <c r="I54" s="73">
        <v>4</v>
      </c>
      <c r="J54" s="73">
        <v>5</v>
      </c>
      <c r="K54" s="73">
        <v>6</v>
      </c>
      <c r="L54" s="73">
        <v>6</v>
      </c>
      <c r="M54" s="73">
        <v>6</v>
      </c>
      <c r="N54" s="73">
        <v>4</v>
      </c>
      <c r="O54" s="73">
        <v>5</v>
      </c>
      <c r="P54" s="73">
        <v>6</v>
      </c>
      <c r="Q54" s="73">
        <v>4</v>
      </c>
      <c r="R54" s="73">
        <v>5</v>
      </c>
      <c r="S54" s="73">
        <v>4</v>
      </c>
      <c r="T54" s="73">
        <v>4</v>
      </c>
      <c r="U54" s="73">
        <v>4</v>
      </c>
      <c r="V54" s="73">
        <v>4</v>
      </c>
      <c r="W54" s="73">
        <v>6</v>
      </c>
      <c r="X54" s="73">
        <v>4</v>
      </c>
      <c r="Y54" s="73">
        <v>4</v>
      </c>
      <c r="Z54" s="73">
        <v>5</v>
      </c>
      <c r="AA54" s="73">
        <v>5</v>
      </c>
      <c r="AB54" s="33"/>
      <c r="AC54" s="33"/>
      <c r="AD54" s="33" t="s">
        <v>615</v>
      </c>
      <c r="AE54" t="str">
        <f>VLOOKUP(AD54,GroupLabels!$E$2:$H$145,3,0)</f>
        <v>Ireland - English</v>
      </c>
    </row>
    <row r="55" spans="1:31" x14ac:dyDescent="0.25">
      <c r="A55" t="s">
        <v>3088</v>
      </c>
      <c r="B55" s="73">
        <v>22</v>
      </c>
      <c r="C55" s="73">
        <v>9</v>
      </c>
      <c r="D55" s="73">
        <v>4</v>
      </c>
      <c r="E55" s="73">
        <v>6</v>
      </c>
      <c r="F55" s="73">
        <v>5</v>
      </c>
      <c r="G55" s="73">
        <v>4</v>
      </c>
      <c r="H55" s="73">
        <v>5</v>
      </c>
      <c r="I55" s="73">
        <v>4</v>
      </c>
      <c r="J55" s="73">
        <v>5</v>
      </c>
      <c r="K55" s="73">
        <v>6</v>
      </c>
      <c r="L55" s="73">
        <v>6</v>
      </c>
      <c r="M55" s="73">
        <v>6</v>
      </c>
      <c r="N55" s="73">
        <v>4</v>
      </c>
      <c r="O55" s="73">
        <v>5</v>
      </c>
      <c r="P55" s="73">
        <v>6</v>
      </c>
      <c r="Q55" s="73">
        <v>4</v>
      </c>
      <c r="R55" s="73">
        <v>5</v>
      </c>
      <c r="S55" s="73">
        <v>4</v>
      </c>
      <c r="T55" s="73">
        <v>4</v>
      </c>
      <c r="U55" s="73">
        <v>4</v>
      </c>
      <c r="V55" s="73">
        <v>4</v>
      </c>
      <c r="W55" s="73">
        <v>6</v>
      </c>
      <c r="X55" s="73">
        <v>4</v>
      </c>
      <c r="Y55" s="73">
        <v>4</v>
      </c>
      <c r="Z55" s="73">
        <v>5</v>
      </c>
      <c r="AA55" s="73">
        <v>5</v>
      </c>
      <c r="AB55" s="33"/>
      <c r="AC55" s="33"/>
      <c r="AD55" s="33" t="s">
        <v>616</v>
      </c>
      <c r="AE55" t="str">
        <f>VLOOKUP(AD55,GroupLabels!$E$2:$H$145,3,0)</f>
        <v>Ireland - Irish Gaeilge</v>
      </c>
    </row>
    <row r="56" spans="1:31" x14ac:dyDescent="0.25">
      <c r="A56" t="s">
        <v>2901</v>
      </c>
      <c r="B56" s="73">
        <v>19</v>
      </c>
      <c r="C56" s="73">
        <v>9</v>
      </c>
      <c r="D56" s="73">
        <v>4</v>
      </c>
      <c r="E56" s="73">
        <v>6</v>
      </c>
      <c r="F56" s="73">
        <v>5</v>
      </c>
      <c r="G56" s="73">
        <v>4</v>
      </c>
      <c r="H56" s="73">
        <v>5</v>
      </c>
      <c r="I56" s="73">
        <v>4</v>
      </c>
      <c r="J56" s="73">
        <v>5</v>
      </c>
      <c r="K56" s="73">
        <v>6</v>
      </c>
      <c r="L56" s="73">
        <v>6</v>
      </c>
      <c r="M56" s="73">
        <v>6</v>
      </c>
      <c r="N56" s="73">
        <v>4</v>
      </c>
      <c r="O56" s="73">
        <v>5</v>
      </c>
      <c r="P56" s="73">
        <v>6</v>
      </c>
      <c r="Q56" s="73">
        <v>4</v>
      </c>
      <c r="R56" s="73">
        <v>5</v>
      </c>
      <c r="S56" s="73">
        <v>4</v>
      </c>
      <c r="T56" s="73">
        <v>4</v>
      </c>
      <c r="U56" s="73">
        <v>4</v>
      </c>
      <c r="V56" s="73">
        <v>4</v>
      </c>
      <c r="W56" s="73">
        <v>6</v>
      </c>
      <c r="X56" s="73">
        <v>4</v>
      </c>
      <c r="Y56" s="73">
        <v>4</v>
      </c>
      <c r="Z56" s="73">
        <v>5</v>
      </c>
      <c r="AA56" s="73">
        <v>5</v>
      </c>
      <c r="AB56" s="33"/>
      <c r="AC56" s="33"/>
      <c r="AD56" s="33" t="s">
        <v>617</v>
      </c>
      <c r="AE56" t="str">
        <f>VLOOKUP(AD56,GroupLabels!$E$2:$H$145,3,0)</f>
        <v>Israel - Arabic*</v>
      </c>
    </row>
    <row r="57" spans="1:31" x14ac:dyDescent="0.25">
      <c r="A57" t="s">
        <v>2467</v>
      </c>
      <c r="B57" s="73">
        <v>19</v>
      </c>
      <c r="C57" s="73" t="s">
        <v>3476</v>
      </c>
      <c r="D57" s="73" t="s">
        <v>3476</v>
      </c>
      <c r="E57" s="73">
        <v>6</v>
      </c>
      <c r="F57" s="73" t="s">
        <v>3476</v>
      </c>
      <c r="G57" s="73" t="s">
        <v>3476</v>
      </c>
      <c r="H57" s="73">
        <v>5</v>
      </c>
      <c r="I57" s="73">
        <v>4</v>
      </c>
      <c r="J57" s="73">
        <v>5</v>
      </c>
      <c r="K57" s="73" t="s">
        <v>3476</v>
      </c>
      <c r="L57" s="73">
        <v>6</v>
      </c>
      <c r="M57" s="73">
        <v>6</v>
      </c>
      <c r="N57" s="73">
        <v>4</v>
      </c>
      <c r="O57" s="73">
        <v>5</v>
      </c>
      <c r="P57" s="73">
        <v>6</v>
      </c>
      <c r="Q57" s="73">
        <v>4</v>
      </c>
      <c r="R57" s="73">
        <v>5</v>
      </c>
      <c r="S57" s="73">
        <v>4</v>
      </c>
      <c r="T57" s="73">
        <v>4</v>
      </c>
      <c r="U57" s="73">
        <v>4</v>
      </c>
      <c r="V57" s="73">
        <v>4</v>
      </c>
      <c r="W57" s="73">
        <v>6</v>
      </c>
      <c r="X57" s="73">
        <v>4</v>
      </c>
      <c r="Y57" s="73">
        <v>4</v>
      </c>
      <c r="Z57" s="73">
        <v>5</v>
      </c>
      <c r="AA57" s="73">
        <v>5</v>
      </c>
      <c r="AB57" s="33"/>
      <c r="AC57" s="33"/>
      <c r="AD57" s="33" t="s">
        <v>618</v>
      </c>
      <c r="AE57" t="str">
        <f>VLOOKUP(AD57,GroupLabels!$E$2:$H$145,3,0)</f>
        <v>Israel - Haredi*</v>
      </c>
    </row>
    <row r="58" spans="1:31" x14ac:dyDescent="0.25">
      <c r="A58" t="s">
        <v>3094</v>
      </c>
      <c r="B58" s="73">
        <v>21</v>
      </c>
      <c r="C58" s="73">
        <v>9</v>
      </c>
      <c r="D58" s="73">
        <v>4</v>
      </c>
      <c r="E58" s="73">
        <v>6</v>
      </c>
      <c r="F58" s="73">
        <v>5</v>
      </c>
      <c r="G58" s="73">
        <v>4</v>
      </c>
      <c r="H58" s="73">
        <v>5</v>
      </c>
      <c r="I58" s="73">
        <v>4</v>
      </c>
      <c r="J58" s="73">
        <v>5</v>
      </c>
      <c r="K58" s="73">
        <v>6</v>
      </c>
      <c r="L58" s="73">
        <v>6</v>
      </c>
      <c r="M58" s="73">
        <v>6</v>
      </c>
      <c r="N58" s="73">
        <v>4</v>
      </c>
      <c r="O58" s="73">
        <v>5</v>
      </c>
      <c r="P58" s="73">
        <v>6</v>
      </c>
      <c r="Q58" s="73">
        <v>4</v>
      </c>
      <c r="R58" s="73">
        <v>5</v>
      </c>
      <c r="S58" s="73">
        <v>4</v>
      </c>
      <c r="T58" s="73">
        <v>4</v>
      </c>
      <c r="U58" s="73">
        <v>4</v>
      </c>
      <c r="V58" s="73">
        <v>4</v>
      </c>
      <c r="W58" s="73">
        <v>6</v>
      </c>
      <c r="X58" s="73">
        <v>4</v>
      </c>
      <c r="Y58" s="73">
        <v>4</v>
      </c>
      <c r="Z58" s="73">
        <v>5</v>
      </c>
      <c r="AA58" s="73">
        <v>5</v>
      </c>
      <c r="AB58" s="33"/>
      <c r="AC58" s="33"/>
      <c r="AD58" s="33" t="s">
        <v>619</v>
      </c>
      <c r="AE58" t="str">
        <f>VLOOKUP(AD58,GroupLabels!$E$2:$H$145,3,0)</f>
        <v>Israel - Hebrew*</v>
      </c>
    </row>
    <row r="59" spans="1:31" x14ac:dyDescent="0.25">
      <c r="A59" t="s">
        <v>2967</v>
      </c>
      <c r="B59" s="73">
        <v>21</v>
      </c>
      <c r="C59" s="73">
        <v>9</v>
      </c>
      <c r="D59" s="73">
        <v>4</v>
      </c>
      <c r="E59" s="73">
        <v>6</v>
      </c>
      <c r="F59" s="73">
        <v>5</v>
      </c>
      <c r="G59" s="73">
        <v>4</v>
      </c>
      <c r="H59" s="73">
        <v>5</v>
      </c>
      <c r="I59" s="73">
        <v>4</v>
      </c>
      <c r="J59" s="73">
        <v>5</v>
      </c>
      <c r="K59" s="73">
        <v>6</v>
      </c>
      <c r="L59" s="73">
        <v>6</v>
      </c>
      <c r="M59" s="73">
        <v>6</v>
      </c>
      <c r="N59" s="73">
        <v>4</v>
      </c>
      <c r="O59" s="73">
        <v>5</v>
      </c>
      <c r="P59" s="73">
        <v>6</v>
      </c>
      <c r="Q59" s="73">
        <v>4</v>
      </c>
      <c r="R59" s="73">
        <v>5</v>
      </c>
      <c r="S59" s="73">
        <v>4</v>
      </c>
      <c r="T59" s="73">
        <v>4</v>
      </c>
      <c r="U59" s="73">
        <v>4</v>
      </c>
      <c r="V59" s="73">
        <v>4</v>
      </c>
      <c r="W59" s="73">
        <v>6</v>
      </c>
      <c r="X59" s="73">
        <v>4</v>
      </c>
      <c r="Y59" s="73">
        <v>4</v>
      </c>
      <c r="Z59" s="73">
        <v>5</v>
      </c>
      <c r="AA59" s="73">
        <v>5</v>
      </c>
      <c r="AB59" s="33"/>
      <c r="AC59" s="33"/>
      <c r="AD59" s="33" t="s">
        <v>620</v>
      </c>
      <c r="AE59" t="str">
        <f>VLOOKUP(AD59,GroupLabels!$E$2:$H$145,3,0)</f>
        <v>Italy - German</v>
      </c>
    </row>
    <row r="60" spans="1:31" x14ac:dyDescent="0.25">
      <c r="A60" t="s">
        <v>3126</v>
      </c>
      <c r="B60" s="73">
        <v>22</v>
      </c>
      <c r="C60" s="73">
        <v>9</v>
      </c>
      <c r="D60" s="73">
        <v>4</v>
      </c>
      <c r="E60" s="73">
        <v>6</v>
      </c>
      <c r="F60" s="73">
        <v>5</v>
      </c>
      <c r="G60" s="73">
        <v>4</v>
      </c>
      <c r="H60" s="73">
        <v>5</v>
      </c>
      <c r="I60" s="73">
        <v>4</v>
      </c>
      <c r="J60" s="73">
        <v>5</v>
      </c>
      <c r="K60" s="73">
        <v>6</v>
      </c>
      <c r="L60" s="73">
        <v>6</v>
      </c>
      <c r="M60" s="73">
        <v>6</v>
      </c>
      <c r="N60" s="73">
        <v>4</v>
      </c>
      <c r="O60" s="73">
        <v>5</v>
      </c>
      <c r="P60" s="73">
        <v>6</v>
      </c>
      <c r="Q60" s="73">
        <v>4</v>
      </c>
      <c r="R60" s="73">
        <v>5</v>
      </c>
      <c r="S60" s="73">
        <v>4</v>
      </c>
      <c r="T60" s="73">
        <v>4</v>
      </c>
      <c r="U60" s="73">
        <v>4</v>
      </c>
      <c r="V60" s="73">
        <v>4</v>
      </c>
      <c r="W60" s="73">
        <v>6</v>
      </c>
      <c r="X60" s="73">
        <v>4</v>
      </c>
      <c r="Y60" s="73">
        <v>4</v>
      </c>
      <c r="Z60" s="73">
        <v>5</v>
      </c>
      <c r="AA60" s="73">
        <v>5</v>
      </c>
      <c r="AB60" s="33"/>
      <c r="AC60" s="33"/>
      <c r="AD60" s="33" t="s">
        <v>621</v>
      </c>
      <c r="AE60" t="str">
        <f>VLOOKUP(AD60,GroupLabels!$E$2:$H$145,3,0)</f>
        <v>Italy - Italian</v>
      </c>
    </row>
    <row r="61" spans="1:31" x14ac:dyDescent="0.25">
      <c r="A61" t="s">
        <v>768</v>
      </c>
      <c r="B61" s="73">
        <v>22</v>
      </c>
      <c r="C61" s="73">
        <v>10</v>
      </c>
      <c r="D61" s="73">
        <v>4</v>
      </c>
      <c r="E61" s="73">
        <v>6</v>
      </c>
      <c r="F61" s="73">
        <v>5</v>
      </c>
      <c r="G61" s="73">
        <v>4</v>
      </c>
      <c r="H61" s="73">
        <v>5</v>
      </c>
      <c r="I61" s="73">
        <v>4</v>
      </c>
      <c r="J61" s="73">
        <v>5</v>
      </c>
      <c r="K61" s="73">
        <v>6</v>
      </c>
      <c r="L61" s="73">
        <v>6</v>
      </c>
      <c r="M61" s="73">
        <v>6</v>
      </c>
      <c r="N61" s="73">
        <v>4</v>
      </c>
      <c r="O61" s="73">
        <v>5</v>
      </c>
      <c r="P61" s="73">
        <v>6</v>
      </c>
      <c r="Q61" s="73">
        <v>4</v>
      </c>
      <c r="R61" s="73">
        <v>5</v>
      </c>
      <c r="S61" s="73" t="s">
        <v>3476</v>
      </c>
      <c r="T61" s="73">
        <v>4</v>
      </c>
      <c r="U61" s="73">
        <v>4</v>
      </c>
      <c r="V61" s="73">
        <v>4</v>
      </c>
      <c r="W61" s="73">
        <v>6</v>
      </c>
      <c r="X61" s="73">
        <v>4</v>
      </c>
      <c r="Y61" s="73">
        <v>4</v>
      </c>
      <c r="Z61" s="73">
        <v>5</v>
      </c>
      <c r="AA61" s="73">
        <v>5</v>
      </c>
      <c r="AB61" s="33"/>
      <c r="AC61" s="33"/>
      <c r="AD61" s="33" t="s">
        <v>622</v>
      </c>
      <c r="AE61" t="str">
        <f>VLOOKUP(AD61,GroupLabels!$E$2:$H$145,3,0)</f>
        <v>Japan - Japanese</v>
      </c>
    </row>
    <row r="62" spans="1:31" x14ac:dyDescent="0.25">
      <c r="A62" t="s">
        <v>2903</v>
      </c>
      <c r="B62" s="73">
        <v>22</v>
      </c>
      <c r="C62" s="73">
        <v>9</v>
      </c>
      <c r="D62" s="73">
        <v>4</v>
      </c>
      <c r="E62" s="73">
        <v>6</v>
      </c>
      <c r="F62" s="73">
        <v>5</v>
      </c>
      <c r="G62" s="73">
        <v>4</v>
      </c>
      <c r="H62" s="73">
        <v>5</v>
      </c>
      <c r="I62" s="73">
        <v>4</v>
      </c>
      <c r="J62" s="73">
        <v>5</v>
      </c>
      <c r="K62" s="73">
        <v>6</v>
      </c>
      <c r="L62" s="73">
        <v>6</v>
      </c>
      <c r="M62" s="73">
        <v>6</v>
      </c>
      <c r="N62" s="73">
        <v>4</v>
      </c>
      <c r="O62" s="73">
        <v>5</v>
      </c>
      <c r="P62" s="73">
        <v>6</v>
      </c>
      <c r="Q62" s="73">
        <v>4</v>
      </c>
      <c r="R62" s="73">
        <v>5</v>
      </c>
      <c r="S62" s="73">
        <v>4</v>
      </c>
      <c r="T62" s="73">
        <v>4</v>
      </c>
      <c r="U62" s="73">
        <v>4</v>
      </c>
      <c r="V62" s="73">
        <v>4</v>
      </c>
      <c r="W62" s="73">
        <v>6</v>
      </c>
      <c r="X62" s="73">
        <v>4</v>
      </c>
      <c r="Y62" s="73">
        <v>4</v>
      </c>
      <c r="Z62" s="73">
        <v>5</v>
      </c>
      <c r="AA62" s="73">
        <v>5</v>
      </c>
      <c r="AB62" s="33"/>
      <c r="AC62" s="33"/>
      <c r="AD62" s="33" t="s">
        <v>623</v>
      </c>
      <c r="AE62" t="str">
        <f>VLOOKUP(AD62,GroupLabels!$E$2:$H$145,3,0)</f>
        <v>Jordan - Arabic</v>
      </c>
    </row>
    <row r="63" spans="1:31" x14ac:dyDescent="0.25">
      <c r="A63" t="s">
        <v>3141</v>
      </c>
      <c r="B63" s="73">
        <v>22</v>
      </c>
      <c r="C63" s="73">
        <v>10</v>
      </c>
      <c r="D63" s="73">
        <v>4</v>
      </c>
      <c r="E63" s="73">
        <v>6</v>
      </c>
      <c r="F63" s="73">
        <v>5</v>
      </c>
      <c r="G63" s="73">
        <v>4</v>
      </c>
      <c r="H63" s="73">
        <v>5</v>
      </c>
      <c r="I63" s="73">
        <v>4</v>
      </c>
      <c r="J63" s="73">
        <v>5</v>
      </c>
      <c r="K63" s="73">
        <v>6</v>
      </c>
      <c r="L63" s="73">
        <v>6</v>
      </c>
      <c r="M63" s="73">
        <v>6</v>
      </c>
      <c r="N63" s="73">
        <v>4</v>
      </c>
      <c r="O63" s="73">
        <v>5</v>
      </c>
      <c r="P63" s="73">
        <v>6</v>
      </c>
      <c r="Q63" s="73">
        <v>4</v>
      </c>
      <c r="R63" s="73">
        <v>5</v>
      </c>
      <c r="S63" s="73">
        <v>4</v>
      </c>
      <c r="T63" s="73">
        <v>4</v>
      </c>
      <c r="U63" s="73">
        <v>4</v>
      </c>
      <c r="V63" s="73">
        <v>4</v>
      </c>
      <c r="W63" s="73">
        <v>6</v>
      </c>
      <c r="X63" s="73">
        <v>4</v>
      </c>
      <c r="Y63" s="73">
        <v>4</v>
      </c>
      <c r="Z63" s="73">
        <v>5</v>
      </c>
      <c r="AA63" s="73">
        <v>5</v>
      </c>
      <c r="AB63" s="33"/>
      <c r="AC63" s="33"/>
      <c r="AD63" s="33" t="s">
        <v>624</v>
      </c>
      <c r="AE63" t="str">
        <f>VLOOKUP(AD63,GroupLabels!$E$2:$H$145,3,0)</f>
        <v>Kazakhstan - Kazakh</v>
      </c>
    </row>
    <row r="64" spans="1:31" x14ac:dyDescent="0.25">
      <c r="A64" t="s">
        <v>3213</v>
      </c>
      <c r="B64" s="73">
        <v>22</v>
      </c>
      <c r="C64" s="73">
        <v>9</v>
      </c>
      <c r="D64" s="73">
        <v>4</v>
      </c>
      <c r="E64" s="73">
        <v>6</v>
      </c>
      <c r="F64" s="73">
        <v>5</v>
      </c>
      <c r="G64" s="73">
        <v>4</v>
      </c>
      <c r="H64" s="73">
        <v>5</v>
      </c>
      <c r="I64" s="73">
        <v>4</v>
      </c>
      <c r="J64" s="73">
        <v>5</v>
      </c>
      <c r="K64" s="73">
        <v>6</v>
      </c>
      <c r="L64" s="73">
        <v>6</v>
      </c>
      <c r="M64" s="73">
        <v>6</v>
      </c>
      <c r="N64" s="73">
        <v>4</v>
      </c>
      <c r="O64" s="73">
        <v>5</v>
      </c>
      <c r="P64" s="73">
        <v>6</v>
      </c>
      <c r="Q64" s="73">
        <v>4</v>
      </c>
      <c r="R64" s="73">
        <v>5</v>
      </c>
      <c r="S64" s="73">
        <v>4</v>
      </c>
      <c r="T64" s="73">
        <v>4</v>
      </c>
      <c r="U64" s="73">
        <v>4</v>
      </c>
      <c r="V64" s="73">
        <v>4</v>
      </c>
      <c r="W64" s="73">
        <v>6</v>
      </c>
      <c r="X64" s="73">
        <v>4</v>
      </c>
      <c r="Y64" s="73">
        <v>4</v>
      </c>
      <c r="Z64" s="73">
        <v>5</v>
      </c>
      <c r="AA64" s="73">
        <v>5</v>
      </c>
      <c r="AB64" s="33"/>
      <c r="AC64" s="33"/>
      <c r="AD64" s="33" t="s">
        <v>625</v>
      </c>
      <c r="AE64" t="str">
        <f>VLOOKUP(AD64,GroupLabels!$E$2:$H$145,3,0)</f>
        <v>Kazakhstan - Russian</v>
      </c>
    </row>
    <row r="65" spans="1:31" x14ac:dyDescent="0.25">
      <c r="A65" t="s">
        <v>940</v>
      </c>
      <c r="B65" s="73">
        <v>22</v>
      </c>
      <c r="C65" s="73">
        <v>9</v>
      </c>
      <c r="D65" s="73">
        <v>4</v>
      </c>
      <c r="E65" s="73">
        <v>6</v>
      </c>
      <c r="F65" s="73">
        <v>5</v>
      </c>
      <c r="G65" s="73">
        <v>4</v>
      </c>
      <c r="H65" s="73">
        <v>5</v>
      </c>
      <c r="I65" s="73">
        <v>4</v>
      </c>
      <c r="J65" s="73">
        <v>5</v>
      </c>
      <c r="K65" s="73">
        <v>6</v>
      </c>
      <c r="L65" s="73">
        <v>6</v>
      </c>
      <c r="M65" s="73">
        <v>6</v>
      </c>
      <c r="N65" s="73">
        <v>4</v>
      </c>
      <c r="O65" s="73">
        <v>5</v>
      </c>
      <c r="P65" s="73">
        <v>6</v>
      </c>
      <c r="Q65" s="73">
        <v>4</v>
      </c>
      <c r="R65" s="73">
        <v>5</v>
      </c>
      <c r="S65" s="73">
        <v>4</v>
      </c>
      <c r="T65" s="73">
        <v>4</v>
      </c>
      <c r="U65" s="73">
        <v>4</v>
      </c>
      <c r="V65" s="73">
        <v>4</v>
      </c>
      <c r="W65" s="73">
        <v>6</v>
      </c>
      <c r="X65" s="73">
        <v>4</v>
      </c>
      <c r="Y65" s="73">
        <v>4</v>
      </c>
      <c r="Z65" s="73">
        <v>5</v>
      </c>
      <c r="AA65" s="73">
        <v>5</v>
      </c>
      <c r="AB65" s="33"/>
      <c r="AC65" s="33"/>
      <c r="AD65" s="33" t="s">
        <v>626</v>
      </c>
      <c r="AE65" t="str">
        <f>VLOOKUP(AD65,GroupLabels!$E$2:$H$145,3,0)</f>
        <v>Kenya - English</v>
      </c>
    </row>
    <row r="66" spans="1:31" x14ac:dyDescent="0.25">
      <c r="A66" t="s">
        <v>3154</v>
      </c>
      <c r="B66" s="73">
        <v>22</v>
      </c>
      <c r="C66" s="73">
        <v>9</v>
      </c>
      <c r="D66" s="73">
        <v>4</v>
      </c>
      <c r="E66" s="73">
        <v>6</v>
      </c>
      <c r="F66" s="73">
        <v>5</v>
      </c>
      <c r="G66" s="73">
        <v>4</v>
      </c>
      <c r="H66" s="73">
        <v>5</v>
      </c>
      <c r="I66" s="73">
        <v>4</v>
      </c>
      <c r="J66" s="73">
        <v>5</v>
      </c>
      <c r="K66" s="73">
        <v>6</v>
      </c>
      <c r="L66" s="73">
        <v>6</v>
      </c>
      <c r="M66" s="73">
        <v>6</v>
      </c>
      <c r="N66" s="73">
        <v>4</v>
      </c>
      <c r="O66" s="73">
        <v>5</v>
      </c>
      <c r="P66" s="73">
        <v>6</v>
      </c>
      <c r="Q66" s="73">
        <v>4</v>
      </c>
      <c r="R66" s="73">
        <v>5</v>
      </c>
      <c r="S66" s="73">
        <v>4</v>
      </c>
      <c r="T66" s="73">
        <v>4</v>
      </c>
      <c r="U66" s="73">
        <v>4</v>
      </c>
      <c r="V66" s="73">
        <v>4</v>
      </c>
      <c r="W66" s="73">
        <v>6</v>
      </c>
      <c r="X66" s="73">
        <v>4</v>
      </c>
      <c r="Y66" s="73">
        <v>4</v>
      </c>
      <c r="Z66" s="73">
        <v>5</v>
      </c>
      <c r="AA66" s="73">
        <v>5</v>
      </c>
      <c r="AB66" s="33"/>
      <c r="AC66" s="33"/>
      <c r="AD66" s="33" t="s">
        <v>627</v>
      </c>
      <c r="AE66" t="str">
        <f>VLOOKUP(AD66,GroupLabels!$E$2:$H$145,3,0)</f>
        <v>Korea - Korean</v>
      </c>
    </row>
    <row r="67" spans="1:31" x14ac:dyDescent="0.25">
      <c r="A67" t="s">
        <v>3236</v>
      </c>
      <c r="B67" s="73">
        <v>20</v>
      </c>
      <c r="C67" s="73">
        <v>9</v>
      </c>
      <c r="D67" s="73">
        <v>4</v>
      </c>
      <c r="E67" s="73">
        <v>6</v>
      </c>
      <c r="F67" s="73">
        <v>5</v>
      </c>
      <c r="G67" s="73">
        <v>4</v>
      </c>
      <c r="H67" s="73">
        <v>5</v>
      </c>
      <c r="I67" s="73">
        <v>4</v>
      </c>
      <c r="J67" s="73">
        <v>5</v>
      </c>
      <c r="K67" s="73">
        <v>6</v>
      </c>
      <c r="L67" s="73">
        <v>6</v>
      </c>
      <c r="M67" s="73">
        <v>6</v>
      </c>
      <c r="N67" s="73">
        <v>4</v>
      </c>
      <c r="O67" s="73">
        <v>5</v>
      </c>
      <c r="P67" s="73">
        <v>6</v>
      </c>
      <c r="Q67" s="73">
        <v>4</v>
      </c>
      <c r="R67" s="73">
        <v>5</v>
      </c>
      <c r="S67" s="73">
        <v>4</v>
      </c>
      <c r="T67" s="73">
        <v>4</v>
      </c>
      <c r="U67" s="73">
        <v>4</v>
      </c>
      <c r="V67" s="73">
        <v>4</v>
      </c>
      <c r="W67" s="73">
        <v>6</v>
      </c>
      <c r="X67" s="73">
        <v>4</v>
      </c>
      <c r="Y67" s="73">
        <v>4</v>
      </c>
      <c r="Z67" s="73">
        <v>5</v>
      </c>
      <c r="AA67" s="73">
        <v>5</v>
      </c>
      <c r="AB67" s="33"/>
      <c r="AC67" s="33"/>
      <c r="AD67" s="33" t="s">
        <v>628</v>
      </c>
      <c r="AE67" t="str">
        <f>VLOOKUP(AD67,GroupLabels!$E$2:$H$145,3,0)</f>
        <v>Kosovo - Albanian*</v>
      </c>
    </row>
    <row r="68" spans="1:31" x14ac:dyDescent="0.25">
      <c r="A68" t="s">
        <v>755</v>
      </c>
      <c r="B68" s="73">
        <v>21</v>
      </c>
      <c r="C68" s="73">
        <v>9</v>
      </c>
      <c r="D68" s="73" t="s">
        <v>3476</v>
      </c>
      <c r="E68" s="73">
        <v>6</v>
      </c>
      <c r="F68" s="73">
        <v>5</v>
      </c>
      <c r="G68" s="73" t="s">
        <v>3476</v>
      </c>
      <c r="H68" s="73">
        <v>5</v>
      </c>
      <c r="I68" s="73">
        <v>4</v>
      </c>
      <c r="J68" s="73">
        <v>5</v>
      </c>
      <c r="K68" s="73" t="s">
        <v>3476</v>
      </c>
      <c r="L68" s="73">
        <v>6</v>
      </c>
      <c r="M68" s="73">
        <v>6</v>
      </c>
      <c r="N68" s="73" t="s">
        <v>3476</v>
      </c>
      <c r="O68" s="73">
        <v>5</v>
      </c>
      <c r="P68" s="73">
        <v>6</v>
      </c>
      <c r="Q68" s="73">
        <v>4</v>
      </c>
      <c r="R68" s="73">
        <v>5</v>
      </c>
      <c r="S68" s="73">
        <v>4</v>
      </c>
      <c r="T68" s="73" t="s">
        <v>3476</v>
      </c>
      <c r="U68" s="73">
        <v>4</v>
      </c>
      <c r="V68" s="73">
        <v>4</v>
      </c>
      <c r="W68" s="73">
        <v>6</v>
      </c>
      <c r="X68" s="73">
        <v>4</v>
      </c>
      <c r="Y68" s="73" t="s">
        <v>3476</v>
      </c>
      <c r="Z68" s="73">
        <v>5</v>
      </c>
      <c r="AA68" s="73" t="s">
        <v>3476</v>
      </c>
      <c r="AB68" s="33"/>
      <c r="AC68" s="33"/>
      <c r="AD68" s="33" t="s">
        <v>629</v>
      </c>
      <c r="AE68" t="str">
        <f>VLOOKUP(AD68,GroupLabels!$E$2:$H$145,3,0)</f>
        <v>Kurdistan Region (Iraq) - Bahdini*</v>
      </c>
    </row>
    <row r="69" spans="1:31" x14ac:dyDescent="0.25">
      <c r="A69" t="s">
        <v>754</v>
      </c>
      <c r="B69" s="73">
        <v>21</v>
      </c>
      <c r="C69" s="73">
        <v>10</v>
      </c>
      <c r="D69" s="73" t="s">
        <v>3476</v>
      </c>
      <c r="E69" s="73">
        <v>6</v>
      </c>
      <c r="F69" s="73">
        <v>5</v>
      </c>
      <c r="G69" s="73" t="s">
        <v>3476</v>
      </c>
      <c r="H69" s="73">
        <v>5</v>
      </c>
      <c r="I69" s="73">
        <v>4</v>
      </c>
      <c r="J69" s="73">
        <v>5</v>
      </c>
      <c r="K69" s="73" t="s">
        <v>3476</v>
      </c>
      <c r="L69" s="73">
        <v>6</v>
      </c>
      <c r="M69" s="73">
        <v>6</v>
      </c>
      <c r="N69" s="73" t="s">
        <v>3476</v>
      </c>
      <c r="O69" s="73">
        <v>5</v>
      </c>
      <c r="P69" s="73">
        <v>6</v>
      </c>
      <c r="Q69" s="73">
        <v>4</v>
      </c>
      <c r="R69" s="73">
        <v>5</v>
      </c>
      <c r="S69" s="73">
        <v>4</v>
      </c>
      <c r="T69" s="73" t="s">
        <v>3476</v>
      </c>
      <c r="U69" s="73">
        <v>4</v>
      </c>
      <c r="V69" s="73">
        <v>4</v>
      </c>
      <c r="W69" s="73">
        <v>6</v>
      </c>
      <c r="X69" s="73">
        <v>4</v>
      </c>
      <c r="Y69" s="73" t="s">
        <v>3476</v>
      </c>
      <c r="Z69" s="73">
        <v>5</v>
      </c>
      <c r="AA69" s="73" t="s">
        <v>3476</v>
      </c>
      <c r="AB69" s="33"/>
      <c r="AC69" s="33"/>
      <c r="AD69" s="33" t="s">
        <v>630</v>
      </c>
      <c r="AE69" t="str">
        <f>VLOOKUP(AD69,GroupLabels!$E$2:$H$145,3,0)</f>
        <v>Kurdistan Region (Iraq) - English*</v>
      </c>
    </row>
    <row r="70" spans="1:31" x14ac:dyDescent="0.25">
      <c r="A70" t="s">
        <v>756</v>
      </c>
      <c r="B70" s="73">
        <v>22</v>
      </c>
      <c r="C70" s="73">
        <v>9</v>
      </c>
      <c r="D70" s="73" t="s">
        <v>3476</v>
      </c>
      <c r="E70" s="73">
        <v>6</v>
      </c>
      <c r="F70" s="73">
        <v>5</v>
      </c>
      <c r="G70" s="73" t="s">
        <v>3476</v>
      </c>
      <c r="H70" s="73">
        <v>5</v>
      </c>
      <c r="I70" s="73">
        <v>4</v>
      </c>
      <c r="J70" s="73">
        <v>5</v>
      </c>
      <c r="K70" s="73" t="s">
        <v>3476</v>
      </c>
      <c r="L70" s="73">
        <v>6</v>
      </c>
      <c r="M70" s="73">
        <v>6</v>
      </c>
      <c r="N70" s="73" t="s">
        <v>3476</v>
      </c>
      <c r="O70" s="73">
        <v>5</v>
      </c>
      <c r="P70" s="73">
        <v>6</v>
      </c>
      <c r="Q70" s="73">
        <v>4</v>
      </c>
      <c r="R70" s="73">
        <v>5</v>
      </c>
      <c r="S70" s="73">
        <v>4</v>
      </c>
      <c r="T70" s="73" t="s">
        <v>3476</v>
      </c>
      <c r="U70" s="73">
        <v>4</v>
      </c>
      <c r="V70" s="73">
        <v>4</v>
      </c>
      <c r="W70" s="73">
        <v>6</v>
      </c>
      <c r="X70" s="73">
        <v>4</v>
      </c>
      <c r="Y70" s="73" t="s">
        <v>3476</v>
      </c>
      <c r="Z70" s="73">
        <v>5</v>
      </c>
      <c r="AA70" s="73" t="s">
        <v>3476</v>
      </c>
      <c r="AB70" s="33"/>
      <c r="AC70" s="33"/>
      <c r="AD70" s="33" t="s">
        <v>631</v>
      </c>
      <c r="AE70" t="str">
        <f>VLOOKUP(AD70,GroupLabels!$E$2:$H$145,3,0)</f>
        <v>Kurdistan Region (Iraq) - Sorani*</v>
      </c>
    </row>
    <row r="71" spans="1:31" x14ac:dyDescent="0.25">
      <c r="A71" t="s">
        <v>3159</v>
      </c>
      <c r="B71" s="73">
        <v>20</v>
      </c>
      <c r="C71" s="73">
        <v>9</v>
      </c>
      <c r="D71" s="73">
        <v>4</v>
      </c>
      <c r="E71" s="73">
        <v>6</v>
      </c>
      <c r="F71" s="73">
        <v>5</v>
      </c>
      <c r="G71" s="73">
        <v>4</v>
      </c>
      <c r="H71" s="73">
        <v>5</v>
      </c>
      <c r="I71" s="73">
        <v>4</v>
      </c>
      <c r="J71" s="73">
        <v>5</v>
      </c>
      <c r="K71" s="73">
        <v>6</v>
      </c>
      <c r="L71" s="73">
        <v>6</v>
      </c>
      <c r="M71" s="73">
        <v>6</v>
      </c>
      <c r="N71" s="73">
        <v>4</v>
      </c>
      <c r="O71" s="73">
        <v>5</v>
      </c>
      <c r="P71" s="73">
        <v>6</v>
      </c>
      <c r="Q71" s="73">
        <v>4</v>
      </c>
      <c r="R71" s="73">
        <v>5</v>
      </c>
      <c r="S71" s="73">
        <v>4</v>
      </c>
      <c r="T71" s="73">
        <v>4</v>
      </c>
      <c r="U71" s="73">
        <v>4</v>
      </c>
      <c r="V71" s="73">
        <v>4</v>
      </c>
      <c r="W71" s="73">
        <v>6</v>
      </c>
      <c r="X71" s="73">
        <v>4</v>
      </c>
      <c r="Y71" s="73">
        <v>4</v>
      </c>
      <c r="Z71" s="73">
        <v>5</v>
      </c>
      <c r="AA71" s="73">
        <v>5</v>
      </c>
      <c r="AB71" s="33"/>
      <c r="AC71" s="33"/>
      <c r="AD71" s="33" t="s">
        <v>632</v>
      </c>
      <c r="AE71" t="str">
        <f>VLOOKUP(AD71,GroupLabels!$E$2:$H$145,3,0)</f>
        <v>Kyrgyzstan - Kyrgyz / Kirghiz</v>
      </c>
    </row>
    <row r="72" spans="1:31" x14ac:dyDescent="0.25">
      <c r="A72" t="s">
        <v>3212</v>
      </c>
      <c r="B72" s="73">
        <v>21</v>
      </c>
      <c r="C72" s="73">
        <v>10</v>
      </c>
      <c r="D72" s="73">
        <v>4</v>
      </c>
      <c r="E72" s="73">
        <v>6</v>
      </c>
      <c r="F72" s="73">
        <v>5</v>
      </c>
      <c r="G72" s="73">
        <v>4</v>
      </c>
      <c r="H72" s="73">
        <v>5</v>
      </c>
      <c r="I72" s="73">
        <v>4</v>
      </c>
      <c r="J72" s="73">
        <v>5</v>
      </c>
      <c r="K72" s="73">
        <v>6</v>
      </c>
      <c r="L72" s="73">
        <v>6</v>
      </c>
      <c r="M72" s="73">
        <v>6</v>
      </c>
      <c r="N72" s="73">
        <v>4</v>
      </c>
      <c r="O72" s="73">
        <v>5</v>
      </c>
      <c r="P72" s="73">
        <v>6</v>
      </c>
      <c r="Q72" s="73">
        <v>4</v>
      </c>
      <c r="R72" s="73">
        <v>5</v>
      </c>
      <c r="S72" s="73">
        <v>4</v>
      </c>
      <c r="T72" s="73">
        <v>4</v>
      </c>
      <c r="U72" s="73">
        <v>4</v>
      </c>
      <c r="V72" s="73">
        <v>4</v>
      </c>
      <c r="W72" s="73">
        <v>6</v>
      </c>
      <c r="X72" s="73">
        <v>4</v>
      </c>
      <c r="Y72" s="73">
        <v>4</v>
      </c>
      <c r="Z72" s="73">
        <v>5</v>
      </c>
      <c r="AA72" s="73">
        <v>5</v>
      </c>
      <c r="AB72" s="33"/>
      <c r="AC72" s="33"/>
      <c r="AD72" s="33" t="s">
        <v>633</v>
      </c>
      <c r="AE72" t="str">
        <f>VLOOKUP(AD72,GroupLabels!$E$2:$H$145,3,0)</f>
        <v>Kyrgyzstan - Russian</v>
      </c>
    </row>
    <row r="73" spans="1:31" x14ac:dyDescent="0.25">
      <c r="A73" t="s">
        <v>3266</v>
      </c>
      <c r="B73" s="73">
        <v>22</v>
      </c>
      <c r="C73" s="73">
        <v>9</v>
      </c>
      <c r="D73" s="73">
        <v>4</v>
      </c>
      <c r="E73" s="73">
        <v>6</v>
      </c>
      <c r="F73" s="73">
        <v>5</v>
      </c>
      <c r="G73" s="73">
        <v>4</v>
      </c>
      <c r="H73" s="73">
        <v>5</v>
      </c>
      <c r="I73" s="73">
        <v>4</v>
      </c>
      <c r="J73" s="73">
        <v>5</v>
      </c>
      <c r="K73" s="73">
        <v>6</v>
      </c>
      <c r="L73" s="73">
        <v>6</v>
      </c>
      <c r="M73" s="73">
        <v>6</v>
      </c>
      <c r="N73" s="73">
        <v>4</v>
      </c>
      <c r="O73" s="73">
        <v>5</v>
      </c>
      <c r="P73" s="73">
        <v>6</v>
      </c>
      <c r="Q73" s="73">
        <v>4</v>
      </c>
      <c r="R73" s="73">
        <v>5</v>
      </c>
      <c r="S73" s="73">
        <v>4</v>
      </c>
      <c r="T73" s="73">
        <v>4</v>
      </c>
      <c r="U73" s="73">
        <v>4</v>
      </c>
      <c r="V73" s="73">
        <v>4</v>
      </c>
      <c r="W73" s="73">
        <v>6</v>
      </c>
      <c r="X73" s="73">
        <v>4</v>
      </c>
      <c r="Y73" s="73">
        <v>4</v>
      </c>
      <c r="Z73" s="73">
        <v>5</v>
      </c>
      <c r="AA73" s="73">
        <v>5</v>
      </c>
      <c r="AB73" s="33"/>
      <c r="AC73" s="33"/>
      <c r="AD73" s="33" t="s">
        <v>634</v>
      </c>
      <c r="AE73" t="str">
        <f>VLOOKUP(AD73,GroupLabels!$E$2:$H$145,3,0)</f>
        <v>Kyrgyzstan - Uzbekistani</v>
      </c>
    </row>
    <row r="74" spans="1:31" x14ac:dyDescent="0.25">
      <c r="A74" t="s">
        <v>3167</v>
      </c>
      <c r="B74" s="73">
        <v>19</v>
      </c>
      <c r="C74" s="73">
        <v>9</v>
      </c>
      <c r="D74" s="73">
        <v>4</v>
      </c>
      <c r="E74" s="73">
        <v>6</v>
      </c>
      <c r="F74" s="73">
        <v>5</v>
      </c>
      <c r="G74" s="73">
        <v>4</v>
      </c>
      <c r="H74" s="73">
        <v>5</v>
      </c>
      <c r="I74" s="73">
        <v>4</v>
      </c>
      <c r="J74" s="73">
        <v>5</v>
      </c>
      <c r="K74" s="73">
        <v>6</v>
      </c>
      <c r="L74" s="73">
        <v>6</v>
      </c>
      <c r="M74" s="73">
        <v>6</v>
      </c>
      <c r="N74" s="73">
        <v>4</v>
      </c>
      <c r="O74" s="73">
        <v>5</v>
      </c>
      <c r="P74" s="73">
        <v>6</v>
      </c>
      <c r="Q74" s="73">
        <v>4</v>
      </c>
      <c r="R74" s="73">
        <v>5</v>
      </c>
      <c r="S74" s="73">
        <v>4</v>
      </c>
      <c r="T74" s="73">
        <v>4</v>
      </c>
      <c r="U74" s="73">
        <v>4</v>
      </c>
      <c r="V74" s="73">
        <v>4</v>
      </c>
      <c r="W74" s="73">
        <v>6</v>
      </c>
      <c r="X74" s="73">
        <v>4</v>
      </c>
      <c r="Y74" s="73">
        <v>4</v>
      </c>
      <c r="Z74" s="73">
        <v>5</v>
      </c>
      <c r="AA74" s="73">
        <v>5</v>
      </c>
      <c r="AB74" s="33"/>
      <c r="AC74" s="33"/>
      <c r="AD74" s="33" t="s">
        <v>635</v>
      </c>
      <c r="AE74" t="str">
        <f>VLOOKUP(AD74,GroupLabels!$E$2:$H$145,3,0)</f>
        <v>Latvia - Latvian</v>
      </c>
    </row>
    <row r="75" spans="1:31" x14ac:dyDescent="0.25">
      <c r="A75" t="s">
        <v>3003</v>
      </c>
      <c r="B75" s="73">
        <v>20</v>
      </c>
      <c r="C75" s="73">
        <v>9</v>
      </c>
      <c r="D75" s="73">
        <v>4</v>
      </c>
      <c r="E75" s="73">
        <v>6</v>
      </c>
      <c r="F75" s="73">
        <v>5</v>
      </c>
      <c r="G75" s="73">
        <v>4</v>
      </c>
      <c r="H75" s="73">
        <v>5</v>
      </c>
      <c r="I75" s="73">
        <v>4</v>
      </c>
      <c r="J75" s="73">
        <v>5</v>
      </c>
      <c r="K75" s="73">
        <v>6</v>
      </c>
      <c r="L75" s="73">
        <v>6</v>
      </c>
      <c r="M75" s="73">
        <v>6</v>
      </c>
      <c r="N75" s="73">
        <v>4</v>
      </c>
      <c r="O75" s="73">
        <v>5</v>
      </c>
      <c r="P75" s="73">
        <v>6</v>
      </c>
      <c r="Q75" s="73">
        <v>4</v>
      </c>
      <c r="R75" s="73">
        <v>5</v>
      </c>
      <c r="S75" s="73">
        <v>4</v>
      </c>
      <c r="T75" s="73">
        <v>4</v>
      </c>
      <c r="U75" s="73">
        <v>4</v>
      </c>
      <c r="V75" s="73">
        <v>4</v>
      </c>
      <c r="W75" s="73">
        <v>6</v>
      </c>
      <c r="X75" s="73">
        <v>4</v>
      </c>
      <c r="Y75" s="73">
        <v>4</v>
      </c>
      <c r="Z75" s="73">
        <v>5</v>
      </c>
      <c r="AA75" s="73">
        <v>5</v>
      </c>
      <c r="AB75" s="33"/>
      <c r="AC75" s="33"/>
      <c r="AD75" s="33" t="s">
        <v>636</v>
      </c>
      <c r="AE75" t="str">
        <f>VLOOKUP(AD75,GroupLabels!$E$2:$H$145,3,0)</f>
        <v>Lebanon - English*</v>
      </c>
    </row>
    <row r="76" spans="1:31" x14ac:dyDescent="0.25">
      <c r="A76" t="s">
        <v>3084</v>
      </c>
      <c r="B76" s="73">
        <v>21</v>
      </c>
      <c r="C76" s="73">
        <v>9</v>
      </c>
      <c r="D76" s="73">
        <v>4</v>
      </c>
      <c r="E76" s="73">
        <v>6</v>
      </c>
      <c r="F76" s="73">
        <v>5</v>
      </c>
      <c r="G76" s="73">
        <v>4</v>
      </c>
      <c r="H76" s="73">
        <v>5</v>
      </c>
      <c r="I76" s="73">
        <v>4</v>
      </c>
      <c r="J76" s="73">
        <v>5</v>
      </c>
      <c r="K76" s="73">
        <v>6</v>
      </c>
      <c r="L76" s="73">
        <v>6</v>
      </c>
      <c r="M76" s="73">
        <v>6</v>
      </c>
      <c r="N76" s="73">
        <v>4</v>
      </c>
      <c r="O76" s="73">
        <v>5</v>
      </c>
      <c r="P76" s="73">
        <v>6</v>
      </c>
      <c r="Q76" s="73">
        <v>4</v>
      </c>
      <c r="R76" s="73">
        <v>5</v>
      </c>
      <c r="S76" s="73">
        <v>4</v>
      </c>
      <c r="T76" s="73">
        <v>4</v>
      </c>
      <c r="U76" s="73">
        <v>4</v>
      </c>
      <c r="V76" s="73">
        <v>4</v>
      </c>
      <c r="W76" s="73">
        <v>6</v>
      </c>
      <c r="X76" s="73">
        <v>4</v>
      </c>
      <c r="Y76" s="73">
        <v>4</v>
      </c>
      <c r="Z76" s="73">
        <v>5</v>
      </c>
      <c r="AA76" s="73">
        <v>5</v>
      </c>
      <c r="AB76" s="33"/>
      <c r="AC76" s="33"/>
      <c r="AD76" s="33" t="s">
        <v>637</v>
      </c>
      <c r="AE76" t="str">
        <f>VLOOKUP(AD76,GroupLabels!$E$2:$H$145,3,0)</f>
        <v>Lebanon - French*</v>
      </c>
    </row>
    <row r="77" spans="1:31" x14ac:dyDescent="0.25">
      <c r="A77" t="s">
        <v>3163</v>
      </c>
      <c r="B77" s="73">
        <v>20</v>
      </c>
      <c r="C77" s="73">
        <v>10</v>
      </c>
      <c r="D77" s="73">
        <v>4</v>
      </c>
      <c r="E77" s="73">
        <v>6</v>
      </c>
      <c r="F77" s="73">
        <v>5</v>
      </c>
      <c r="G77" s="73">
        <v>4</v>
      </c>
      <c r="H77" s="73">
        <v>5</v>
      </c>
      <c r="I77" s="73">
        <v>4</v>
      </c>
      <c r="J77" s="73">
        <v>5</v>
      </c>
      <c r="K77" s="73">
        <v>6</v>
      </c>
      <c r="L77" s="73">
        <v>6</v>
      </c>
      <c r="M77" s="73">
        <v>6</v>
      </c>
      <c r="N77" s="73">
        <v>4</v>
      </c>
      <c r="O77" s="73">
        <v>5</v>
      </c>
      <c r="P77" s="73">
        <v>6</v>
      </c>
      <c r="Q77" s="73">
        <v>4</v>
      </c>
      <c r="R77" s="73">
        <v>5</v>
      </c>
      <c r="S77" s="73">
        <v>4</v>
      </c>
      <c r="T77" s="73">
        <v>4</v>
      </c>
      <c r="U77" s="73">
        <v>4</v>
      </c>
      <c r="V77" s="73">
        <v>4</v>
      </c>
      <c r="W77" s="73">
        <v>6</v>
      </c>
      <c r="X77" s="73">
        <v>4</v>
      </c>
      <c r="Y77" s="73">
        <v>4</v>
      </c>
      <c r="Z77" s="73">
        <v>5</v>
      </c>
      <c r="AA77" s="73">
        <v>5</v>
      </c>
      <c r="AB77" s="33"/>
      <c r="AC77" s="33"/>
      <c r="AD77" s="33" t="s">
        <v>638</v>
      </c>
      <c r="AE77" t="str">
        <f>VLOOKUP(AD77,GroupLabels!$E$2:$H$145,3,0)</f>
        <v>Lithuania - Lithuanian</v>
      </c>
    </row>
    <row r="78" spans="1:31" x14ac:dyDescent="0.25">
      <c r="A78" t="s">
        <v>3192</v>
      </c>
      <c r="B78" s="73">
        <v>22</v>
      </c>
      <c r="C78" s="73">
        <v>10</v>
      </c>
      <c r="D78" s="73">
        <v>4</v>
      </c>
      <c r="E78" s="73">
        <v>6</v>
      </c>
      <c r="F78" s="73">
        <v>5</v>
      </c>
      <c r="G78" s="73">
        <v>4</v>
      </c>
      <c r="H78" s="73">
        <v>5</v>
      </c>
      <c r="I78" s="73">
        <v>4</v>
      </c>
      <c r="J78" s="73">
        <v>5</v>
      </c>
      <c r="K78" s="73">
        <v>6</v>
      </c>
      <c r="L78" s="73">
        <v>6</v>
      </c>
      <c r="M78" s="73">
        <v>6</v>
      </c>
      <c r="N78" s="73">
        <v>4</v>
      </c>
      <c r="O78" s="73">
        <v>5</v>
      </c>
      <c r="P78" s="73">
        <v>6</v>
      </c>
      <c r="Q78" s="73">
        <v>4</v>
      </c>
      <c r="R78" s="73">
        <v>5</v>
      </c>
      <c r="S78" s="73">
        <v>4</v>
      </c>
      <c r="T78" s="73">
        <v>4</v>
      </c>
      <c r="U78" s="73">
        <v>4</v>
      </c>
      <c r="V78" s="73">
        <v>4</v>
      </c>
      <c r="W78" s="73">
        <v>6</v>
      </c>
      <c r="X78" s="73">
        <v>4</v>
      </c>
      <c r="Y78" s="73">
        <v>4</v>
      </c>
      <c r="Z78" s="73">
        <v>5</v>
      </c>
      <c r="AA78" s="73">
        <v>5</v>
      </c>
      <c r="AB78" s="33"/>
      <c r="AC78" s="33"/>
      <c r="AD78" s="33" t="s">
        <v>639</v>
      </c>
      <c r="AE78" t="str">
        <f>VLOOKUP(AD78,GroupLabels!$E$2:$H$145,3,0)</f>
        <v>Lithuania - Polish</v>
      </c>
    </row>
    <row r="79" spans="1:31" x14ac:dyDescent="0.25">
      <c r="A79" t="s">
        <v>3214</v>
      </c>
      <c r="B79" s="73">
        <v>21</v>
      </c>
      <c r="C79" s="73">
        <v>9</v>
      </c>
      <c r="D79" s="73">
        <v>4</v>
      </c>
      <c r="E79" s="73">
        <v>6</v>
      </c>
      <c r="F79" s="73">
        <v>5</v>
      </c>
      <c r="G79" s="73">
        <v>4</v>
      </c>
      <c r="H79" s="73">
        <v>5</v>
      </c>
      <c r="I79" s="73">
        <v>4</v>
      </c>
      <c r="J79" s="73">
        <v>5</v>
      </c>
      <c r="K79" s="73">
        <v>6</v>
      </c>
      <c r="L79" s="73">
        <v>6</v>
      </c>
      <c r="M79" s="73">
        <v>6</v>
      </c>
      <c r="N79" s="73">
        <v>4</v>
      </c>
      <c r="O79" s="73">
        <v>5</v>
      </c>
      <c r="P79" s="73">
        <v>6</v>
      </c>
      <c r="Q79" s="73">
        <v>4</v>
      </c>
      <c r="R79" s="73">
        <v>5</v>
      </c>
      <c r="S79" s="73">
        <v>4</v>
      </c>
      <c r="T79" s="73">
        <v>4</v>
      </c>
      <c r="U79" s="73">
        <v>4</v>
      </c>
      <c r="V79" s="73">
        <v>4</v>
      </c>
      <c r="W79" s="73">
        <v>6</v>
      </c>
      <c r="X79" s="73">
        <v>4</v>
      </c>
      <c r="Y79" s="73">
        <v>4</v>
      </c>
      <c r="Z79" s="73">
        <v>5</v>
      </c>
      <c r="AA79" s="73">
        <v>5</v>
      </c>
      <c r="AB79" s="33"/>
      <c r="AC79" s="33"/>
      <c r="AD79" s="33" t="s">
        <v>640</v>
      </c>
      <c r="AE79" t="str">
        <f>VLOOKUP(AD79,GroupLabels!$E$2:$H$145,3,0)</f>
        <v>Lithuania - Russian</v>
      </c>
    </row>
    <row r="80" spans="1:31" x14ac:dyDescent="0.25">
      <c r="A80" t="s">
        <v>3004</v>
      </c>
      <c r="B80" s="73">
        <v>20</v>
      </c>
      <c r="C80" s="73">
        <v>9</v>
      </c>
      <c r="D80" s="73">
        <v>4</v>
      </c>
      <c r="E80" s="73">
        <v>6</v>
      </c>
      <c r="F80" s="73">
        <v>5</v>
      </c>
      <c r="G80" s="73">
        <v>4</v>
      </c>
      <c r="H80" s="73">
        <v>5</v>
      </c>
      <c r="I80" s="73">
        <v>4</v>
      </c>
      <c r="J80" s="73">
        <v>5</v>
      </c>
      <c r="K80" s="73">
        <v>6</v>
      </c>
      <c r="L80" s="73">
        <v>6</v>
      </c>
      <c r="M80" s="73">
        <v>6</v>
      </c>
      <c r="N80" s="73">
        <v>4</v>
      </c>
      <c r="O80" s="73">
        <v>5</v>
      </c>
      <c r="P80" s="73">
        <v>6</v>
      </c>
      <c r="Q80" s="73">
        <v>4</v>
      </c>
      <c r="R80" s="73">
        <v>5</v>
      </c>
      <c r="S80" s="73">
        <v>4</v>
      </c>
      <c r="T80" s="73">
        <v>4</v>
      </c>
      <c r="U80" s="73">
        <v>4</v>
      </c>
      <c r="V80" s="73">
        <v>4</v>
      </c>
      <c r="W80" s="73">
        <v>6</v>
      </c>
      <c r="X80" s="73">
        <v>4</v>
      </c>
      <c r="Y80" s="73">
        <v>4</v>
      </c>
      <c r="Z80" s="73">
        <v>5</v>
      </c>
      <c r="AA80" s="73">
        <v>5</v>
      </c>
      <c r="AB80" s="33"/>
      <c r="AC80" s="33"/>
      <c r="AD80" s="33" t="s">
        <v>641</v>
      </c>
      <c r="AE80" t="str">
        <f>VLOOKUP(AD80,GroupLabels!$E$2:$H$145,3,0)</f>
        <v>Luxembourg - English</v>
      </c>
    </row>
    <row r="81" spans="1:31" x14ac:dyDescent="0.25">
      <c r="A81" t="s">
        <v>3085</v>
      </c>
      <c r="B81" s="73">
        <v>20</v>
      </c>
      <c r="C81" s="73">
        <v>9</v>
      </c>
      <c r="D81" s="73">
        <v>4</v>
      </c>
      <c r="E81" s="73">
        <v>6</v>
      </c>
      <c r="F81" s="73">
        <v>5</v>
      </c>
      <c r="G81" s="73">
        <v>4</v>
      </c>
      <c r="H81" s="73">
        <v>5</v>
      </c>
      <c r="I81" s="73">
        <v>4</v>
      </c>
      <c r="J81" s="73">
        <v>5</v>
      </c>
      <c r="K81" s="73">
        <v>6</v>
      </c>
      <c r="L81" s="73">
        <v>6</v>
      </c>
      <c r="M81" s="73">
        <v>6</v>
      </c>
      <c r="N81" s="73">
        <v>4</v>
      </c>
      <c r="O81" s="73">
        <v>5</v>
      </c>
      <c r="P81" s="73">
        <v>6</v>
      </c>
      <c r="Q81" s="73">
        <v>4</v>
      </c>
      <c r="R81" s="73">
        <v>5</v>
      </c>
      <c r="S81" s="73">
        <v>4</v>
      </c>
      <c r="T81" s="73">
        <v>4</v>
      </c>
      <c r="U81" s="73">
        <v>4</v>
      </c>
      <c r="V81" s="73">
        <v>4</v>
      </c>
      <c r="W81" s="73">
        <v>6</v>
      </c>
      <c r="X81" s="73">
        <v>4</v>
      </c>
      <c r="Y81" s="73">
        <v>4</v>
      </c>
      <c r="Z81" s="73">
        <v>5</v>
      </c>
      <c r="AA81" s="73">
        <v>5</v>
      </c>
      <c r="AB81" s="33"/>
      <c r="AC81" s="33"/>
      <c r="AD81" s="33" t="s">
        <v>642</v>
      </c>
      <c r="AE81" t="str">
        <f>VLOOKUP(AD81,GroupLabels!$E$2:$H$145,3,0)</f>
        <v>Luxembourg - French</v>
      </c>
    </row>
    <row r="82" spans="1:31" x14ac:dyDescent="0.25">
      <c r="A82" t="s">
        <v>2969</v>
      </c>
      <c r="B82" s="73">
        <v>22</v>
      </c>
      <c r="C82" s="73">
        <v>9</v>
      </c>
      <c r="D82" s="73">
        <v>4</v>
      </c>
      <c r="E82" s="73">
        <v>6</v>
      </c>
      <c r="F82" s="73">
        <v>5</v>
      </c>
      <c r="G82" s="73">
        <v>4</v>
      </c>
      <c r="H82" s="73">
        <v>5</v>
      </c>
      <c r="I82" s="73">
        <v>4</v>
      </c>
      <c r="J82" s="73">
        <v>5</v>
      </c>
      <c r="K82" s="73">
        <v>6</v>
      </c>
      <c r="L82" s="73">
        <v>6</v>
      </c>
      <c r="M82" s="73">
        <v>6</v>
      </c>
      <c r="N82" s="73">
        <v>4</v>
      </c>
      <c r="O82" s="73">
        <v>5</v>
      </c>
      <c r="P82" s="73">
        <v>6</v>
      </c>
      <c r="Q82" s="73">
        <v>4</v>
      </c>
      <c r="R82" s="73">
        <v>5</v>
      </c>
      <c r="S82" s="73">
        <v>4</v>
      </c>
      <c r="T82" s="73">
        <v>4</v>
      </c>
      <c r="U82" s="73">
        <v>4</v>
      </c>
      <c r="V82" s="73">
        <v>4</v>
      </c>
      <c r="W82" s="73">
        <v>6</v>
      </c>
      <c r="X82" s="73">
        <v>4</v>
      </c>
      <c r="Y82" s="73">
        <v>4</v>
      </c>
      <c r="Z82" s="73">
        <v>5</v>
      </c>
      <c r="AA82" s="73">
        <v>5</v>
      </c>
      <c r="AB82" s="33"/>
      <c r="AC82" s="33"/>
      <c r="AD82" s="33" t="s">
        <v>643</v>
      </c>
      <c r="AE82" t="str">
        <f>VLOOKUP(AD82,GroupLabels!$E$2:$H$145,3,0)</f>
        <v>Luxembourg - German</v>
      </c>
    </row>
    <row r="83" spans="1:31" x14ac:dyDescent="0.25">
      <c r="A83" t="s">
        <v>3007</v>
      </c>
      <c r="B83" s="73">
        <v>21</v>
      </c>
      <c r="C83" s="73">
        <v>10</v>
      </c>
      <c r="D83" s="73">
        <v>4</v>
      </c>
      <c r="E83" s="73">
        <v>6</v>
      </c>
      <c r="F83" s="73">
        <v>5</v>
      </c>
      <c r="G83" s="73">
        <v>4</v>
      </c>
      <c r="H83" s="73">
        <v>5</v>
      </c>
      <c r="I83" s="73">
        <v>4</v>
      </c>
      <c r="J83" s="73">
        <v>5</v>
      </c>
      <c r="K83" s="73">
        <v>6</v>
      </c>
      <c r="L83" s="73">
        <v>6</v>
      </c>
      <c r="M83" s="73">
        <v>6</v>
      </c>
      <c r="N83" s="73">
        <v>4</v>
      </c>
      <c r="O83" s="73">
        <v>5</v>
      </c>
      <c r="P83" s="73">
        <v>6</v>
      </c>
      <c r="Q83" s="73">
        <v>4</v>
      </c>
      <c r="R83" s="73">
        <v>5</v>
      </c>
      <c r="S83" s="73">
        <v>4</v>
      </c>
      <c r="T83" s="73">
        <v>4</v>
      </c>
      <c r="U83" s="73">
        <v>4</v>
      </c>
      <c r="V83" s="73">
        <v>4</v>
      </c>
      <c r="W83" s="73">
        <v>6</v>
      </c>
      <c r="X83" s="73">
        <v>4</v>
      </c>
      <c r="Y83" s="73">
        <v>4</v>
      </c>
      <c r="Z83" s="73">
        <v>5</v>
      </c>
      <c r="AA83" s="73">
        <v>5</v>
      </c>
      <c r="AB83" s="33"/>
      <c r="AC83" s="33"/>
      <c r="AD83" s="33" t="s">
        <v>644</v>
      </c>
      <c r="AE83" t="str">
        <f>VLOOKUP(AD83,GroupLabels!$E$2:$H$145,3,0)</f>
        <v>Macao (China) - English</v>
      </c>
    </row>
    <row r="84" spans="1:31" x14ac:dyDescent="0.25">
      <c r="A84" t="s">
        <v>3200</v>
      </c>
      <c r="B84" s="73">
        <v>18</v>
      </c>
      <c r="C84" s="73">
        <v>10</v>
      </c>
      <c r="D84" s="73">
        <v>4</v>
      </c>
      <c r="E84" s="73">
        <v>6</v>
      </c>
      <c r="F84" s="73">
        <v>5</v>
      </c>
      <c r="G84" s="73">
        <v>4</v>
      </c>
      <c r="H84" s="73">
        <v>5</v>
      </c>
      <c r="I84" s="73">
        <v>4</v>
      </c>
      <c r="J84" s="73">
        <v>5</v>
      </c>
      <c r="K84" s="73">
        <v>6</v>
      </c>
      <c r="L84" s="73">
        <v>6</v>
      </c>
      <c r="M84" s="73">
        <v>6</v>
      </c>
      <c r="N84" s="73">
        <v>4</v>
      </c>
      <c r="O84" s="73">
        <v>5</v>
      </c>
      <c r="P84" s="73">
        <v>6</v>
      </c>
      <c r="Q84" s="73">
        <v>4</v>
      </c>
      <c r="R84" s="73">
        <v>5</v>
      </c>
      <c r="S84" s="73">
        <v>4</v>
      </c>
      <c r="T84" s="73">
        <v>4</v>
      </c>
      <c r="U84" s="73">
        <v>4</v>
      </c>
      <c r="V84" s="73">
        <v>4</v>
      </c>
      <c r="W84" s="73">
        <v>6</v>
      </c>
      <c r="X84" s="73">
        <v>4</v>
      </c>
      <c r="Y84" s="73">
        <v>4</v>
      </c>
      <c r="Z84" s="73">
        <v>5</v>
      </c>
      <c r="AA84" s="73">
        <v>5</v>
      </c>
      <c r="AB84" s="33"/>
      <c r="AC84" s="33"/>
      <c r="AD84" s="33" t="s">
        <v>645</v>
      </c>
      <c r="AE84" t="str">
        <f>VLOOKUP(AD84,GroupLabels!$E$2:$H$145,3,0)</f>
        <v>Macao (China) - Portuguese</v>
      </c>
    </row>
    <row r="85" spans="1:31" x14ac:dyDescent="0.25">
      <c r="A85" t="s">
        <v>3279</v>
      </c>
      <c r="B85" s="73">
        <v>20</v>
      </c>
      <c r="C85" s="73">
        <v>10</v>
      </c>
      <c r="D85" s="73">
        <v>4</v>
      </c>
      <c r="E85" s="73">
        <v>6</v>
      </c>
      <c r="F85" s="73">
        <v>5</v>
      </c>
      <c r="G85" s="73">
        <v>4</v>
      </c>
      <c r="H85" s="73">
        <v>5</v>
      </c>
      <c r="I85" s="73">
        <v>4</v>
      </c>
      <c r="J85" s="73">
        <v>5</v>
      </c>
      <c r="K85" s="73">
        <v>6</v>
      </c>
      <c r="L85" s="73">
        <v>6</v>
      </c>
      <c r="M85" s="73">
        <v>6</v>
      </c>
      <c r="N85" s="73">
        <v>4</v>
      </c>
      <c r="O85" s="73">
        <v>5</v>
      </c>
      <c r="P85" s="73">
        <v>6</v>
      </c>
      <c r="Q85" s="73">
        <v>4</v>
      </c>
      <c r="R85" s="73">
        <v>5</v>
      </c>
      <c r="S85" s="73">
        <v>4</v>
      </c>
      <c r="T85" s="73">
        <v>4</v>
      </c>
      <c r="U85" s="73">
        <v>4</v>
      </c>
      <c r="V85" s="73">
        <v>4</v>
      </c>
      <c r="W85" s="73">
        <v>6</v>
      </c>
      <c r="X85" s="73">
        <v>4</v>
      </c>
      <c r="Y85" s="73">
        <v>4</v>
      </c>
      <c r="Z85" s="73">
        <v>5</v>
      </c>
      <c r="AA85" s="73">
        <v>5</v>
      </c>
      <c r="AB85" s="33"/>
      <c r="AC85" s="33"/>
      <c r="AD85" s="33" t="s">
        <v>646</v>
      </c>
      <c r="AE85" t="str">
        <f>VLOOKUP(AD85,GroupLabels!$E$2:$H$145,3,0)</f>
        <v>Macao (China) - Chinese</v>
      </c>
    </row>
    <row r="86" spans="1:31" x14ac:dyDescent="0.25">
      <c r="A86" t="s">
        <v>3234</v>
      </c>
      <c r="B86" s="73">
        <v>22</v>
      </c>
      <c r="C86" s="73">
        <v>9</v>
      </c>
      <c r="D86" s="73">
        <v>4</v>
      </c>
      <c r="E86" s="73">
        <v>6</v>
      </c>
      <c r="F86" s="73">
        <v>5</v>
      </c>
      <c r="G86" s="73">
        <v>4</v>
      </c>
      <c r="H86" s="73">
        <v>5</v>
      </c>
      <c r="I86" s="73">
        <v>4</v>
      </c>
      <c r="J86" s="73">
        <v>5</v>
      </c>
      <c r="K86" s="73">
        <v>6</v>
      </c>
      <c r="L86" s="73">
        <v>6</v>
      </c>
      <c r="M86" s="73">
        <v>6</v>
      </c>
      <c r="N86" s="73">
        <v>4</v>
      </c>
      <c r="O86" s="73">
        <v>5</v>
      </c>
      <c r="P86" s="73">
        <v>6</v>
      </c>
      <c r="Q86" s="73">
        <v>4</v>
      </c>
      <c r="R86" s="73">
        <v>5</v>
      </c>
      <c r="S86" s="73">
        <v>4</v>
      </c>
      <c r="T86" s="73">
        <v>4</v>
      </c>
      <c r="U86" s="73">
        <v>4</v>
      </c>
      <c r="V86" s="73">
        <v>4</v>
      </c>
      <c r="W86" s="73">
        <v>6</v>
      </c>
      <c r="X86" s="73">
        <v>4</v>
      </c>
      <c r="Y86" s="73">
        <v>4</v>
      </c>
      <c r="Z86" s="73">
        <v>5</v>
      </c>
      <c r="AA86" s="73">
        <v>5</v>
      </c>
      <c r="AB86" s="33"/>
      <c r="AC86" s="33"/>
      <c r="AD86" s="33" t="s">
        <v>647</v>
      </c>
      <c r="AE86" t="str">
        <f>VLOOKUP(AD86,GroupLabels!$E$2:$H$145,3,0)</f>
        <v>Macedonia - Albanian</v>
      </c>
    </row>
    <row r="87" spans="1:31" x14ac:dyDescent="0.25">
      <c r="A87" t="s">
        <v>3172</v>
      </c>
      <c r="B87" s="73">
        <v>21</v>
      </c>
      <c r="C87" s="73">
        <v>9</v>
      </c>
      <c r="D87" s="73">
        <v>4</v>
      </c>
      <c r="E87" s="73">
        <v>6</v>
      </c>
      <c r="F87" s="73">
        <v>5</v>
      </c>
      <c r="G87" s="73">
        <v>4</v>
      </c>
      <c r="H87" s="73">
        <v>5</v>
      </c>
      <c r="I87" s="73">
        <v>4</v>
      </c>
      <c r="J87" s="73">
        <v>5</v>
      </c>
      <c r="K87" s="73">
        <v>6</v>
      </c>
      <c r="L87" s="73">
        <v>6</v>
      </c>
      <c r="M87" s="73">
        <v>6</v>
      </c>
      <c r="N87" s="73">
        <v>4</v>
      </c>
      <c r="O87" s="73">
        <v>5</v>
      </c>
      <c r="P87" s="73">
        <v>6</v>
      </c>
      <c r="Q87" s="73">
        <v>4</v>
      </c>
      <c r="R87" s="73">
        <v>5</v>
      </c>
      <c r="S87" s="73">
        <v>4</v>
      </c>
      <c r="T87" s="73">
        <v>4</v>
      </c>
      <c r="U87" s="73">
        <v>4</v>
      </c>
      <c r="V87" s="73">
        <v>4</v>
      </c>
      <c r="W87" s="73">
        <v>6</v>
      </c>
      <c r="X87" s="73">
        <v>4</v>
      </c>
      <c r="Y87" s="73">
        <v>4</v>
      </c>
      <c r="Z87" s="73">
        <v>5</v>
      </c>
      <c r="AA87" s="73">
        <v>5</v>
      </c>
      <c r="AB87" s="33"/>
      <c r="AC87" s="33"/>
      <c r="AD87" s="33" t="s">
        <v>648</v>
      </c>
      <c r="AE87" t="str">
        <f>VLOOKUP(AD87,GroupLabels!$E$2:$H$145,3,0)</f>
        <v>Macedonia - Macedonian</v>
      </c>
    </row>
    <row r="88" spans="1:31" x14ac:dyDescent="0.25">
      <c r="A88" t="s">
        <v>3013</v>
      </c>
      <c r="B88" s="73">
        <v>19</v>
      </c>
      <c r="C88" s="73">
        <v>10</v>
      </c>
      <c r="D88" s="73">
        <v>4</v>
      </c>
      <c r="E88" s="73">
        <v>6</v>
      </c>
      <c r="F88" s="73">
        <v>5</v>
      </c>
      <c r="G88" s="73">
        <v>4</v>
      </c>
      <c r="H88" s="73">
        <v>5</v>
      </c>
      <c r="I88" s="73">
        <v>4</v>
      </c>
      <c r="J88" s="73">
        <v>5</v>
      </c>
      <c r="K88" s="73">
        <v>6</v>
      </c>
      <c r="L88" s="73">
        <v>6</v>
      </c>
      <c r="M88" s="73">
        <v>6</v>
      </c>
      <c r="N88" s="73">
        <v>4</v>
      </c>
      <c r="O88" s="73">
        <v>5</v>
      </c>
      <c r="P88" s="73">
        <v>6</v>
      </c>
      <c r="Q88" s="73">
        <v>4</v>
      </c>
      <c r="R88" s="73">
        <v>5</v>
      </c>
      <c r="S88" s="73">
        <v>4</v>
      </c>
      <c r="T88" s="73">
        <v>4</v>
      </c>
      <c r="U88" s="73">
        <v>4</v>
      </c>
      <c r="V88" s="73">
        <v>4</v>
      </c>
      <c r="W88" s="73">
        <v>6</v>
      </c>
      <c r="X88" s="73">
        <v>4</v>
      </c>
      <c r="Y88" s="73">
        <v>4</v>
      </c>
      <c r="Z88" s="73">
        <v>5</v>
      </c>
      <c r="AA88" s="73">
        <v>5</v>
      </c>
      <c r="AB88" s="33"/>
      <c r="AC88" s="33"/>
      <c r="AD88" s="33" t="s">
        <v>649</v>
      </c>
      <c r="AE88" t="str">
        <f>VLOOKUP(AD88,GroupLabels!$E$2:$H$145,3,0)</f>
        <v>Malaysia - English</v>
      </c>
    </row>
    <row r="89" spans="1:31" x14ac:dyDescent="0.25">
      <c r="A89" t="s">
        <v>3179</v>
      </c>
      <c r="B89" s="73">
        <v>21</v>
      </c>
      <c r="C89" s="73">
        <v>10</v>
      </c>
      <c r="D89" s="73">
        <v>4</v>
      </c>
      <c r="E89" s="73">
        <v>6</v>
      </c>
      <c r="F89" s="73">
        <v>5</v>
      </c>
      <c r="G89" s="73">
        <v>4</v>
      </c>
      <c r="H89" s="73">
        <v>5</v>
      </c>
      <c r="I89" s="73">
        <v>4</v>
      </c>
      <c r="J89" s="73">
        <v>5</v>
      </c>
      <c r="K89" s="73">
        <v>6</v>
      </c>
      <c r="L89" s="73">
        <v>6</v>
      </c>
      <c r="M89" s="73">
        <v>6</v>
      </c>
      <c r="N89" s="73">
        <v>4</v>
      </c>
      <c r="O89" s="73">
        <v>5</v>
      </c>
      <c r="P89" s="73">
        <v>6</v>
      </c>
      <c r="Q89" s="73">
        <v>4</v>
      </c>
      <c r="R89" s="73">
        <v>5</v>
      </c>
      <c r="S89" s="73">
        <v>4</v>
      </c>
      <c r="T89" s="73">
        <v>4</v>
      </c>
      <c r="U89" s="73">
        <v>4</v>
      </c>
      <c r="V89" s="73">
        <v>4</v>
      </c>
      <c r="W89" s="73">
        <v>6</v>
      </c>
      <c r="X89" s="73">
        <v>4</v>
      </c>
      <c r="Y89" s="73">
        <v>4</v>
      </c>
      <c r="Z89" s="73">
        <v>5</v>
      </c>
      <c r="AA89" s="73">
        <v>5</v>
      </c>
      <c r="AB89" s="33"/>
      <c r="AC89" s="33"/>
      <c r="AD89" s="33" t="s">
        <v>650</v>
      </c>
      <c r="AE89" t="str">
        <f>VLOOKUP(AD89,GroupLabels!$E$2:$H$145,3,0)</f>
        <v>Malaysia - Malay</v>
      </c>
    </row>
    <row r="90" spans="1:31" x14ac:dyDescent="0.25">
      <c r="A90" t="s">
        <v>3009</v>
      </c>
      <c r="B90" s="73">
        <v>20</v>
      </c>
      <c r="C90" s="73">
        <v>9</v>
      </c>
      <c r="D90" s="73">
        <v>4</v>
      </c>
      <c r="E90" s="73">
        <v>6</v>
      </c>
      <c r="F90" s="73">
        <v>5</v>
      </c>
      <c r="G90" s="73">
        <v>4</v>
      </c>
      <c r="H90" s="73">
        <v>5</v>
      </c>
      <c r="I90" s="73">
        <v>4</v>
      </c>
      <c r="J90" s="73">
        <v>5</v>
      </c>
      <c r="K90" s="73">
        <v>6</v>
      </c>
      <c r="L90" s="73">
        <v>6</v>
      </c>
      <c r="M90" s="73">
        <v>6</v>
      </c>
      <c r="N90" s="73">
        <v>4</v>
      </c>
      <c r="O90" s="73">
        <v>5</v>
      </c>
      <c r="P90" s="73">
        <v>6</v>
      </c>
      <c r="Q90" s="73">
        <v>4</v>
      </c>
      <c r="R90" s="73">
        <v>5</v>
      </c>
      <c r="S90" s="73">
        <v>4</v>
      </c>
      <c r="T90" s="73">
        <v>4</v>
      </c>
      <c r="U90" s="73">
        <v>4</v>
      </c>
      <c r="V90" s="73">
        <v>4</v>
      </c>
      <c r="W90" s="73">
        <v>6</v>
      </c>
      <c r="X90" s="73">
        <v>4</v>
      </c>
      <c r="Y90" s="73">
        <v>4</v>
      </c>
      <c r="Z90" s="73">
        <v>5</v>
      </c>
      <c r="AA90" s="73">
        <v>5</v>
      </c>
      <c r="AB90" s="33"/>
      <c r="AC90" s="33"/>
      <c r="AD90" s="33" t="s">
        <v>651</v>
      </c>
      <c r="AE90" t="str">
        <f>VLOOKUP(AD90,GroupLabels!$E$2:$H$145,3,0)</f>
        <v>Malta - English</v>
      </c>
    </row>
    <row r="91" spans="1:31" x14ac:dyDescent="0.25">
      <c r="A91" t="s">
        <v>757</v>
      </c>
      <c r="B91" s="73">
        <v>21</v>
      </c>
      <c r="C91" s="73">
        <v>10</v>
      </c>
      <c r="D91" s="73" t="s">
        <v>3476</v>
      </c>
      <c r="E91" s="73">
        <v>6</v>
      </c>
      <c r="F91" s="73">
        <v>5</v>
      </c>
      <c r="G91" s="73" t="s">
        <v>3476</v>
      </c>
      <c r="H91" s="73">
        <v>5</v>
      </c>
      <c r="I91" s="73">
        <v>4</v>
      </c>
      <c r="J91" s="73">
        <v>5</v>
      </c>
      <c r="K91" s="73" t="s">
        <v>3476</v>
      </c>
      <c r="L91" s="73">
        <v>6</v>
      </c>
      <c r="M91" s="73">
        <v>6</v>
      </c>
      <c r="N91" s="73" t="s">
        <v>3476</v>
      </c>
      <c r="O91" s="73">
        <v>5</v>
      </c>
      <c r="P91" s="73">
        <v>6</v>
      </c>
      <c r="Q91" s="73">
        <v>4</v>
      </c>
      <c r="R91" s="73">
        <v>5</v>
      </c>
      <c r="S91" s="73">
        <v>4</v>
      </c>
      <c r="T91" s="73" t="s">
        <v>3476</v>
      </c>
      <c r="U91" s="73">
        <v>4</v>
      </c>
      <c r="V91" s="73">
        <v>4</v>
      </c>
      <c r="W91" s="73">
        <v>6</v>
      </c>
      <c r="X91" s="73">
        <v>4</v>
      </c>
      <c r="Y91" s="73" t="s">
        <v>3476</v>
      </c>
      <c r="Z91" s="73">
        <v>5</v>
      </c>
      <c r="AA91" s="73" t="s">
        <v>3476</v>
      </c>
      <c r="AB91" s="33"/>
      <c r="AC91" s="33"/>
      <c r="AD91" s="33" t="s">
        <v>652</v>
      </c>
      <c r="AE91" t="str">
        <f>VLOOKUP(AD91,GroupLabels!$E$2:$H$145,3,0)</f>
        <v>Mauritius - English</v>
      </c>
    </row>
    <row r="92" spans="1:31" x14ac:dyDescent="0.25">
      <c r="A92" t="s">
        <v>3053</v>
      </c>
      <c r="B92" s="73">
        <v>21</v>
      </c>
      <c r="C92" s="73">
        <v>10</v>
      </c>
      <c r="D92" s="73">
        <v>4</v>
      </c>
      <c r="E92" s="73">
        <v>6</v>
      </c>
      <c r="F92" s="73">
        <v>5</v>
      </c>
      <c r="G92" s="73">
        <v>4</v>
      </c>
      <c r="H92" s="73">
        <v>5</v>
      </c>
      <c r="I92" s="73">
        <v>4</v>
      </c>
      <c r="J92" s="73">
        <v>5</v>
      </c>
      <c r="K92" s="73">
        <v>6</v>
      </c>
      <c r="L92" s="73">
        <v>6</v>
      </c>
      <c r="M92" s="73">
        <v>6</v>
      </c>
      <c r="N92" s="73">
        <v>4</v>
      </c>
      <c r="O92" s="73">
        <v>5</v>
      </c>
      <c r="P92" s="73">
        <v>6</v>
      </c>
      <c r="Q92" s="73">
        <v>4</v>
      </c>
      <c r="R92" s="73">
        <v>5</v>
      </c>
      <c r="S92" s="73">
        <v>4</v>
      </c>
      <c r="T92" s="73">
        <v>4</v>
      </c>
      <c r="U92" s="73">
        <v>4</v>
      </c>
      <c r="V92" s="73">
        <v>4</v>
      </c>
      <c r="W92" s="73">
        <v>6</v>
      </c>
      <c r="X92" s="73">
        <v>4</v>
      </c>
      <c r="Y92" s="73">
        <v>4</v>
      </c>
      <c r="Z92" s="73">
        <v>5</v>
      </c>
      <c r="AA92" s="73">
        <v>5</v>
      </c>
      <c r="AB92" s="33"/>
      <c r="AC92" s="33"/>
      <c r="AD92" s="33" t="s">
        <v>653</v>
      </c>
      <c r="AE92" t="str">
        <f>VLOOKUP(AD92,GroupLabels!$E$2:$H$145,3,0)</f>
        <v>Mexico - Spanish</v>
      </c>
    </row>
    <row r="93" spans="1:31" x14ac:dyDescent="0.25">
      <c r="A93" t="s">
        <v>3206</v>
      </c>
      <c r="B93" s="73">
        <v>21</v>
      </c>
      <c r="C93" s="73">
        <v>10</v>
      </c>
      <c r="D93" s="73">
        <v>4</v>
      </c>
      <c r="E93" s="73">
        <v>6</v>
      </c>
      <c r="F93" s="73">
        <v>5</v>
      </c>
      <c r="G93" s="73">
        <v>4</v>
      </c>
      <c r="H93" s="73">
        <v>5</v>
      </c>
      <c r="I93" s="73">
        <v>4</v>
      </c>
      <c r="J93" s="73">
        <v>5</v>
      </c>
      <c r="K93" s="73">
        <v>6</v>
      </c>
      <c r="L93" s="73">
        <v>6</v>
      </c>
      <c r="M93" s="73">
        <v>6</v>
      </c>
      <c r="N93" s="73">
        <v>4</v>
      </c>
      <c r="O93" s="73">
        <v>5</v>
      </c>
      <c r="P93" s="73">
        <v>6</v>
      </c>
      <c r="Q93" s="73">
        <v>4</v>
      </c>
      <c r="R93" s="73">
        <v>5</v>
      </c>
      <c r="S93" s="73">
        <v>4</v>
      </c>
      <c r="T93" s="73">
        <v>4</v>
      </c>
      <c r="U93" s="73">
        <v>4</v>
      </c>
      <c r="V93" s="73">
        <v>4</v>
      </c>
      <c r="W93" s="73">
        <v>6</v>
      </c>
      <c r="X93" s="73">
        <v>4</v>
      </c>
      <c r="Y93" s="73">
        <v>4</v>
      </c>
      <c r="Z93" s="73">
        <v>5</v>
      </c>
      <c r="AA93" s="73">
        <v>5</v>
      </c>
      <c r="AB93" s="33"/>
      <c r="AC93" s="33"/>
      <c r="AD93" s="33" t="s">
        <v>654</v>
      </c>
      <c r="AE93" t="str">
        <f>VLOOKUP(AD93,GroupLabels!$E$2:$H$145,3,0)</f>
        <v>Moldova - Romanian</v>
      </c>
    </row>
    <row r="94" spans="1:31" x14ac:dyDescent="0.25">
      <c r="A94" t="s">
        <v>3215</v>
      </c>
      <c r="B94" s="73">
        <v>20</v>
      </c>
      <c r="C94" s="73">
        <v>9</v>
      </c>
      <c r="D94" s="73">
        <v>4</v>
      </c>
      <c r="E94" s="73">
        <v>6</v>
      </c>
      <c r="F94" s="73">
        <v>5</v>
      </c>
      <c r="G94" s="73">
        <v>4</v>
      </c>
      <c r="H94" s="73">
        <v>5</v>
      </c>
      <c r="I94" s="73">
        <v>4</v>
      </c>
      <c r="J94" s="73">
        <v>5</v>
      </c>
      <c r="K94" s="73">
        <v>6</v>
      </c>
      <c r="L94" s="73">
        <v>6</v>
      </c>
      <c r="M94" s="73">
        <v>6</v>
      </c>
      <c r="N94" s="73">
        <v>4</v>
      </c>
      <c r="O94" s="73">
        <v>5</v>
      </c>
      <c r="P94" s="73">
        <v>6</v>
      </c>
      <c r="Q94" s="73">
        <v>4</v>
      </c>
      <c r="R94" s="73">
        <v>5</v>
      </c>
      <c r="S94" s="73">
        <v>4</v>
      </c>
      <c r="T94" s="73">
        <v>4</v>
      </c>
      <c r="U94" s="73">
        <v>4</v>
      </c>
      <c r="V94" s="73">
        <v>4</v>
      </c>
      <c r="W94" s="73">
        <v>6</v>
      </c>
      <c r="X94" s="73">
        <v>4</v>
      </c>
      <c r="Y94" s="73">
        <v>4</v>
      </c>
      <c r="Z94" s="73">
        <v>5</v>
      </c>
      <c r="AA94" s="73">
        <v>5</v>
      </c>
      <c r="AB94" s="33"/>
      <c r="AC94" s="33"/>
      <c r="AD94" s="33" t="s">
        <v>655</v>
      </c>
      <c r="AE94" t="str">
        <f>VLOOKUP(AD94,GroupLabels!$E$2:$H$145,3,0)</f>
        <v>Moldova - Russian</v>
      </c>
    </row>
    <row r="95" spans="1:31" x14ac:dyDescent="0.25">
      <c r="A95" t="s">
        <v>3143</v>
      </c>
      <c r="B95" s="73">
        <v>19</v>
      </c>
      <c r="C95" s="73">
        <v>9</v>
      </c>
      <c r="D95" s="73">
        <v>4</v>
      </c>
      <c r="E95" s="73">
        <v>6</v>
      </c>
      <c r="F95" s="73">
        <v>5</v>
      </c>
      <c r="G95" s="73">
        <v>4</v>
      </c>
      <c r="H95" s="73">
        <v>5</v>
      </c>
      <c r="I95" s="73">
        <v>4</v>
      </c>
      <c r="J95" s="73">
        <v>5</v>
      </c>
      <c r="K95" s="73">
        <v>6</v>
      </c>
      <c r="L95" s="73">
        <v>6</v>
      </c>
      <c r="M95" s="73">
        <v>6</v>
      </c>
      <c r="N95" s="73">
        <v>4</v>
      </c>
      <c r="O95" s="73">
        <v>5</v>
      </c>
      <c r="P95" s="73">
        <v>6</v>
      </c>
      <c r="Q95" s="73">
        <v>4</v>
      </c>
      <c r="R95" s="73">
        <v>5</v>
      </c>
      <c r="S95" s="73">
        <v>4</v>
      </c>
      <c r="T95" s="73">
        <v>4</v>
      </c>
      <c r="U95" s="73">
        <v>4</v>
      </c>
      <c r="V95" s="73">
        <v>4</v>
      </c>
      <c r="W95" s="73">
        <v>6</v>
      </c>
      <c r="X95" s="73">
        <v>4</v>
      </c>
      <c r="Y95" s="73">
        <v>4</v>
      </c>
      <c r="Z95" s="73">
        <v>5</v>
      </c>
      <c r="AA95" s="73">
        <v>5</v>
      </c>
      <c r="AB95" s="33"/>
      <c r="AC95" s="33"/>
      <c r="AD95" s="33" t="s">
        <v>656</v>
      </c>
      <c r="AE95" t="str">
        <f>VLOOKUP(AD95,GroupLabels!$E$2:$H$145,3,0)</f>
        <v>Mongolia - Kazakh</v>
      </c>
    </row>
    <row r="96" spans="1:31" x14ac:dyDescent="0.25">
      <c r="A96" t="s">
        <v>3175</v>
      </c>
      <c r="B96" s="73">
        <v>22</v>
      </c>
      <c r="C96" s="73">
        <v>9</v>
      </c>
      <c r="D96" s="73">
        <v>4</v>
      </c>
      <c r="E96" s="73">
        <v>6</v>
      </c>
      <c r="F96" s="73">
        <v>5</v>
      </c>
      <c r="G96" s="73">
        <v>4</v>
      </c>
      <c r="H96" s="73">
        <v>5</v>
      </c>
      <c r="I96" s="73">
        <v>4</v>
      </c>
      <c r="J96" s="73">
        <v>5</v>
      </c>
      <c r="K96" s="73">
        <v>6</v>
      </c>
      <c r="L96" s="73">
        <v>6</v>
      </c>
      <c r="M96" s="73">
        <v>6</v>
      </c>
      <c r="N96" s="73">
        <v>4</v>
      </c>
      <c r="O96" s="73">
        <v>5</v>
      </c>
      <c r="P96" s="73">
        <v>6</v>
      </c>
      <c r="Q96" s="73">
        <v>4</v>
      </c>
      <c r="R96" s="73">
        <v>5</v>
      </c>
      <c r="S96" s="73">
        <v>4</v>
      </c>
      <c r="T96" s="73">
        <v>4</v>
      </c>
      <c r="U96" s="73">
        <v>4</v>
      </c>
      <c r="V96" s="73">
        <v>4</v>
      </c>
      <c r="W96" s="73">
        <v>6</v>
      </c>
      <c r="X96" s="73">
        <v>4</v>
      </c>
      <c r="Y96" s="73">
        <v>4</v>
      </c>
      <c r="Z96" s="73">
        <v>5</v>
      </c>
      <c r="AA96" s="73">
        <v>5</v>
      </c>
      <c r="AB96" s="33"/>
      <c r="AC96" s="33"/>
      <c r="AD96" s="33" t="s">
        <v>657</v>
      </c>
      <c r="AE96" t="str">
        <f>VLOOKUP(AD96,GroupLabels!$E$2:$H$145,3,0)</f>
        <v>Mongolia - Mongolian</v>
      </c>
    </row>
    <row r="97" spans="1:31" x14ac:dyDescent="0.25">
      <c r="A97" t="s">
        <v>3233</v>
      </c>
      <c r="B97" s="73">
        <v>19</v>
      </c>
      <c r="C97" s="73">
        <v>10</v>
      </c>
      <c r="D97" s="73">
        <v>4</v>
      </c>
      <c r="E97" s="73">
        <v>6</v>
      </c>
      <c r="F97" s="73">
        <v>5</v>
      </c>
      <c r="G97" s="73">
        <v>4</v>
      </c>
      <c r="H97" s="73">
        <v>5</v>
      </c>
      <c r="I97" s="73">
        <v>4</v>
      </c>
      <c r="J97" s="73">
        <v>5</v>
      </c>
      <c r="K97" s="73">
        <v>6</v>
      </c>
      <c r="L97" s="73">
        <v>6</v>
      </c>
      <c r="M97" s="73">
        <v>6</v>
      </c>
      <c r="N97" s="73">
        <v>4</v>
      </c>
      <c r="O97" s="73">
        <v>5</v>
      </c>
      <c r="P97" s="73">
        <v>6</v>
      </c>
      <c r="Q97" s="73">
        <v>4</v>
      </c>
      <c r="R97" s="73">
        <v>5</v>
      </c>
      <c r="S97" s="73">
        <v>4</v>
      </c>
      <c r="T97" s="73">
        <v>4</v>
      </c>
      <c r="U97" s="73">
        <v>4</v>
      </c>
      <c r="V97" s="73">
        <v>4</v>
      </c>
      <c r="W97" s="73">
        <v>6</v>
      </c>
      <c r="X97" s="73">
        <v>4</v>
      </c>
      <c r="Y97" s="73">
        <v>4</v>
      </c>
      <c r="Z97" s="73">
        <v>5</v>
      </c>
      <c r="AA97" s="73">
        <v>5</v>
      </c>
      <c r="AB97" s="33"/>
      <c r="AC97" s="33"/>
      <c r="AD97" s="33" t="s">
        <v>658</v>
      </c>
      <c r="AE97" t="str">
        <f>VLOOKUP(AD97,GroupLabels!$E$2:$H$145,3,0)</f>
        <v>Montenegro - Albanian</v>
      </c>
    </row>
    <row r="98" spans="1:31" x14ac:dyDescent="0.25">
      <c r="A98" t="s">
        <v>2941</v>
      </c>
      <c r="B98" s="73">
        <v>20</v>
      </c>
      <c r="C98" s="73">
        <v>9</v>
      </c>
      <c r="D98" s="73">
        <v>4</v>
      </c>
      <c r="E98" s="73">
        <v>6</v>
      </c>
      <c r="F98" s="73">
        <v>5</v>
      </c>
      <c r="G98" s="73">
        <v>4</v>
      </c>
      <c r="H98" s="73">
        <v>5</v>
      </c>
      <c r="I98" s="73">
        <v>4</v>
      </c>
      <c r="J98" s="73">
        <v>5</v>
      </c>
      <c r="K98" s="73">
        <v>6</v>
      </c>
      <c r="L98" s="73">
        <v>6</v>
      </c>
      <c r="M98" s="73">
        <v>6</v>
      </c>
      <c r="N98" s="73">
        <v>4</v>
      </c>
      <c r="O98" s="73">
        <v>5</v>
      </c>
      <c r="P98" s="73">
        <v>6</v>
      </c>
      <c r="Q98" s="73">
        <v>4</v>
      </c>
      <c r="R98" s="73">
        <v>5</v>
      </c>
      <c r="S98" s="73">
        <v>4</v>
      </c>
      <c r="T98" s="73">
        <v>4</v>
      </c>
      <c r="U98" s="73">
        <v>4</v>
      </c>
      <c r="V98" s="73">
        <v>4</v>
      </c>
      <c r="W98" s="73">
        <v>6</v>
      </c>
      <c r="X98" s="73">
        <v>4</v>
      </c>
      <c r="Y98" s="73">
        <v>4</v>
      </c>
      <c r="Z98" s="73">
        <v>5</v>
      </c>
      <c r="AA98" s="73">
        <v>5</v>
      </c>
      <c r="AB98" s="33"/>
      <c r="AC98" s="33"/>
      <c r="AD98" s="33" t="s">
        <v>659</v>
      </c>
      <c r="AE98" t="str">
        <f>VLOOKUP(AD98,GroupLabels!$E$2:$H$145,3,0)</f>
        <v>Montenegro - Montenegrin</v>
      </c>
    </row>
    <row r="99" spans="1:31" x14ac:dyDescent="0.25">
      <c r="A99" t="s">
        <v>2906</v>
      </c>
      <c r="B99" s="73">
        <v>20</v>
      </c>
      <c r="C99" s="73">
        <v>9</v>
      </c>
      <c r="D99" s="73">
        <v>4</v>
      </c>
      <c r="E99" s="73">
        <v>6</v>
      </c>
      <c r="F99" s="73">
        <v>5</v>
      </c>
      <c r="G99" s="73">
        <v>4</v>
      </c>
      <c r="H99" s="73">
        <v>5</v>
      </c>
      <c r="I99" s="73">
        <v>4</v>
      </c>
      <c r="J99" s="73">
        <v>5</v>
      </c>
      <c r="K99" s="73">
        <v>6</v>
      </c>
      <c r="L99" s="73">
        <v>6</v>
      </c>
      <c r="M99" s="73">
        <v>6</v>
      </c>
      <c r="N99" s="73">
        <v>4</v>
      </c>
      <c r="O99" s="73">
        <v>5</v>
      </c>
      <c r="P99" s="73">
        <v>6</v>
      </c>
      <c r="Q99" s="73">
        <v>4</v>
      </c>
      <c r="R99" s="73">
        <v>5</v>
      </c>
      <c r="S99" s="73">
        <v>4</v>
      </c>
      <c r="T99" s="73">
        <v>4</v>
      </c>
      <c r="U99" s="73">
        <v>4</v>
      </c>
      <c r="V99" s="73">
        <v>4</v>
      </c>
      <c r="W99" s="73">
        <v>6</v>
      </c>
      <c r="X99" s="73">
        <v>4</v>
      </c>
      <c r="Y99" s="73">
        <v>4</v>
      </c>
      <c r="Z99" s="73">
        <v>5</v>
      </c>
      <c r="AA99" s="73">
        <v>5</v>
      </c>
      <c r="AB99" s="33"/>
      <c r="AC99" s="33"/>
      <c r="AD99" s="33" t="s">
        <v>660</v>
      </c>
      <c r="AE99" t="str">
        <f>VLOOKUP(AD99,GroupLabels!$E$2:$H$145,3,0)</f>
        <v>Morocco - Arabic</v>
      </c>
    </row>
    <row r="100" spans="1:31" x14ac:dyDescent="0.25">
      <c r="A100" t="s">
        <v>3187</v>
      </c>
      <c r="B100" s="73">
        <v>22</v>
      </c>
      <c r="C100" s="73">
        <v>10</v>
      </c>
      <c r="D100" s="73">
        <v>4</v>
      </c>
      <c r="E100" s="73">
        <v>6</v>
      </c>
      <c r="F100" s="73">
        <v>5</v>
      </c>
      <c r="G100" s="73">
        <v>4</v>
      </c>
      <c r="H100" s="73">
        <v>5</v>
      </c>
      <c r="I100" s="73">
        <v>4</v>
      </c>
      <c r="J100" s="73">
        <v>5</v>
      </c>
      <c r="K100" s="73">
        <v>6</v>
      </c>
      <c r="L100" s="73">
        <v>6</v>
      </c>
      <c r="M100" s="73">
        <v>6</v>
      </c>
      <c r="N100" s="73">
        <v>4</v>
      </c>
      <c r="O100" s="73">
        <v>5</v>
      </c>
      <c r="P100" s="73">
        <v>6</v>
      </c>
      <c r="Q100" s="73">
        <v>4</v>
      </c>
      <c r="R100" s="73">
        <v>5</v>
      </c>
      <c r="S100" s="73">
        <v>4</v>
      </c>
      <c r="T100" s="73">
        <v>4</v>
      </c>
      <c r="U100" s="73">
        <v>4</v>
      </c>
      <c r="V100" s="73">
        <v>4</v>
      </c>
      <c r="W100" s="73">
        <v>6</v>
      </c>
      <c r="X100" s="73">
        <v>4</v>
      </c>
      <c r="Y100" s="73">
        <v>4</v>
      </c>
      <c r="Z100" s="73">
        <v>5</v>
      </c>
      <c r="AA100" s="73">
        <v>5</v>
      </c>
      <c r="AB100" s="33"/>
      <c r="AC100" s="33"/>
      <c r="AD100" s="33" t="s">
        <v>661</v>
      </c>
      <c r="AE100" t="str">
        <f>VLOOKUP(AD100,GroupLabels!$E$2:$H$145,3,0)</f>
        <v>Netherlands - Dutch</v>
      </c>
    </row>
    <row r="101" spans="1:31" x14ac:dyDescent="0.25">
      <c r="A101" t="s">
        <v>3016</v>
      </c>
      <c r="B101" s="73">
        <v>22</v>
      </c>
      <c r="C101" s="73">
        <v>9</v>
      </c>
      <c r="D101" s="73">
        <v>4</v>
      </c>
      <c r="E101" s="73">
        <v>6</v>
      </c>
      <c r="F101" s="73">
        <v>5</v>
      </c>
      <c r="G101" s="73">
        <v>4</v>
      </c>
      <c r="H101" s="73">
        <v>5</v>
      </c>
      <c r="I101" s="73">
        <v>4</v>
      </c>
      <c r="J101" s="73">
        <v>5</v>
      </c>
      <c r="K101" s="73">
        <v>6</v>
      </c>
      <c r="L101" s="73">
        <v>6</v>
      </c>
      <c r="M101" s="73">
        <v>6</v>
      </c>
      <c r="N101" s="73">
        <v>4</v>
      </c>
      <c r="O101" s="73">
        <v>5</v>
      </c>
      <c r="P101" s="73">
        <v>6</v>
      </c>
      <c r="Q101" s="73">
        <v>4</v>
      </c>
      <c r="R101" s="73">
        <v>5</v>
      </c>
      <c r="S101" s="73">
        <v>4</v>
      </c>
      <c r="T101" s="73">
        <v>4</v>
      </c>
      <c r="U101" s="73">
        <v>4</v>
      </c>
      <c r="V101" s="73">
        <v>4</v>
      </c>
      <c r="W101" s="73">
        <v>6</v>
      </c>
      <c r="X101" s="73">
        <v>4</v>
      </c>
      <c r="Y101" s="73">
        <v>4</v>
      </c>
      <c r="Z101" s="73">
        <v>5</v>
      </c>
      <c r="AA101" s="73">
        <v>5</v>
      </c>
      <c r="AB101" s="33"/>
      <c r="AC101" s="33"/>
      <c r="AD101" s="33" t="s">
        <v>662</v>
      </c>
      <c r="AE101" t="str">
        <f>VLOOKUP(AD101,GroupLabels!$E$2:$H$145,3,0)</f>
        <v>New Zealand - English</v>
      </c>
    </row>
    <row r="102" spans="1:31" x14ac:dyDescent="0.25">
      <c r="A102" t="s">
        <v>760</v>
      </c>
      <c r="B102" s="73">
        <v>16</v>
      </c>
      <c r="C102" s="73">
        <v>8</v>
      </c>
      <c r="D102" s="73">
        <v>4</v>
      </c>
      <c r="E102" s="73">
        <v>6</v>
      </c>
      <c r="F102" s="73">
        <v>5</v>
      </c>
      <c r="G102" s="73" t="s">
        <v>3476</v>
      </c>
      <c r="H102" s="73">
        <v>5</v>
      </c>
      <c r="I102" s="73">
        <v>4</v>
      </c>
      <c r="J102" s="73" t="s">
        <v>3476</v>
      </c>
      <c r="K102" s="73">
        <v>6</v>
      </c>
      <c r="L102" s="73">
        <v>6</v>
      </c>
      <c r="M102" s="73">
        <v>6</v>
      </c>
      <c r="N102" s="73">
        <v>4</v>
      </c>
      <c r="O102" s="73">
        <v>5</v>
      </c>
      <c r="P102" s="73">
        <v>6</v>
      </c>
      <c r="Q102" s="73">
        <v>4</v>
      </c>
      <c r="R102" s="73">
        <v>5</v>
      </c>
      <c r="S102" s="73">
        <v>4</v>
      </c>
      <c r="T102" s="73">
        <v>4</v>
      </c>
      <c r="U102" s="73">
        <v>4</v>
      </c>
      <c r="V102" s="73">
        <v>4</v>
      </c>
      <c r="W102" s="73">
        <v>6</v>
      </c>
      <c r="X102" s="73">
        <v>4</v>
      </c>
      <c r="Y102" s="73">
        <v>4</v>
      </c>
      <c r="Z102" s="73">
        <v>5</v>
      </c>
      <c r="AA102" s="73">
        <v>5</v>
      </c>
      <c r="AB102" s="33"/>
      <c r="AC102" s="33"/>
      <c r="AD102" s="33" t="s">
        <v>663</v>
      </c>
      <c r="AE102" t="str">
        <f>VLOOKUP(AD102,GroupLabels!$E$2:$H$145,3,0)</f>
        <v>Norway - Norwegian Bokmål</v>
      </c>
    </row>
    <row r="103" spans="1:31" x14ac:dyDescent="0.25">
      <c r="A103" t="s">
        <v>761</v>
      </c>
      <c r="B103" s="73">
        <v>19</v>
      </c>
      <c r="C103" s="73">
        <v>9</v>
      </c>
      <c r="D103" s="73">
        <v>4</v>
      </c>
      <c r="E103" s="73">
        <v>6</v>
      </c>
      <c r="F103" s="73">
        <v>5</v>
      </c>
      <c r="G103" s="73" t="s">
        <v>3476</v>
      </c>
      <c r="H103" s="73">
        <v>5</v>
      </c>
      <c r="I103" s="73">
        <v>4</v>
      </c>
      <c r="J103" s="73" t="s">
        <v>3476</v>
      </c>
      <c r="K103" s="73">
        <v>6</v>
      </c>
      <c r="L103" s="73">
        <v>6</v>
      </c>
      <c r="M103" s="73">
        <v>6</v>
      </c>
      <c r="N103" s="73">
        <v>4</v>
      </c>
      <c r="O103" s="73">
        <v>5</v>
      </c>
      <c r="P103" s="73">
        <v>6</v>
      </c>
      <c r="Q103" s="73">
        <v>4</v>
      </c>
      <c r="R103" s="73">
        <v>5</v>
      </c>
      <c r="S103" s="73">
        <v>4</v>
      </c>
      <c r="T103" s="73">
        <v>4</v>
      </c>
      <c r="U103" s="73">
        <v>4</v>
      </c>
      <c r="V103" s="73">
        <v>4</v>
      </c>
      <c r="W103" s="73">
        <v>6</v>
      </c>
      <c r="X103" s="73">
        <v>4</v>
      </c>
      <c r="Y103" s="73">
        <v>4</v>
      </c>
      <c r="Z103" s="73">
        <v>5</v>
      </c>
      <c r="AA103" s="73">
        <v>5</v>
      </c>
      <c r="AB103" s="33"/>
      <c r="AC103" s="33"/>
      <c r="AD103" s="33" t="s">
        <v>664</v>
      </c>
      <c r="AE103" t="str">
        <f>VLOOKUP(AD103,GroupLabels!$E$2:$H$145,3,0)</f>
        <v>Norway - Nynorsk</v>
      </c>
    </row>
    <row r="104" spans="1:31" x14ac:dyDescent="0.25">
      <c r="A104" t="s">
        <v>2909</v>
      </c>
      <c r="B104" s="73">
        <v>22</v>
      </c>
      <c r="C104" s="73">
        <v>10</v>
      </c>
      <c r="D104" s="73">
        <v>4</v>
      </c>
      <c r="E104" s="73">
        <v>6</v>
      </c>
      <c r="F104" s="73">
        <v>5</v>
      </c>
      <c r="G104" s="73">
        <v>4</v>
      </c>
      <c r="H104" s="73">
        <v>5</v>
      </c>
      <c r="I104" s="73">
        <v>4</v>
      </c>
      <c r="J104" s="73">
        <v>5</v>
      </c>
      <c r="K104" s="73">
        <v>6</v>
      </c>
      <c r="L104" s="73">
        <v>6</v>
      </c>
      <c r="M104" s="73">
        <v>6</v>
      </c>
      <c r="N104" s="73">
        <v>4</v>
      </c>
      <c r="O104" s="73">
        <v>5</v>
      </c>
      <c r="P104" s="73">
        <v>6</v>
      </c>
      <c r="Q104" s="73">
        <v>4</v>
      </c>
      <c r="R104" s="73">
        <v>5</v>
      </c>
      <c r="S104" s="73">
        <v>4</v>
      </c>
      <c r="T104" s="73">
        <v>4</v>
      </c>
      <c r="U104" s="73">
        <v>4</v>
      </c>
      <c r="V104" s="73">
        <v>4</v>
      </c>
      <c r="W104" s="73">
        <v>6</v>
      </c>
      <c r="X104" s="73">
        <v>4</v>
      </c>
      <c r="Y104" s="73">
        <v>4</v>
      </c>
      <c r="Z104" s="73">
        <v>5</v>
      </c>
      <c r="AA104" s="73">
        <v>5</v>
      </c>
      <c r="AB104" s="33"/>
      <c r="AC104" s="33"/>
      <c r="AD104" s="33" t="s">
        <v>665</v>
      </c>
      <c r="AE104" t="str">
        <f>VLOOKUP(AD104,GroupLabels!$E$2:$H$145,3,0)</f>
        <v>Palestinian Authority - Arabic*</v>
      </c>
    </row>
    <row r="105" spans="1:31" x14ac:dyDescent="0.25">
      <c r="A105" t="s">
        <v>3019</v>
      </c>
      <c r="B105" s="73">
        <v>22</v>
      </c>
      <c r="C105" s="73">
        <v>10</v>
      </c>
      <c r="D105" s="73">
        <v>4</v>
      </c>
      <c r="E105" s="73">
        <v>6</v>
      </c>
      <c r="F105" s="73">
        <v>5</v>
      </c>
      <c r="G105" s="73">
        <v>4</v>
      </c>
      <c r="H105" s="73">
        <v>5</v>
      </c>
      <c r="I105" s="73">
        <v>4</v>
      </c>
      <c r="J105" s="73">
        <v>5</v>
      </c>
      <c r="K105" s="73">
        <v>6</v>
      </c>
      <c r="L105" s="73">
        <v>6</v>
      </c>
      <c r="M105" s="73">
        <v>6</v>
      </c>
      <c r="N105" s="73">
        <v>4</v>
      </c>
      <c r="O105" s="73">
        <v>5</v>
      </c>
      <c r="P105" s="73">
        <v>6</v>
      </c>
      <c r="Q105" s="73">
        <v>4</v>
      </c>
      <c r="R105" s="73">
        <v>5</v>
      </c>
      <c r="S105" s="73">
        <v>4</v>
      </c>
      <c r="T105" s="73">
        <v>4</v>
      </c>
      <c r="U105" s="73">
        <v>4</v>
      </c>
      <c r="V105" s="73">
        <v>4</v>
      </c>
      <c r="W105" s="73">
        <v>6</v>
      </c>
      <c r="X105" s="73">
        <v>4</v>
      </c>
      <c r="Y105" s="73">
        <v>4</v>
      </c>
      <c r="Z105" s="73">
        <v>5</v>
      </c>
      <c r="AA105" s="73">
        <v>5</v>
      </c>
      <c r="AB105" s="33"/>
      <c r="AC105" s="33"/>
      <c r="AD105" s="33" t="s">
        <v>666</v>
      </c>
      <c r="AE105" t="str">
        <f>VLOOKUP(AD105,GroupLabels!$E$2:$H$145,3,0)</f>
        <v>Palestinian Authority - English*</v>
      </c>
    </row>
    <row r="106" spans="1:31" x14ac:dyDescent="0.25">
      <c r="A106" t="s">
        <v>3059</v>
      </c>
      <c r="B106" s="73">
        <v>22</v>
      </c>
      <c r="C106" s="73">
        <v>9</v>
      </c>
      <c r="D106" s="73">
        <v>4</v>
      </c>
      <c r="E106" s="73">
        <v>6</v>
      </c>
      <c r="F106" s="73">
        <v>5</v>
      </c>
      <c r="G106" s="73">
        <v>4</v>
      </c>
      <c r="H106" s="73">
        <v>5</v>
      </c>
      <c r="I106" s="73">
        <v>4</v>
      </c>
      <c r="J106" s="73">
        <v>5</v>
      </c>
      <c r="K106" s="73">
        <v>6</v>
      </c>
      <c r="L106" s="73">
        <v>6</v>
      </c>
      <c r="M106" s="73">
        <v>6</v>
      </c>
      <c r="N106" s="73">
        <v>4</v>
      </c>
      <c r="O106" s="73">
        <v>5</v>
      </c>
      <c r="P106" s="73">
        <v>6</v>
      </c>
      <c r="Q106" s="73">
        <v>4</v>
      </c>
      <c r="R106" s="73">
        <v>5</v>
      </c>
      <c r="S106" s="73">
        <v>4</v>
      </c>
      <c r="T106" s="73">
        <v>4</v>
      </c>
      <c r="U106" s="73">
        <v>4</v>
      </c>
      <c r="V106" s="73">
        <v>4</v>
      </c>
      <c r="W106" s="73">
        <v>6</v>
      </c>
      <c r="X106" s="73">
        <v>4</v>
      </c>
      <c r="Y106" s="73">
        <v>4</v>
      </c>
      <c r="Z106" s="73">
        <v>5</v>
      </c>
      <c r="AA106" s="73">
        <v>5</v>
      </c>
      <c r="AB106" s="33"/>
      <c r="AC106" s="33"/>
      <c r="AD106" s="33" t="s">
        <v>667</v>
      </c>
      <c r="AE106" t="str">
        <f>VLOOKUP(AD106,GroupLabels!$E$2:$H$145,3,0)</f>
        <v>Paraguay - Spanish</v>
      </c>
    </row>
    <row r="107" spans="1:31" x14ac:dyDescent="0.25">
      <c r="A107" t="s">
        <v>3056</v>
      </c>
      <c r="B107" s="73">
        <v>22</v>
      </c>
      <c r="C107" s="73">
        <v>9</v>
      </c>
      <c r="D107" s="73">
        <v>4</v>
      </c>
      <c r="E107" s="73">
        <v>6</v>
      </c>
      <c r="F107" s="73">
        <v>5</v>
      </c>
      <c r="G107" s="73">
        <v>4</v>
      </c>
      <c r="H107" s="73">
        <v>5</v>
      </c>
      <c r="I107" s="73">
        <v>4</v>
      </c>
      <c r="J107" s="73">
        <v>5</v>
      </c>
      <c r="K107" s="73">
        <v>6</v>
      </c>
      <c r="L107" s="73">
        <v>6</v>
      </c>
      <c r="M107" s="73">
        <v>6</v>
      </c>
      <c r="N107" s="73">
        <v>4</v>
      </c>
      <c r="O107" s="73">
        <v>5</v>
      </c>
      <c r="P107" s="73">
        <v>6</v>
      </c>
      <c r="Q107" s="73">
        <v>4</v>
      </c>
      <c r="R107" s="73">
        <v>5</v>
      </c>
      <c r="S107" s="73">
        <v>4</v>
      </c>
      <c r="T107" s="73">
        <v>4</v>
      </c>
      <c r="U107" s="73">
        <v>4</v>
      </c>
      <c r="V107" s="73">
        <v>4</v>
      </c>
      <c r="W107" s="73">
        <v>6</v>
      </c>
      <c r="X107" s="73">
        <v>4</v>
      </c>
      <c r="Y107" s="73">
        <v>4</v>
      </c>
      <c r="Z107" s="73">
        <v>5</v>
      </c>
      <c r="AA107" s="73">
        <v>5</v>
      </c>
      <c r="AB107" s="33"/>
      <c r="AC107" s="33"/>
      <c r="AD107" s="33" t="s">
        <v>668</v>
      </c>
      <c r="AE107" t="str">
        <f>VLOOKUP(AD107,GroupLabels!$E$2:$H$145,3,0)</f>
        <v>Peru - Spanish</v>
      </c>
    </row>
    <row r="108" spans="1:31" x14ac:dyDescent="0.25">
      <c r="A108" t="s">
        <v>3018</v>
      </c>
      <c r="B108" s="73">
        <v>22</v>
      </c>
      <c r="C108" s="73">
        <v>9</v>
      </c>
      <c r="D108" s="73">
        <v>4</v>
      </c>
      <c r="E108" s="73">
        <v>6</v>
      </c>
      <c r="F108" s="73">
        <v>5</v>
      </c>
      <c r="G108" s="73">
        <v>4</v>
      </c>
      <c r="H108" s="73">
        <v>5</v>
      </c>
      <c r="I108" s="73">
        <v>4</v>
      </c>
      <c r="J108" s="73">
        <v>5</v>
      </c>
      <c r="K108" s="73">
        <v>6</v>
      </c>
      <c r="L108" s="73">
        <v>6</v>
      </c>
      <c r="M108" s="73">
        <v>6</v>
      </c>
      <c r="N108" s="73">
        <v>4</v>
      </c>
      <c r="O108" s="73">
        <v>5</v>
      </c>
      <c r="P108" s="73">
        <v>6</v>
      </c>
      <c r="Q108" s="73">
        <v>4</v>
      </c>
      <c r="R108" s="73">
        <v>5</v>
      </c>
      <c r="S108" s="73">
        <v>4</v>
      </c>
      <c r="T108" s="73">
        <v>4</v>
      </c>
      <c r="U108" s="73">
        <v>4</v>
      </c>
      <c r="V108" s="73">
        <v>4</v>
      </c>
      <c r="W108" s="73">
        <v>6</v>
      </c>
      <c r="X108" s="73">
        <v>4</v>
      </c>
      <c r="Y108" s="73">
        <v>4</v>
      </c>
      <c r="Z108" s="73">
        <v>5</v>
      </c>
      <c r="AA108" s="73">
        <v>5</v>
      </c>
      <c r="AB108" s="33"/>
      <c r="AC108" s="33"/>
      <c r="AD108" s="33" t="s">
        <v>669</v>
      </c>
      <c r="AE108" t="str">
        <f>VLOOKUP(AD108,GroupLabels!$E$2:$H$145,3,0)</f>
        <v>Philippines - English</v>
      </c>
    </row>
    <row r="109" spans="1:31" x14ac:dyDescent="0.25">
      <c r="A109" t="s">
        <v>3194</v>
      </c>
      <c r="B109" s="73">
        <v>22</v>
      </c>
      <c r="C109" s="73">
        <v>10</v>
      </c>
      <c r="D109" s="73">
        <v>4</v>
      </c>
      <c r="E109" s="73">
        <v>6</v>
      </c>
      <c r="F109" s="73">
        <v>5</v>
      </c>
      <c r="G109" s="73">
        <v>4</v>
      </c>
      <c r="H109" s="73">
        <v>5</v>
      </c>
      <c r="I109" s="73">
        <v>4</v>
      </c>
      <c r="J109" s="73">
        <v>5</v>
      </c>
      <c r="K109" s="73">
        <v>6</v>
      </c>
      <c r="L109" s="73">
        <v>6</v>
      </c>
      <c r="M109" s="73">
        <v>6</v>
      </c>
      <c r="N109" s="73">
        <v>4</v>
      </c>
      <c r="O109" s="73">
        <v>5</v>
      </c>
      <c r="P109" s="73">
        <v>6</v>
      </c>
      <c r="Q109" s="73">
        <v>4</v>
      </c>
      <c r="R109" s="73">
        <v>5</v>
      </c>
      <c r="S109" s="73">
        <v>4</v>
      </c>
      <c r="T109" s="73">
        <v>4</v>
      </c>
      <c r="U109" s="73">
        <v>4</v>
      </c>
      <c r="V109" s="73">
        <v>4</v>
      </c>
      <c r="W109" s="73">
        <v>6</v>
      </c>
      <c r="X109" s="73">
        <v>4</v>
      </c>
      <c r="Y109" s="73">
        <v>4</v>
      </c>
      <c r="Z109" s="73">
        <v>5</v>
      </c>
      <c r="AA109" s="73">
        <v>5</v>
      </c>
      <c r="AB109" s="33"/>
      <c r="AC109" s="33"/>
      <c r="AD109" s="33" t="s">
        <v>670</v>
      </c>
      <c r="AE109" t="str">
        <f>VLOOKUP(AD109,GroupLabels!$E$2:$H$145,3,0)</f>
        <v>Poland - Polish</v>
      </c>
    </row>
    <row r="110" spans="1:31" x14ac:dyDescent="0.25">
      <c r="A110" t="s">
        <v>3202</v>
      </c>
      <c r="B110" s="73">
        <v>21</v>
      </c>
      <c r="C110" s="73">
        <v>10</v>
      </c>
      <c r="D110" s="73">
        <v>4</v>
      </c>
      <c r="E110" s="73">
        <v>6</v>
      </c>
      <c r="F110" s="73">
        <v>5</v>
      </c>
      <c r="G110" s="73">
        <v>4</v>
      </c>
      <c r="H110" s="73">
        <v>5</v>
      </c>
      <c r="I110" s="73">
        <v>4</v>
      </c>
      <c r="J110" s="73">
        <v>5</v>
      </c>
      <c r="K110" s="73">
        <v>6</v>
      </c>
      <c r="L110" s="73">
        <v>6</v>
      </c>
      <c r="M110" s="73">
        <v>6</v>
      </c>
      <c r="N110" s="73">
        <v>4</v>
      </c>
      <c r="O110" s="73">
        <v>5</v>
      </c>
      <c r="P110" s="73">
        <v>6</v>
      </c>
      <c r="Q110" s="73">
        <v>4</v>
      </c>
      <c r="R110" s="73">
        <v>5</v>
      </c>
      <c r="S110" s="73">
        <v>4</v>
      </c>
      <c r="T110" s="73">
        <v>4</v>
      </c>
      <c r="U110" s="73">
        <v>4</v>
      </c>
      <c r="V110" s="73">
        <v>4</v>
      </c>
      <c r="W110" s="73">
        <v>6</v>
      </c>
      <c r="X110" s="73">
        <v>4</v>
      </c>
      <c r="Y110" s="73">
        <v>4</v>
      </c>
      <c r="Z110" s="73">
        <v>5</v>
      </c>
      <c r="AA110" s="73">
        <v>5</v>
      </c>
      <c r="AB110" s="33"/>
      <c r="AC110" s="33"/>
      <c r="AD110" s="33" t="s">
        <v>671</v>
      </c>
      <c r="AE110" t="str">
        <f>VLOOKUP(AD110,GroupLabels!$E$2:$H$145,3,0)</f>
        <v>Portugal - Portuguese</v>
      </c>
    </row>
    <row r="111" spans="1:31" x14ac:dyDescent="0.25">
      <c r="A111" t="s">
        <v>2912</v>
      </c>
      <c r="B111" s="73">
        <v>21</v>
      </c>
      <c r="C111" s="73">
        <v>10</v>
      </c>
      <c r="D111" s="73">
        <v>4</v>
      </c>
      <c r="E111" s="73">
        <v>6</v>
      </c>
      <c r="F111" s="73">
        <v>5</v>
      </c>
      <c r="G111" s="73">
        <v>4</v>
      </c>
      <c r="H111" s="73">
        <v>5</v>
      </c>
      <c r="I111" s="73">
        <v>4</v>
      </c>
      <c r="J111" s="73">
        <v>5</v>
      </c>
      <c r="K111" s="73">
        <v>6</v>
      </c>
      <c r="L111" s="73">
        <v>6</v>
      </c>
      <c r="M111" s="73">
        <v>6</v>
      </c>
      <c r="N111" s="73">
        <v>4</v>
      </c>
      <c r="O111" s="73">
        <v>5</v>
      </c>
      <c r="P111" s="73">
        <v>6</v>
      </c>
      <c r="Q111" s="73">
        <v>4</v>
      </c>
      <c r="R111" s="73">
        <v>5</v>
      </c>
      <c r="S111" s="73">
        <v>4</v>
      </c>
      <c r="T111" s="73">
        <v>4</v>
      </c>
      <c r="U111" s="73">
        <v>4</v>
      </c>
      <c r="V111" s="73">
        <v>4</v>
      </c>
      <c r="W111" s="73">
        <v>6</v>
      </c>
      <c r="X111" s="73">
        <v>4</v>
      </c>
      <c r="Y111" s="73">
        <v>4</v>
      </c>
      <c r="Z111" s="73">
        <v>5</v>
      </c>
      <c r="AA111" s="73">
        <v>5</v>
      </c>
      <c r="AB111" s="33"/>
      <c r="AC111" s="33"/>
      <c r="AD111" s="33" t="s">
        <v>672</v>
      </c>
      <c r="AE111" t="str">
        <f>VLOOKUP(AD111,GroupLabels!$E$2:$H$145,3,0)</f>
        <v>Qatar - Arabic</v>
      </c>
    </row>
    <row r="112" spans="1:31" x14ac:dyDescent="0.25">
      <c r="A112" t="s">
        <v>3020</v>
      </c>
      <c r="B112" s="73">
        <v>20</v>
      </c>
      <c r="C112" s="73">
        <v>9</v>
      </c>
      <c r="D112" s="73">
        <v>4</v>
      </c>
      <c r="E112" s="73">
        <v>6</v>
      </c>
      <c r="F112" s="73">
        <v>5</v>
      </c>
      <c r="G112" s="73">
        <v>4</v>
      </c>
      <c r="H112" s="73">
        <v>5</v>
      </c>
      <c r="I112" s="73">
        <v>4</v>
      </c>
      <c r="J112" s="73">
        <v>5</v>
      </c>
      <c r="K112" s="73">
        <v>6</v>
      </c>
      <c r="L112" s="73">
        <v>6</v>
      </c>
      <c r="M112" s="73">
        <v>6</v>
      </c>
      <c r="N112" s="73">
        <v>4</v>
      </c>
      <c r="O112" s="73">
        <v>5</v>
      </c>
      <c r="P112" s="73">
        <v>6</v>
      </c>
      <c r="Q112" s="73">
        <v>4</v>
      </c>
      <c r="R112" s="73">
        <v>5</v>
      </c>
      <c r="S112" s="73">
        <v>4</v>
      </c>
      <c r="T112" s="73">
        <v>4</v>
      </c>
      <c r="U112" s="73">
        <v>4</v>
      </c>
      <c r="V112" s="73">
        <v>4</v>
      </c>
      <c r="W112" s="73">
        <v>6</v>
      </c>
      <c r="X112" s="73">
        <v>4</v>
      </c>
      <c r="Y112" s="73">
        <v>4</v>
      </c>
      <c r="Z112" s="73">
        <v>5</v>
      </c>
      <c r="AA112" s="73">
        <v>5</v>
      </c>
      <c r="AB112" s="33"/>
      <c r="AC112" s="33"/>
      <c r="AD112" s="33" t="s">
        <v>673</v>
      </c>
      <c r="AE112" t="str">
        <f>VLOOKUP(AD112,GroupLabels!$E$2:$H$145,3,0)</f>
        <v>Qatar - English</v>
      </c>
    </row>
    <row r="113" spans="1:31" x14ac:dyDescent="0.25">
      <c r="A113" t="s">
        <v>3106</v>
      </c>
      <c r="B113" s="73">
        <v>22</v>
      </c>
      <c r="C113" s="73">
        <v>10</v>
      </c>
      <c r="D113" s="73">
        <v>4</v>
      </c>
      <c r="E113" s="73">
        <v>6</v>
      </c>
      <c r="F113" s="73">
        <v>5</v>
      </c>
      <c r="G113" s="73">
        <v>4</v>
      </c>
      <c r="H113" s="73">
        <v>5</v>
      </c>
      <c r="I113" s="73">
        <v>4</v>
      </c>
      <c r="J113" s="73">
        <v>5</v>
      </c>
      <c r="K113" s="73">
        <v>6</v>
      </c>
      <c r="L113" s="73">
        <v>6</v>
      </c>
      <c r="M113" s="73">
        <v>6</v>
      </c>
      <c r="N113" s="73">
        <v>4</v>
      </c>
      <c r="O113" s="73">
        <v>5</v>
      </c>
      <c r="P113" s="73">
        <v>6</v>
      </c>
      <c r="Q113" s="73">
        <v>4</v>
      </c>
      <c r="R113" s="73">
        <v>5</v>
      </c>
      <c r="S113" s="73">
        <v>4</v>
      </c>
      <c r="T113" s="73">
        <v>4</v>
      </c>
      <c r="U113" s="73">
        <v>4</v>
      </c>
      <c r="V113" s="73">
        <v>4</v>
      </c>
      <c r="W113" s="73">
        <v>6</v>
      </c>
      <c r="X113" s="73">
        <v>4</v>
      </c>
      <c r="Y113" s="73">
        <v>4</v>
      </c>
      <c r="Z113" s="73">
        <v>5</v>
      </c>
      <c r="AA113" s="73">
        <v>5</v>
      </c>
      <c r="AB113" s="33"/>
      <c r="AC113" s="33"/>
      <c r="AD113" s="33" t="s">
        <v>674</v>
      </c>
      <c r="AE113" t="str">
        <f>VLOOKUP(AD113,GroupLabels!$E$2:$H$145,3,0)</f>
        <v>Romania - Hungarian</v>
      </c>
    </row>
    <row r="114" spans="1:31" x14ac:dyDescent="0.25">
      <c r="A114" t="s">
        <v>3207</v>
      </c>
      <c r="B114" s="73">
        <v>20</v>
      </c>
      <c r="C114" s="73">
        <v>9</v>
      </c>
      <c r="D114" s="73">
        <v>4</v>
      </c>
      <c r="E114" s="73">
        <v>6</v>
      </c>
      <c r="F114" s="73">
        <v>5</v>
      </c>
      <c r="G114" s="73">
        <v>4</v>
      </c>
      <c r="H114" s="73">
        <v>5</v>
      </c>
      <c r="I114" s="73">
        <v>4</v>
      </c>
      <c r="J114" s="73">
        <v>5</v>
      </c>
      <c r="K114" s="73">
        <v>6</v>
      </c>
      <c r="L114" s="73">
        <v>6</v>
      </c>
      <c r="M114" s="73">
        <v>6</v>
      </c>
      <c r="N114" s="73">
        <v>4</v>
      </c>
      <c r="O114" s="73">
        <v>5</v>
      </c>
      <c r="P114" s="73">
        <v>6</v>
      </c>
      <c r="Q114" s="73">
        <v>4</v>
      </c>
      <c r="R114" s="73">
        <v>5</v>
      </c>
      <c r="S114" s="73">
        <v>4</v>
      </c>
      <c r="T114" s="73">
        <v>4</v>
      </c>
      <c r="U114" s="73">
        <v>4</v>
      </c>
      <c r="V114" s="73">
        <v>4</v>
      </c>
      <c r="W114" s="73">
        <v>6</v>
      </c>
      <c r="X114" s="73">
        <v>4</v>
      </c>
      <c r="Y114" s="73">
        <v>4</v>
      </c>
      <c r="Z114" s="73">
        <v>5</v>
      </c>
      <c r="AA114" s="73">
        <v>5</v>
      </c>
      <c r="AB114" s="33"/>
      <c r="AC114" s="33"/>
      <c r="AD114" s="33" t="s">
        <v>675</v>
      </c>
      <c r="AE114" t="str">
        <f>VLOOKUP(AD114,GroupLabels!$E$2:$H$145,3,0)</f>
        <v>Romania - Romanian</v>
      </c>
    </row>
    <row r="115" spans="1:31" x14ac:dyDescent="0.25">
      <c r="A115" t="s">
        <v>758</v>
      </c>
      <c r="B115" s="73">
        <v>20</v>
      </c>
      <c r="C115" s="73">
        <v>10</v>
      </c>
      <c r="D115" s="73" t="s">
        <v>3476</v>
      </c>
      <c r="E115" s="73">
        <v>6</v>
      </c>
      <c r="F115" s="73">
        <v>5</v>
      </c>
      <c r="G115" s="73" t="s">
        <v>3476</v>
      </c>
      <c r="H115" s="73">
        <v>5</v>
      </c>
      <c r="I115" s="73">
        <v>4</v>
      </c>
      <c r="J115" s="73">
        <v>5</v>
      </c>
      <c r="K115" s="73" t="s">
        <v>3476</v>
      </c>
      <c r="L115" s="73">
        <v>6</v>
      </c>
      <c r="M115" s="73">
        <v>6</v>
      </c>
      <c r="N115" s="73" t="s">
        <v>3476</v>
      </c>
      <c r="O115" s="73">
        <v>5</v>
      </c>
      <c r="P115" s="73">
        <v>6</v>
      </c>
      <c r="Q115" s="73">
        <v>4</v>
      </c>
      <c r="R115" s="73">
        <v>5</v>
      </c>
      <c r="S115" s="73">
        <v>4</v>
      </c>
      <c r="T115" s="73" t="s">
        <v>3476</v>
      </c>
      <c r="U115" s="73">
        <v>4</v>
      </c>
      <c r="V115" s="73">
        <v>4</v>
      </c>
      <c r="W115" s="73">
        <v>6</v>
      </c>
      <c r="X115" s="73">
        <v>4</v>
      </c>
      <c r="Y115" s="73" t="s">
        <v>3476</v>
      </c>
      <c r="Z115" s="73">
        <v>5</v>
      </c>
      <c r="AA115" s="73" t="s">
        <v>3476</v>
      </c>
      <c r="AB115" s="33"/>
      <c r="AC115" s="33"/>
      <c r="AD115" s="33" t="s">
        <v>676</v>
      </c>
      <c r="AE115" t="str">
        <f>VLOOKUP(AD115,GroupLabels!$E$2:$H$145,3,0)</f>
        <v>Rwanda - English</v>
      </c>
    </row>
    <row r="116" spans="1:31" x14ac:dyDescent="0.25">
      <c r="A116" t="s">
        <v>2915</v>
      </c>
      <c r="B116" s="73">
        <v>22</v>
      </c>
      <c r="C116" s="73">
        <v>9</v>
      </c>
      <c r="D116" s="73">
        <v>4</v>
      </c>
      <c r="E116" s="73">
        <v>6</v>
      </c>
      <c r="F116" s="73">
        <v>5</v>
      </c>
      <c r="G116" s="73">
        <v>4</v>
      </c>
      <c r="H116" s="73">
        <v>5</v>
      </c>
      <c r="I116" s="73">
        <v>4</v>
      </c>
      <c r="J116" s="73">
        <v>5</v>
      </c>
      <c r="K116" s="73">
        <v>6</v>
      </c>
      <c r="L116" s="73">
        <v>6</v>
      </c>
      <c r="M116" s="73">
        <v>6</v>
      </c>
      <c r="N116" s="73">
        <v>4</v>
      </c>
      <c r="O116" s="73">
        <v>5</v>
      </c>
      <c r="P116" s="73">
        <v>6</v>
      </c>
      <c r="Q116" s="73">
        <v>4</v>
      </c>
      <c r="R116" s="73">
        <v>5</v>
      </c>
      <c r="S116" s="73">
        <v>4</v>
      </c>
      <c r="T116" s="73">
        <v>4</v>
      </c>
      <c r="U116" s="73">
        <v>4</v>
      </c>
      <c r="V116" s="73">
        <v>4</v>
      </c>
      <c r="W116" s="73">
        <v>6</v>
      </c>
      <c r="X116" s="73">
        <v>4</v>
      </c>
      <c r="Y116" s="73">
        <v>4</v>
      </c>
      <c r="Z116" s="73">
        <v>5</v>
      </c>
      <c r="AA116" s="73">
        <v>5</v>
      </c>
      <c r="AB116" s="33"/>
      <c r="AC116" s="33"/>
      <c r="AD116" s="33" t="s">
        <v>677</v>
      </c>
      <c r="AE116" t="str">
        <f>VLOOKUP(AD116,GroupLabels!$E$2:$H$145,3,0)</f>
        <v>Saudi Arabia - Arabic</v>
      </c>
    </row>
    <row r="117" spans="1:31" x14ac:dyDescent="0.25">
      <c r="A117" t="s">
        <v>3023</v>
      </c>
      <c r="B117" s="73">
        <v>20</v>
      </c>
      <c r="C117" s="73">
        <v>9</v>
      </c>
      <c r="D117" s="73">
        <v>4</v>
      </c>
      <c r="E117" s="73">
        <v>6</v>
      </c>
      <c r="F117" s="73">
        <v>5</v>
      </c>
      <c r="G117" s="73">
        <v>4</v>
      </c>
      <c r="H117" s="73">
        <v>5</v>
      </c>
      <c r="I117" s="73">
        <v>4</v>
      </c>
      <c r="J117" s="73">
        <v>5</v>
      </c>
      <c r="K117" s="73">
        <v>6</v>
      </c>
      <c r="L117" s="73">
        <v>6</v>
      </c>
      <c r="M117" s="73">
        <v>6</v>
      </c>
      <c r="N117" s="73">
        <v>4</v>
      </c>
      <c r="O117" s="73">
        <v>5</v>
      </c>
      <c r="P117" s="73">
        <v>6</v>
      </c>
      <c r="Q117" s="73">
        <v>4</v>
      </c>
      <c r="R117" s="73">
        <v>5</v>
      </c>
      <c r="S117" s="73">
        <v>4</v>
      </c>
      <c r="T117" s="73">
        <v>4</v>
      </c>
      <c r="U117" s="73">
        <v>4</v>
      </c>
      <c r="V117" s="73">
        <v>4</v>
      </c>
      <c r="W117" s="73">
        <v>6</v>
      </c>
      <c r="X117" s="73">
        <v>4</v>
      </c>
      <c r="Y117" s="73">
        <v>4</v>
      </c>
      <c r="Z117" s="73">
        <v>5</v>
      </c>
      <c r="AA117" s="73">
        <v>5</v>
      </c>
      <c r="AB117" s="33"/>
      <c r="AC117" s="33"/>
      <c r="AD117" s="33" t="s">
        <v>678</v>
      </c>
      <c r="AE117" t="str">
        <f>VLOOKUP(AD117,GroupLabels!$E$2:$H$145,3,0)</f>
        <v>Saudi Arabia - English</v>
      </c>
    </row>
    <row r="118" spans="1:31" x14ac:dyDescent="0.25">
      <c r="A118" t="s">
        <v>3241</v>
      </c>
      <c r="B118" s="73">
        <v>22</v>
      </c>
      <c r="C118" s="73">
        <v>9</v>
      </c>
      <c r="D118" s="73">
        <v>4</v>
      </c>
      <c r="E118" s="73">
        <v>6</v>
      </c>
      <c r="F118" s="73">
        <v>5</v>
      </c>
      <c r="G118" s="73">
        <v>4</v>
      </c>
      <c r="H118" s="73">
        <v>5</v>
      </c>
      <c r="I118" s="73">
        <v>4</v>
      </c>
      <c r="J118" s="73">
        <v>5</v>
      </c>
      <c r="K118" s="73">
        <v>6</v>
      </c>
      <c r="L118" s="73">
        <v>6</v>
      </c>
      <c r="M118" s="73">
        <v>6</v>
      </c>
      <c r="N118" s="73">
        <v>4</v>
      </c>
      <c r="O118" s="73">
        <v>5</v>
      </c>
      <c r="P118" s="73">
        <v>6</v>
      </c>
      <c r="Q118" s="73">
        <v>4</v>
      </c>
      <c r="R118" s="73">
        <v>5</v>
      </c>
      <c r="S118" s="73">
        <v>4</v>
      </c>
      <c r="T118" s="73">
        <v>4</v>
      </c>
      <c r="U118" s="73">
        <v>4</v>
      </c>
      <c r="V118" s="73">
        <v>4</v>
      </c>
      <c r="W118" s="73">
        <v>6</v>
      </c>
      <c r="X118" s="73">
        <v>4</v>
      </c>
      <c r="Y118" s="73">
        <v>4</v>
      </c>
      <c r="Z118" s="73">
        <v>5</v>
      </c>
      <c r="AA118" s="73">
        <v>5</v>
      </c>
      <c r="AB118" s="33"/>
      <c r="AC118" s="33"/>
      <c r="AD118" s="33" t="s">
        <v>679</v>
      </c>
      <c r="AE118" t="str">
        <f>VLOOKUP(AD118,GroupLabels!$E$2:$H$145,3,0)</f>
        <v>Serbia - Serbian</v>
      </c>
    </row>
    <row r="119" spans="1:31" x14ac:dyDescent="0.25">
      <c r="A119" t="s">
        <v>3025</v>
      </c>
      <c r="B119" s="73">
        <v>15</v>
      </c>
      <c r="C119" s="73">
        <v>10</v>
      </c>
      <c r="D119" s="73">
        <v>4</v>
      </c>
      <c r="E119" s="73">
        <v>6</v>
      </c>
      <c r="F119" s="73">
        <v>5</v>
      </c>
      <c r="G119" s="73">
        <v>4</v>
      </c>
      <c r="H119" s="73">
        <v>5</v>
      </c>
      <c r="I119" s="73">
        <v>4</v>
      </c>
      <c r="J119" s="73">
        <v>5</v>
      </c>
      <c r="K119" s="73">
        <v>6</v>
      </c>
      <c r="L119" s="73">
        <v>6</v>
      </c>
      <c r="M119" s="73">
        <v>6</v>
      </c>
      <c r="N119" s="73">
        <v>4</v>
      </c>
      <c r="O119" s="73">
        <v>5</v>
      </c>
      <c r="P119" s="73">
        <v>6</v>
      </c>
      <c r="Q119" s="73">
        <v>4</v>
      </c>
      <c r="R119" s="73">
        <v>5</v>
      </c>
      <c r="S119" s="73">
        <v>4</v>
      </c>
      <c r="T119" s="73">
        <v>4</v>
      </c>
      <c r="U119" s="73">
        <v>4</v>
      </c>
      <c r="V119" s="73">
        <v>4</v>
      </c>
      <c r="W119" s="73">
        <v>6</v>
      </c>
      <c r="X119" s="73">
        <v>4</v>
      </c>
      <c r="Y119" s="73">
        <v>4</v>
      </c>
      <c r="Z119" s="73">
        <v>5</v>
      </c>
      <c r="AA119" s="73">
        <v>5</v>
      </c>
      <c r="AB119" s="33"/>
      <c r="AC119" s="33"/>
      <c r="AD119" s="33" t="s">
        <v>680</v>
      </c>
      <c r="AE119" t="str">
        <f>VLOOKUP(AD119,GroupLabels!$E$2:$H$145,3,0)</f>
        <v>Singapore - English</v>
      </c>
    </row>
    <row r="120" spans="1:31" x14ac:dyDescent="0.25">
      <c r="A120" t="s">
        <v>3108</v>
      </c>
      <c r="B120" s="73">
        <v>22</v>
      </c>
      <c r="C120" s="73">
        <v>9</v>
      </c>
      <c r="D120" s="73">
        <v>4</v>
      </c>
      <c r="E120" s="73">
        <v>6</v>
      </c>
      <c r="F120" s="73">
        <v>5</v>
      </c>
      <c r="G120" s="73">
        <v>4</v>
      </c>
      <c r="H120" s="73">
        <v>5</v>
      </c>
      <c r="I120" s="73">
        <v>4</v>
      </c>
      <c r="J120" s="73">
        <v>5</v>
      </c>
      <c r="K120" s="73">
        <v>6</v>
      </c>
      <c r="L120" s="73">
        <v>6</v>
      </c>
      <c r="M120" s="73">
        <v>6</v>
      </c>
      <c r="N120" s="73">
        <v>4</v>
      </c>
      <c r="O120" s="73">
        <v>5</v>
      </c>
      <c r="P120" s="73">
        <v>6</v>
      </c>
      <c r="Q120" s="73">
        <v>4</v>
      </c>
      <c r="R120" s="73">
        <v>5</v>
      </c>
      <c r="S120" s="73">
        <v>4</v>
      </c>
      <c r="T120" s="73">
        <v>4</v>
      </c>
      <c r="U120" s="73">
        <v>4</v>
      </c>
      <c r="V120" s="73">
        <v>4</v>
      </c>
      <c r="W120" s="73">
        <v>6</v>
      </c>
      <c r="X120" s="73">
        <v>4</v>
      </c>
      <c r="Y120" s="73">
        <v>4</v>
      </c>
      <c r="Z120" s="73">
        <v>5</v>
      </c>
      <c r="AA120" s="73">
        <v>5</v>
      </c>
      <c r="AB120" s="33"/>
      <c r="AC120" s="33"/>
      <c r="AD120" s="33" t="s">
        <v>681</v>
      </c>
      <c r="AE120" t="str">
        <f>VLOOKUP(AD120,GroupLabels!$E$2:$H$145,3,0)</f>
        <v>Slovak Republic - Hungarian</v>
      </c>
    </row>
    <row r="121" spans="1:31" x14ac:dyDescent="0.25">
      <c r="A121" t="s">
        <v>3222</v>
      </c>
      <c r="B121" s="73">
        <v>19</v>
      </c>
      <c r="C121" s="73">
        <v>10</v>
      </c>
      <c r="D121" s="73">
        <v>4</v>
      </c>
      <c r="E121" s="73">
        <v>6</v>
      </c>
      <c r="F121" s="73">
        <v>5</v>
      </c>
      <c r="G121" s="73">
        <v>4</v>
      </c>
      <c r="H121" s="73">
        <v>5</v>
      </c>
      <c r="I121" s="73">
        <v>4</v>
      </c>
      <c r="J121" s="73">
        <v>5</v>
      </c>
      <c r="K121" s="73">
        <v>6</v>
      </c>
      <c r="L121" s="73">
        <v>6</v>
      </c>
      <c r="M121" s="73">
        <v>6</v>
      </c>
      <c r="N121" s="73">
        <v>4</v>
      </c>
      <c r="O121" s="73">
        <v>5</v>
      </c>
      <c r="P121" s="73">
        <v>6</v>
      </c>
      <c r="Q121" s="73">
        <v>4</v>
      </c>
      <c r="R121" s="73">
        <v>5</v>
      </c>
      <c r="S121" s="73">
        <v>4</v>
      </c>
      <c r="T121" s="73">
        <v>4</v>
      </c>
      <c r="U121" s="73">
        <v>4</v>
      </c>
      <c r="V121" s="73">
        <v>4</v>
      </c>
      <c r="W121" s="73">
        <v>6</v>
      </c>
      <c r="X121" s="73">
        <v>4</v>
      </c>
      <c r="Y121" s="73">
        <v>4</v>
      </c>
      <c r="Z121" s="73">
        <v>5</v>
      </c>
      <c r="AA121" s="73">
        <v>5</v>
      </c>
      <c r="AB121" s="33"/>
      <c r="AC121" s="33"/>
      <c r="AD121" s="33" t="s">
        <v>682</v>
      </c>
      <c r="AE121" t="str">
        <f>VLOOKUP(AD121,GroupLabels!$E$2:$H$145,3,0)</f>
        <v>Slovak Republic - Slovak</v>
      </c>
    </row>
    <row r="122" spans="1:31" x14ac:dyDescent="0.25">
      <c r="A122" t="s">
        <v>3227</v>
      </c>
      <c r="B122" s="73">
        <v>22</v>
      </c>
      <c r="C122" s="73">
        <v>9</v>
      </c>
      <c r="D122" s="73">
        <v>4</v>
      </c>
      <c r="E122" s="73">
        <v>6</v>
      </c>
      <c r="F122" s="73">
        <v>5</v>
      </c>
      <c r="G122" s="73">
        <v>4</v>
      </c>
      <c r="H122" s="73">
        <v>5</v>
      </c>
      <c r="I122" s="73">
        <v>4</v>
      </c>
      <c r="J122" s="73">
        <v>5</v>
      </c>
      <c r="K122" s="73">
        <v>6</v>
      </c>
      <c r="L122" s="73">
        <v>6</v>
      </c>
      <c r="M122" s="73">
        <v>6</v>
      </c>
      <c r="N122" s="73">
        <v>4</v>
      </c>
      <c r="O122" s="73">
        <v>5</v>
      </c>
      <c r="P122" s="73">
        <v>6</v>
      </c>
      <c r="Q122" s="73">
        <v>4</v>
      </c>
      <c r="R122" s="73">
        <v>5</v>
      </c>
      <c r="S122" s="73">
        <v>4</v>
      </c>
      <c r="T122" s="73">
        <v>4</v>
      </c>
      <c r="U122" s="73">
        <v>4</v>
      </c>
      <c r="V122" s="73">
        <v>4</v>
      </c>
      <c r="W122" s="73">
        <v>6</v>
      </c>
      <c r="X122" s="73">
        <v>4</v>
      </c>
      <c r="Y122" s="73" t="s">
        <v>3476</v>
      </c>
      <c r="Z122" s="73">
        <v>5</v>
      </c>
      <c r="AA122" s="73">
        <v>5</v>
      </c>
      <c r="AB122" s="33"/>
      <c r="AC122" s="33"/>
      <c r="AD122" s="33" t="s">
        <v>683</v>
      </c>
      <c r="AE122" t="str">
        <f>VLOOKUP(AD122,GroupLabels!$E$2:$H$145,3,0)</f>
        <v>Slovenia - Slovenian</v>
      </c>
    </row>
    <row r="123" spans="1:31" x14ac:dyDescent="0.25">
      <c r="A123" t="s">
        <v>3072</v>
      </c>
      <c r="B123" s="73">
        <v>22</v>
      </c>
      <c r="C123" s="73">
        <v>10</v>
      </c>
      <c r="D123" s="73">
        <v>4</v>
      </c>
      <c r="E123" s="73">
        <v>6</v>
      </c>
      <c r="F123" s="73">
        <v>5</v>
      </c>
      <c r="G123" s="73">
        <v>4</v>
      </c>
      <c r="H123" s="73">
        <v>5</v>
      </c>
      <c r="I123" s="73">
        <v>4</v>
      </c>
      <c r="J123" s="73">
        <v>5</v>
      </c>
      <c r="K123" s="73">
        <v>6</v>
      </c>
      <c r="L123" s="73">
        <v>6</v>
      </c>
      <c r="M123" s="73">
        <v>6</v>
      </c>
      <c r="N123" s="73">
        <v>4</v>
      </c>
      <c r="O123" s="73">
        <v>5</v>
      </c>
      <c r="P123" s="73">
        <v>6</v>
      </c>
      <c r="Q123" s="73">
        <v>4</v>
      </c>
      <c r="R123" s="73">
        <v>5</v>
      </c>
      <c r="S123" s="73">
        <v>4</v>
      </c>
      <c r="T123" s="73">
        <v>4</v>
      </c>
      <c r="U123" s="73">
        <v>4</v>
      </c>
      <c r="V123" s="73">
        <v>4</v>
      </c>
      <c r="W123" s="73">
        <v>6</v>
      </c>
      <c r="X123" s="73">
        <v>4</v>
      </c>
      <c r="Y123" s="73">
        <v>4</v>
      </c>
      <c r="Z123" s="73">
        <v>5</v>
      </c>
      <c r="AA123" s="73">
        <v>5</v>
      </c>
      <c r="AB123" s="33"/>
      <c r="AC123" s="33"/>
      <c r="AD123" s="33" t="s">
        <v>684</v>
      </c>
      <c r="AE123" t="str">
        <f>VLOOKUP(AD123,GroupLabels!$E$2:$H$145,3,0)</f>
        <v>Spain - Basque</v>
      </c>
    </row>
    <row r="124" spans="1:31" x14ac:dyDescent="0.25">
      <c r="A124" t="s">
        <v>2932</v>
      </c>
      <c r="B124" s="73">
        <v>22</v>
      </c>
      <c r="C124" s="73">
        <v>9</v>
      </c>
      <c r="D124" s="73">
        <v>4</v>
      </c>
      <c r="E124" s="73">
        <v>6</v>
      </c>
      <c r="F124" s="73">
        <v>5</v>
      </c>
      <c r="G124" s="73">
        <v>4</v>
      </c>
      <c r="H124" s="73">
        <v>5</v>
      </c>
      <c r="I124" s="73">
        <v>4</v>
      </c>
      <c r="J124" s="73">
        <v>5</v>
      </c>
      <c r="K124" s="73">
        <v>6</v>
      </c>
      <c r="L124" s="73">
        <v>6</v>
      </c>
      <c r="M124" s="73">
        <v>6</v>
      </c>
      <c r="N124" s="73">
        <v>4</v>
      </c>
      <c r="O124" s="73">
        <v>5</v>
      </c>
      <c r="P124" s="73">
        <v>6</v>
      </c>
      <c r="Q124" s="73">
        <v>4</v>
      </c>
      <c r="R124" s="73">
        <v>5</v>
      </c>
      <c r="S124" s="73">
        <v>4</v>
      </c>
      <c r="T124" s="73">
        <v>4</v>
      </c>
      <c r="U124" s="73">
        <v>4</v>
      </c>
      <c r="V124" s="73">
        <v>4</v>
      </c>
      <c r="W124" s="73">
        <v>6</v>
      </c>
      <c r="X124" s="73">
        <v>4</v>
      </c>
      <c r="Y124" s="73">
        <v>4</v>
      </c>
      <c r="Z124" s="73">
        <v>5</v>
      </c>
      <c r="AA124" s="73">
        <v>5</v>
      </c>
      <c r="AB124" s="33"/>
      <c r="AC124" s="33"/>
      <c r="AD124" s="33" t="s">
        <v>685</v>
      </c>
      <c r="AE124" t="str">
        <f>VLOOKUP(AD124,GroupLabels!$E$2:$H$145,3,0)</f>
        <v>Spain - Catalan</v>
      </c>
    </row>
    <row r="125" spans="1:31" x14ac:dyDescent="0.25">
      <c r="A125" t="s">
        <v>3091</v>
      </c>
      <c r="B125" s="73">
        <v>21</v>
      </c>
      <c r="C125" s="73">
        <v>9</v>
      </c>
      <c r="D125" s="73">
        <v>4</v>
      </c>
      <c r="E125" s="73">
        <v>6</v>
      </c>
      <c r="F125" s="73">
        <v>5</v>
      </c>
      <c r="G125" s="73">
        <v>4</v>
      </c>
      <c r="H125" s="73">
        <v>5</v>
      </c>
      <c r="I125" s="73">
        <v>4</v>
      </c>
      <c r="J125" s="73">
        <v>5</v>
      </c>
      <c r="K125" s="73">
        <v>6</v>
      </c>
      <c r="L125" s="73">
        <v>6</v>
      </c>
      <c r="M125" s="73">
        <v>6</v>
      </c>
      <c r="N125" s="73">
        <v>4</v>
      </c>
      <c r="O125" s="73">
        <v>5</v>
      </c>
      <c r="P125" s="73">
        <v>6</v>
      </c>
      <c r="Q125" s="73">
        <v>4</v>
      </c>
      <c r="R125" s="73">
        <v>5</v>
      </c>
      <c r="S125" s="73">
        <v>4</v>
      </c>
      <c r="T125" s="73">
        <v>4</v>
      </c>
      <c r="U125" s="73">
        <v>4</v>
      </c>
      <c r="V125" s="73">
        <v>4</v>
      </c>
      <c r="W125" s="73">
        <v>6</v>
      </c>
      <c r="X125" s="73">
        <v>4</v>
      </c>
      <c r="Y125" s="73">
        <v>4</v>
      </c>
      <c r="Z125" s="73">
        <v>5</v>
      </c>
      <c r="AA125" s="73">
        <v>5</v>
      </c>
      <c r="AB125" s="33"/>
      <c r="AC125" s="33"/>
      <c r="AD125" s="33" t="s">
        <v>686</v>
      </c>
      <c r="AE125" t="str">
        <f>VLOOKUP(AD125,GroupLabels!$E$2:$H$145,3,0)</f>
        <v>Spain - Galician</v>
      </c>
    </row>
    <row r="126" spans="1:31" x14ac:dyDescent="0.25">
      <c r="A126" t="s">
        <v>3047</v>
      </c>
      <c r="B126" s="73">
        <v>22</v>
      </c>
      <c r="C126" s="73">
        <v>9</v>
      </c>
      <c r="D126" s="73">
        <v>4</v>
      </c>
      <c r="E126" s="73">
        <v>6</v>
      </c>
      <c r="F126" s="73">
        <v>5</v>
      </c>
      <c r="G126" s="73">
        <v>4</v>
      </c>
      <c r="H126" s="73">
        <v>5</v>
      </c>
      <c r="I126" s="73">
        <v>4</v>
      </c>
      <c r="J126" s="73">
        <v>5</v>
      </c>
      <c r="K126" s="73">
        <v>6</v>
      </c>
      <c r="L126" s="73">
        <v>6</v>
      </c>
      <c r="M126" s="73">
        <v>6</v>
      </c>
      <c r="N126" s="73">
        <v>4</v>
      </c>
      <c r="O126" s="73">
        <v>5</v>
      </c>
      <c r="P126" s="73">
        <v>6</v>
      </c>
      <c r="Q126" s="73">
        <v>4</v>
      </c>
      <c r="R126" s="73">
        <v>5</v>
      </c>
      <c r="S126" s="73">
        <v>4</v>
      </c>
      <c r="T126" s="73">
        <v>4</v>
      </c>
      <c r="U126" s="73">
        <v>4</v>
      </c>
      <c r="V126" s="73">
        <v>4</v>
      </c>
      <c r="W126" s="73">
        <v>6</v>
      </c>
      <c r="X126" s="73">
        <v>4</v>
      </c>
      <c r="Y126" s="73">
        <v>4</v>
      </c>
      <c r="Z126" s="73">
        <v>5</v>
      </c>
      <c r="AA126" s="73">
        <v>5</v>
      </c>
      <c r="AB126" s="33"/>
      <c r="AC126" s="33"/>
      <c r="AD126" s="33" t="s">
        <v>687</v>
      </c>
      <c r="AE126" t="str">
        <f>VLOOKUP(AD126,GroupLabels!$E$2:$H$145,3,0)</f>
        <v>Spain - Spanish</v>
      </c>
    </row>
    <row r="127" spans="1:31" x14ac:dyDescent="0.25">
      <c r="A127" t="s">
        <v>2933</v>
      </c>
      <c r="B127" s="73">
        <v>22</v>
      </c>
      <c r="C127" s="73">
        <v>9</v>
      </c>
      <c r="D127" s="73">
        <v>4</v>
      </c>
      <c r="E127" s="73">
        <v>6</v>
      </c>
      <c r="F127" s="73">
        <v>5</v>
      </c>
      <c r="G127" s="73">
        <v>4</v>
      </c>
      <c r="H127" s="73">
        <v>5</v>
      </c>
      <c r="I127" s="73">
        <v>4</v>
      </c>
      <c r="J127" s="73">
        <v>5</v>
      </c>
      <c r="K127" s="73">
        <v>6</v>
      </c>
      <c r="L127" s="73">
        <v>6</v>
      </c>
      <c r="M127" s="73">
        <v>6</v>
      </c>
      <c r="N127" s="73">
        <v>4</v>
      </c>
      <c r="O127" s="73">
        <v>5</v>
      </c>
      <c r="P127" s="73">
        <v>6</v>
      </c>
      <c r="Q127" s="73">
        <v>4</v>
      </c>
      <c r="R127" s="73">
        <v>5</v>
      </c>
      <c r="S127" s="73">
        <v>4</v>
      </c>
      <c r="T127" s="73">
        <v>4</v>
      </c>
      <c r="U127" s="73">
        <v>4</v>
      </c>
      <c r="V127" s="73">
        <v>4</v>
      </c>
      <c r="W127" s="73">
        <v>6</v>
      </c>
      <c r="X127" s="73">
        <v>4</v>
      </c>
      <c r="Y127" s="73">
        <v>4</v>
      </c>
      <c r="Z127" s="73">
        <v>5</v>
      </c>
      <c r="AA127" s="73">
        <v>5</v>
      </c>
      <c r="AB127" s="33"/>
      <c r="AC127" s="33"/>
      <c r="AD127" s="33" t="s">
        <v>688</v>
      </c>
      <c r="AE127" t="str">
        <f>VLOOKUP(AD127,GroupLabels!$E$2:$H$145,3,0)</f>
        <v>Spain - Valencian</v>
      </c>
    </row>
    <row r="128" spans="1:31" x14ac:dyDescent="0.25">
      <c r="A128" t="s">
        <v>762</v>
      </c>
      <c r="B128" s="73">
        <v>18</v>
      </c>
      <c r="C128" s="73">
        <v>10</v>
      </c>
      <c r="D128" s="73">
        <v>4</v>
      </c>
      <c r="E128" s="73">
        <v>6</v>
      </c>
      <c r="F128" s="73">
        <v>5</v>
      </c>
      <c r="G128" s="73">
        <v>4</v>
      </c>
      <c r="H128" s="73">
        <v>5</v>
      </c>
      <c r="I128" s="73">
        <v>4</v>
      </c>
      <c r="J128" s="73" t="s">
        <v>3476</v>
      </c>
      <c r="K128" s="73">
        <v>6</v>
      </c>
      <c r="L128" s="73">
        <v>6</v>
      </c>
      <c r="M128" s="73" t="s">
        <v>3476</v>
      </c>
      <c r="N128" s="73">
        <v>4</v>
      </c>
      <c r="O128" s="73">
        <v>5</v>
      </c>
      <c r="P128" s="73">
        <v>6</v>
      </c>
      <c r="Q128" s="73">
        <v>4</v>
      </c>
      <c r="R128" s="73">
        <v>5</v>
      </c>
      <c r="S128" s="73">
        <v>4</v>
      </c>
      <c r="T128" s="73">
        <v>4</v>
      </c>
      <c r="U128" s="73">
        <v>4</v>
      </c>
      <c r="V128" s="73">
        <v>4</v>
      </c>
      <c r="W128" s="73" t="s">
        <v>3476</v>
      </c>
      <c r="X128" s="73">
        <v>4</v>
      </c>
      <c r="Y128" s="73">
        <v>4</v>
      </c>
      <c r="Z128" s="73">
        <v>5</v>
      </c>
      <c r="AA128" s="73">
        <v>5</v>
      </c>
      <c r="AB128" s="33"/>
      <c r="AC128" s="33"/>
      <c r="AD128" s="33" t="s">
        <v>689</v>
      </c>
      <c r="AE128" t="str">
        <f>VLOOKUP(AD128,GroupLabels!$E$2:$H$145,3,0)</f>
        <v>Sweden - Swedish</v>
      </c>
    </row>
    <row r="129" spans="1:31" x14ac:dyDescent="0.25">
      <c r="A129" t="s">
        <v>3081</v>
      </c>
      <c r="B129" s="73">
        <v>22</v>
      </c>
      <c r="C129" s="73">
        <v>9</v>
      </c>
      <c r="D129" s="73">
        <v>4</v>
      </c>
      <c r="E129" s="73">
        <v>6</v>
      </c>
      <c r="F129" s="73">
        <v>5</v>
      </c>
      <c r="G129" s="73">
        <v>4</v>
      </c>
      <c r="H129" s="73">
        <v>5</v>
      </c>
      <c r="I129" s="73">
        <v>4</v>
      </c>
      <c r="J129" s="73">
        <v>5</v>
      </c>
      <c r="K129" s="73">
        <v>6</v>
      </c>
      <c r="L129" s="73">
        <v>6</v>
      </c>
      <c r="M129" s="73">
        <v>6</v>
      </c>
      <c r="N129" s="73">
        <v>4</v>
      </c>
      <c r="O129" s="73">
        <v>5</v>
      </c>
      <c r="P129" s="73">
        <v>6</v>
      </c>
      <c r="Q129" s="73">
        <v>4</v>
      </c>
      <c r="R129" s="73">
        <v>5</v>
      </c>
      <c r="S129" s="73">
        <v>4</v>
      </c>
      <c r="T129" s="73">
        <v>4</v>
      </c>
      <c r="U129" s="73">
        <v>4</v>
      </c>
      <c r="V129" s="73">
        <v>4</v>
      </c>
      <c r="W129" s="73">
        <v>6</v>
      </c>
      <c r="X129" s="73">
        <v>4</v>
      </c>
      <c r="Y129" s="73">
        <v>4</v>
      </c>
      <c r="Z129" s="73">
        <v>5</v>
      </c>
      <c r="AA129" s="73">
        <v>5</v>
      </c>
      <c r="AB129" s="33"/>
      <c r="AC129" s="33"/>
      <c r="AD129" s="33" t="s">
        <v>690</v>
      </c>
      <c r="AE129" t="str">
        <f>VLOOKUP(AD129,GroupLabels!$E$2:$H$145,3,0)</f>
        <v>Switzerland - French</v>
      </c>
    </row>
    <row r="130" spans="1:31" x14ac:dyDescent="0.25">
      <c r="A130" t="s">
        <v>2964</v>
      </c>
      <c r="B130" s="73">
        <v>20</v>
      </c>
      <c r="C130" s="73">
        <v>9</v>
      </c>
      <c r="D130" s="73">
        <v>4</v>
      </c>
      <c r="E130" s="73">
        <v>6</v>
      </c>
      <c r="F130" s="73">
        <v>5</v>
      </c>
      <c r="G130" s="73">
        <v>4</v>
      </c>
      <c r="H130" s="73">
        <v>5</v>
      </c>
      <c r="I130" s="73">
        <v>4</v>
      </c>
      <c r="J130" s="73">
        <v>5</v>
      </c>
      <c r="K130" s="73">
        <v>6</v>
      </c>
      <c r="L130" s="73">
        <v>6</v>
      </c>
      <c r="M130" s="73">
        <v>6</v>
      </c>
      <c r="N130" s="73">
        <v>4</v>
      </c>
      <c r="O130" s="73">
        <v>5</v>
      </c>
      <c r="P130" s="73">
        <v>6</v>
      </c>
      <c r="Q130" s="73">
        <v>4</v>
      </c>
      <c r="R130" s="73">
        <v>5</v>
      </c>
      <c r="S130" s="73">
        <v>4</v>
      </c>
      <c r="T130" s="73">
        <v>4</v>
      </c>
      <c r="U130" s="73">
        <v>4</v>
      </c>
      <c r="V130" s="73">
        <v>4</v>
      </c>
      <c r="W130" s="73">
        <v>6</v>
      </c>
      <c r="X130" s="73">
        <v>4</v>
      </c>
      <c r="Y130" s="73">
        <v>4</v>
      </c>
      <c r="Z130" s="73">
        <v>5</v>
      </c>
      <c r="AA130" s="73">
        <v>5</v>
      </c>
      <c r="AB130" s="33"/>
      <c r="AC130" s="33"/>
      <c r="AD130" s="33" t="s">
        <v>691</v>
      </c>
      <c r="AE130" t="str">
        <f>VLOOKUP(AD130,GroupLabels!$E$2:$H$145,3,0)</f>
        <v>Switzerland - German</v>
      </c>
    </row>
    <row r="131" spans="1:31" x14ac:dyDescent="0.25">
      <c r="A131" t="s">
        <v>3125</v>
      </c>
      <c r="B131" s="73">
        <v>22</v>
      </c>
      <c r="C131" s="73">
        <v>10</v>
      </c>
      <c r="D131" s="73">
        <v>4</v>
      </c>
      <c r="E131" s="73">
        <v>6</v>
      </c>
      <c r="F131" s="73">
        <v>5</v>
      </c>
      <c r="G131" s="73">
        <v>4</v>
      </c>
      <c r="H131" s="73">
        <v>5</v>
      </c>
      <c r="I131" s="73">
        <v>4</v>
      </c>
      <c r="J131" s="73">
        <v>5</v>
      </c>
      <c r="K131" s="73">
        <v>6</v>
      </c>
      <c r="L131" s="73">
        <v>6</v>
      </c>
      <c r="M131" s="73">
        <v>6</v>
      </c>
      <c r="N131" s="73">
        <v>4</v>
      </c>
      <c r="O131" s="73">
        <v>5</v>
      </c>
      <c r="P131" s="73">
        <v>6</v>
      </c>
      <c r="Q131" s="73">
        <v>4</v>
      </c>
      <c r="R131" s="73">
        <v>5</v>
      </c>
      <c r="S131" s="73">
        <v>4</v>
      </c>
      <c r="T131" s="73">
        <v>4</v>
      </c>
      <c r="U131" s="73">
        <v>4</v>
      </c>
      <c r="V131" s="73">
        <v>4</v>
      </c>
      <c r="W131" s="73">
        <v>6</v>
      </c>
      <c r="X131" s="73">
        <v>4</v>
      </c>
      <c r="Y131" s="73">
        <v>4</v>
      </c>
      <c r="Z131" s="73">
        <v>5</v>
      </c>
      <c r="AA131" s="73">
        <v>5</v>
      </c>
      <c r="AB131" s="33"/>
      <c r="AC131" s="33"/>
      <c r="AD131" s="33" t="s">
        <v>692</v>
      </c>
      <c r="AE131" t="str">
        <f>VLOOKUP(AD131,GroupLabels!$E$2:$H$145,3,0)</f>
        <v>Switzerland - Italian</v>
      </c>
    </row>
    <row r="132" spans="1:31" x14ac:dyDescent="0.25">
      <c r="A132" t="s">
        <v>3282</v>
      </c>
      <c r="B132" s="73">
        <v>20</v>
      </c>
      <c r="C132" s="73">
        <v>10</v>
      </c>
      <c r="D132" s="73">
        <v>4</v>
      </c>
      <c r="E132" s="73">
        <v>6</v>
      </c>
      <c r="F132" s="73">
        <v>5</v>
      </c>
      <c r="G132" s="73">
        <v>4</v>
      </c>
      <c r="H132" s="73">
        <v>5</v>
      </c>
      <c r="I132" s="73">
        <v>4</v>
      </c>
      <c r="J132" s="73">
        <v>5</v>
      </c>
      <c r="K132" s="73">
        <v>6</v>
      </c>
      <c r="L132" s="73">
        <v>6</v>
      </c>
      <c r="M132" s="73">
        <v>6</v>
      </c>
      <c r="N132" s="73">
        <v>4</v>
      </c>
      <c r="O132" s="73">
        <v>5</v>
      </c>
      <c r="P132" s="73">
        <v>6</v>
      </c>
      <c r="Q132" s="73">
        <v>4</v>
      </c>
      <c r="R132" s="73">
        <v>5</v>
      </c>
      <c r="S132" s="73">
        <v>4</v>
      </c>
      <c r="T132" s="73">
        <v>4</v>
      </c>
      <c r="U132" s="73">
        <v>4</v>
      </c>
      <c r="V132" s="73">
        <v>4</v>
      </c>
      <c r="W132" s="73">
        <v>6</v>
      </c>
      <c r="X132" s="73">
        <v>4</v>
      </c>
      <c r="Y132" s="73">
        <v>4</v>
      </c>
      <c r="Z132" s="73">
        <v>5</v>
      </c>
      <c r="AA132" s="73">
        <v>5</v>
      </c>
      <c r="AB132" s="33"/>
      <c r="AC132" s="33"/>
      <c r="AD132" s="33" t="s">
        <v>693</v>
      </c>
      <c r="AE132" t="str">
        <f>VLOOKUP(AD132,GroupLabels!$E$2:$H$145,3,0)</f>
        <v>Chinese Taipei - Chinese</v>
      </c>
    </row>
    <row r="133" spans="1:31" x14ac:dyDescent="0.25">
      <c r="A133" t="s">
        <v>3252</v>
      </c>
      <c r="B133" s="73">
        <v>19</v>
      </c>
      <c r="C133" s="73">
        <v>10</v>
      </c>
      <c r="D133" s="73">
        <v>4</v>
      </c>
      <c r="E133" s="73">
        <v>6</v>
      </c>
      <c r="F133" s="73">
        <v>5</v>
      </c>
      <c r="G133" s="73">
        <v>4</v>
      </c>
      <c r="H133" s="73">
        <v>5</v>
      </c>
      <c r="I133" s="73">
        <v>4</v>
      </c>
      <c r="J133" s="73">
        <v>5</v>
      </c>
      <c r="K133" s="73">
        <v>6</v>
      </c>
      <c r="L133" s="73">
        <v>6</v>
      </c>
      <c r="M133" s="73">
        <v>6</v>
      </c>
      <c r="N133" s="73">
        <v>4</v>
      </c>
      <c r="O133" s="73">
        <v>5</v>
      </c>
      <c r="P133" s="73">
        <v>6</v>
      </c>
      <c r="Q133" s="73">
        <v>4</v>
      </c>
      <c r="R133" s="73">
        <v>5</v>
      </c>
      <c r="S133" s="73">
        <v>4</v>
      </c>
      <c r="T133" s="73">
        <v>4</v>
      </c>
      <c r="U133" s="73">
        <v>4</v>
      </c>
      <c r="V133" s="73">
        <v>4</v>
      </c>
      <c r="W133" s="73">
        <v>6</v>
      </c>
      <c r="X133" s="73">
        <v>4</v>
      </c>
      <c r="Y133" s="73">
        <v>4</v>
      </c>
      <c r="Z133" s="73">
        <v>5</v>
      </c>
      <c r="AA133" s="73">
        <v>5</v>
      </c>
      <c r="AB133" s="33"/>
      <c r="AC133" s="33"/>
      <c r="AD133" s="33" t="s">
        <v>694</v>
      </c>
      <c r="AE133" t="str">
        <f>VLOOKUP(AD133,GroupLabels!$E$2:$H$145,3,0)</f>
        <v>Thailand - Thai</v>
      </c>
    </row>
    <row r="134" spans="1:31" x14ac:dyDescent="0.25">
      <c r="A134" t="s">
        <v>3257</v>
      </c>
      <c r="B134" s="73">
        <v>18</v>
      </c>
      <c r="C134" s="73">
        <v>9</v>
      </c>
      <c r="D134" s="73">
        <v>4</v>
      </c>
      <c r="E134" s="73">
        <v>6</v>
      </c>
      <c r="F134" s="73">
        <v>5</v>
      </c>
      <c r="G134" s="73">
        <v>4</v>
      </c>
      <c r="H134" s="73">
        <v>5</v>
      </c>
      <c r="I134" s="73">
        <v>4</v>
      </c>
      <c r="J134" s="73">
        <v>5</v>
      </c>
      <c r="K134" s="73">
        <v>6</v>
      </c>
      <c r="L134" s="73">
        <v>6</v>
      </c>
      <c r="M134" s="73">
        <v>6</v>
      </c>
      <c r="N134" s="73">
        <v>4</v>
      </c>
      <c r="O134" s="73">
        <v>5</v>
      </c>
      <c r="P134" s="73">
        <v>6</v>
      </c>
      <c r="Q134" s="73">
        <v>4</v>
      </c>
      <c r="R134" s="73">
        <v>5</v>
      </c>
      <c r="S134" s="73">
        <v>4</v>
      </c>
      <c r="T134" s="73">
        <v>4</v>
      </c>
      <c r="U134" s="73">
        <v>4</v>
      </c>
      <c r="V134" s="73">
        <v>4</v>
      </c>
      <c r="W134" s="73">
        <v>6</v>
      </c>
      <c r="X134" s="73">
        <v>4</v>
      </c>
      <c r="Y134" s="73">
        <v>4</v>
      </c>
      <c r="Z134" s="73">
        <v>5</v>
      </c>
      <c r="AA134" s="73">
        <v>5</v>
      </c>
      <c r="AB134" s="33"/>
      <c r="AC134" s="33"/>
      <c r="AD134" s="33" t="s">
        <v>695</v>
      </c>
      <c r="AE134" t="str">
        <f>VLOOKUP(AD134,GroupLabels!$E$2:$H$145,3,0)</f>
        <v>Turkey - Turkish</v>
      </c>
    </row>
    <row r="135" spans="1:31" x14ac:dyDescent="0.25">
      <c r="A135" t="s">
        <v>3262</v>
      </c>
      <c r="B135" s="73">
        <v>22</v>
      </c>
      <c r="C135" s="73">
        <v>9</v>
      </c>
      <c r="D135" s="73">
        <v>4</v>
      </c>
      <c r="E135" s="73">
        <v>6</v>
      </c>
      <c r="F135" s="73">
        <v>5</v>
      </c>
      <c r="G135" s="73">
        <v>4</v>
      </c>
      <c r="H135" s="73">
        <v>5</v>
      </c>
      <c r="I135" s="73">
        <v>4</v>
      </c>
      <c r="J135" s="73">
        <v>5</v>
      </c>
      <c r="K135" s="73">
        <v>6</v>
      </c>
      <c r="L135" s="73">
        <v>6</v>
      </c>
      <c r="M135" s="73">
        <v>6</v>
      </c>
      <c r="N135" s="73">
        <v>4</v>
      </c>
      <c r="O135" s="73">
        <v>5</v>
      </c>
      <c r="P135" s="73">
        <v>6</v>
      </c>
      <c r="Q135" s="73">
        <v>4</v>
      </c>
      <c r="R135" s="73">
        <v>5</v>
      </c>
      <c r="S135" s="73">
        <v>4</v>
      </c>
      <c r="T135" s="73">
        <v>4</v>
      </c>
      <c r="U135" s="73">
        <v>4</v>
      </c>
      <c r="V135" s="73">
        <v>4</v>
      </c>
      <c r="W135" s="73">
        <v>6</v>
      </c>
      <c r="X135" s="73">
        <v>4</v>
      </c>
      <c r="Y135" s="73">
        <v>4</v>
      </c>
      <c r="Z135" s="73">
        <v>5</v>
      </c>
      <c r="AA135" s="73">
        <v>5</v>
      </c>
      <c r="AB135" s="33"/>
      <c r="AC135" s="33"/>
      <c r="AD135" s="33" t="s">
        <v>696</v>
      </c>
      <c r="AE135" t="str">
        <f>VLOOKUP(AD135,GroupLabels!$E$2:$H$145,3,0)</f>
        <v>Ukrainian regions (17 of 27) - Ukrainian*</v>
      </c>
    </row>
    <row r="136" spans="1:31" x14ac:dyDescent="0.25">
      <c r="A136" t="s">
        <v>2895</v>
      </c>
      <c r="B136" s="73">
        <v>21</v>
      </c>
      <c r="C136" s="73">
        <v>9</v>
      </c>
      <c r="D136" s="73">
        <v>4</v>
      </c>
      <c r="E136" s="73">
        <v>6</v>
      </c>
      <c r="F136" s="73">
        <v>5</v>
      </c>
      <c r="G136" s="73">
        <v>4</v>
      </c>
      <c r="H136" s="73">
        <v>5</v>
      </c>
      <c r="I136" s="73">
        <v>4</v>
      </c>
      <c r="J136" s="73">
        <v>5</v>
      </c>
      <c r="K136" s="73">
        <v>6</v>
      </c>
      <c r="L136" s="73">
        <v>6</v>
      </c>
      <c r="M136" s="73">
        <v>6</v>
      </c>
      <c r="N136" s="73">
        <v>4</v>
      </c>
      <c r="O136" s="73">
        <v>5</v>
      </c>
      <c r="P136" s="73">
        <v>6</v>
      </c>
      <c r="Q136" s="73">
        <v>4</v>
      </c>
      <c r="R136" s="73">
        <v>5</v>
      </c>
      <c r="S136" s="73">
        <v>4</v>
      </c>
      <c r="T136" s="73">
        <v>4</v>
      </c>
      <c r="U136" s="73">
        <v>4</v>
      </c>
      <c r="V136" s="73">
        <v>4</v>
      </c>
      <c r="W136" s="73">
        <v>6</v>
      </c>
      <c r="X136" s="73">
        <v>4</v>
      </c>
      <c r="Y136" s="73">
        <v>4</v>
      </c>
      <c r="Z136" s="73">
        <v>5</v>
      </c>
      <c r="AA136" s="73">
        <v>5</v>
      </c>
      <c r="AB136" s="33"/>
      <c r="AC136" s="33"/>
      <c r="AD136" s="33" t="s">
        <v>697</v>
      </c>
      <c r="AE136" t="str">
        <f>VLOOKUP(AD136,GroupLabels!$E$2:$H$145,3,0)</f>
        <v>United Arab Emirates - Arabic</v>
      </c>
    </row>
    <row r="137" spans="1:31" x14ac:dyDescent="0.25">
      <c r="A137" t="s">
        <v>2979</v>
      </c>
      <c r="B137" s="73">
        <v>20</v>
      </c>
      <c r="C137" s="73">
        <v>9</v>
      </c>
      <c r="D137" s="73">
        <v>4</v>
      </c>
      <c r="E137" s="73">
        <v>6</v>
      </c>
      <c r="F137" s="73">
        <v>5</v>
      </c>
      <c r="G137" s="73">
        <v>4</v>
      </c>
      <c r="H137" s="73">
        <v>5</v>
      </c>
      <c r="I137" s="73">
        <v>4</v>
      </c>
      <c r="J137" s="73">
        <v>5</v>
      </c>
      <c r="K137" s="73">
        <v>6</v>
      </c>
      <c r="L137" s="73">
        <v>6</v>
      </c>
      <c r="M137" s="73">
        <v>6</v>
      </c>
      <c r="N137" s="73">
        <v>4</v>
      </c>
      <c r="O137" s="73">
        <v>5</v>
      </c>
      <c r="P137" s="73">
        <v>6</v>
      </c>
      <c r="Q137" s="73">
        <v>4</v>
      </c>
      <c r="R137" s="73">
        <v>5</v>
      </c>
      <c r="S137" s="73">
        <v>4</v>
      </c>
      <c r="T137" s="73">
        <v>4</v>
      </c>
      <c r="U137" s="73">
        <v>4</v>
      </c>
      <c r="V137" s="73">
        <v>4</v>
      </c>
      <c r="W137" s="73">
        <v>6</v>
      </c>
      <c r="X137" s="73">
        <v>4</v>
      </c>
      <c r="Y137" s="73">
        <v>4</v>
      </c>
      <c r="Z137" s="73">
        <v>5</v>
      </c>
      <c r="AA137" s="73">
        <v>5</v>
      </c>
      <c r="AB137" s="33"/>
      <c r="AC137" s="33"/>
      <c r="AD137" s="33" t="s">
        <v>698</v>
      </c>
      <c r="AE137" t="str">
        <f>VLOOKUP(AD137,GroupLabels!$E$2:$H$145,3,0)</f>
        <v>United Arab Emirates - English</v>
      </c>
    </row>
    <row r="138" spans="1:31" x14ac:dyDescent="0.25">
      <c r="A138" t="s">
        <v>2951</v>
      </c>
      <c r="B138" s="73">
        <v>20</v>
      </c>
      <c r="C138" s="73">
        <v>9</v>
      </c>
      <c r="D138" s="73">
        <v>4</v>
      </c>
      <c r="E138" s="73">
        <v>6</v>
      </c>
      <c r="F138" s="73">
        <v>5</v>
      </c>
      <c r="G138" s="73">
        <v>4</v>
      </c>
      <c r="H138" s="73">
        <v>5</v>
      </c>
      <c r="I138" s="73">
        <v>4</v>
      </c>
      <c r="J138" s="73">
        <v>5</v>
      </c>
      <c r="K138" s="73">
        <v>6</v>
      </c>
      <c r="L138" s="73">
        <v>6</v>
      </c>
      <c r="M138" s="73">
        <v>6</v>
      </c>
      <c r="N138" s="73">
        <v>4</v>
      </c>
      <c r="O138" s="73">
        <v>5</v>
      </c>
      <c r="P138" s="73">
        <v>6</v>
      </c>
      <c r="Q138" s="73">
        <v>4</v>
      </c>
      <c r="R138" s="73">
        <v>5</v>
      </c>
      <c r="S138" s="73">
        <v>4</v>
      </c>
      <c r="T138" s="73">
        <v>4</v>
      </c>
      <c r="U138" s="73">
        <v>4</v>
      </c>
      <c r="V138" s="73">
        <v>4</v>
      </c>
      <c r="W138" s="73">
        <v>6</v>
      </c>
      <c r="X138" s="73">
        <v>4</v>
      </c>
      <c r="Y138" s="73">
        <v>4</v>
      </c>
      <c r="Z138" s="73">
        <v>5</v>
      </c>
      <c r="AA138" s="73">
        <v>5</v>
      </c>
      <c r="AB138" s="33"/>
      <c r="AC138" s="33"/>
      <c r="AD138" s="33" t="s">
        <v>699</v>
      </c>
      <c r="AE138" t="str">
        <f>VLOOKUP(AD138,GroupLabels!$E$2:$H$145,3,0)</f>
        <v>United Kingdom - Welsh</v>
      </c>
    </row>
    <row r="139" spans="1:31" x14ac:dyDescent="0.25">
      <c r="A139" t="s">
        <v>2990</v>
      </c>
      <c r="B139" s="73">
        <v>20</v>
      </c>
      <c r="C139" s="73">
        <v>10</v>
      </c>
      <c r="D139" s="73">
        <v>4</v>
      </c>
      <c r="E139" s="73">
        <v>6</v>
      </c>
      <c r="F139" s="73">
        <v>5</v>
      </c>
      <c r="G139" s="73">
        <v>4</v>
      </c>
      <c r="H139" s="73">
        <v>5</v>
      </c>
      <c r="I139" s="73">
        <v>4</v>
      </c>
      <c r="J139" s="73">
        <v>5</v>
      </c>
      <c r="K139" s="73">
        <v>6</v>
      </c>
      <c r="L139" s="73">
        <v>6</v>
      </c>
      <c r="M139" s="73">
        <v>6</v>
      </c>
      <c r="N139" s="73">
        <v>4</v>
      </c>
      <c r="O139" s="73">
        <v>5</v>
      </c>
      <c r="P139" s="73">
        <v>6</v>
      </c>
      <c r="Q139" s="73">
        <v>4</v>
      </c>
      <c r="R139" s="73">
        <v>5</v>
      </c>
      <c r="S139" s="73">
        <v>4</v>
      </c>
      <c r="T139" s="73">
        <v>4</v>
      </c>
      <c r="U139" s="73">
        <v>4</v>
      </c>
      <c r="V139" s="73">
        <v>4</v>
      </c>
      <c r="W139" s="73">
        <v>6</v>
      </c>
      <c r="X139" s="73">
        <v>4</v>
      </c>
      <c r="Y139" s="73">
        <v>4</v>
      </c>
      <c r="Z139" s="73">
        <v>5</v>
      </c>
      <c r="AA139" s="73">
        <v>5</v>
      </c>
      <c r="AB139" s="33"/>
      <c r="AC139" s="33"/>
      <c r="AD139" s="33" t="s">
        <v>700</v>
      </c>
      <c r="AE139" t="str">
        <f>VLOOKUP(AD139,GroupLabels!$E$2:$H$145,3,0)</f>
        <v>United Kingdom ex Scotland - English</v>
      </c>
    </row>
    <row r="140" spans="1:31" x14ac:dyDescent="0.25">
      <c r="A140" t="s">
        <v>2989</v>
      </c>
      <c r="B140" s="73">
        <v>21</v>
      </c>
      <c r="C140" s="73">
        <v>10</v>
      </c>
      <c r="D140" s="73">
        <v>4</v>
      </c>
      <c r="E140" s="73">
        <v>6</v>
      </c>
      <c r="F140" s="73">
        <v>5</v>
      </c>
      <c r="G140" s="73">
        <v>4</v>
      </c>
      <c r="H140" s="73">
        <v>5</v>
      </c>
      <c r="I140" s="73">
        <v>4</v>
      </c>
      <c r="J140" s="73">
        <v>5</v>
      </c>
      <c r="K140" s="73">
        <v>6</v>
      </c>
      <c r="L140" s="73">
        <v>6</v>
      </c>
      <c r="M140" s="73">
        <v>6</v>
      </c>
      <c r="N140" s="73">
        <v>4</v>
      </c>
      <c r="O140" s="73">
        <v>5</v>
      </c>
      <c r="P140" s="73">
        <v>6</v>
      </c>
      <c r="Q140" s="73">
        <v>4</v>
      </c>
      <c r="R140" s="73">
        <v>5</v>
      </c>
      <c r="S140" s="73">
        <v>4</v>
      </c>
      <c r="T140" s="73">
        <v>4</v>
      </c>
      <c r="U140" s="73">
        <v>4</v>
      </c>
      <c r="V140" s="73">
        <v>4</v>
      </c>
      <c r="W140" s="73">
        <v>6</v>
      </c>
      <c r="X140" s="73">
        <v>4</v>
      </c>
      <c r="Y140" s="73">
        <v>4</v>
      </c>
      <c r="Z140" s="73">
        <v>5</v>
      </c>
      <c r="AA140" s="73">
        <v>5</v>
      </c>
      <c r="AB140" s="33"/>
      <c r="AC140" s="33"/>
      <c r="AD140" s="33" t="s">
        <v>701</v>
      </c>
      <c r="AE140" t="str">
        <f>VLOOKUP(AD140,GroupLabels!$E$2:$H$145,3,0)</f>
        <v>United Kingdom Scotland only - English</v>
      </c>
    </row>
    <row r="141" spans="1:31" x14ac:dyDescent="0.25">
      <c r="A141" t="s">
        <v>764</v>
      </c>
      <c r="B141" s="73">
        <v>21</v>
      </c>
      <c r="C141" s="73">
        <v>10</v>
      </c>
      <c r="D141" s="73">
        <v>4</v>
      </c>
      <c r="E141" s="73">
        <v>6</v>
      </c>
      <c r="F141" s="73">
        <v>5</v>
      </c>
      <c r="G141" s="73">
        <v>4</v>
      </c>
      <c r="H141" s="73">
        <v>5</v>
      </c>
      <c r="I141" s="73" t="s">
        <v>3476</v>
      </c>
      <c r="J141" s="73" t="s">
        <v>3476</v>
      </c>
      <c r="K141" s="73">
        <v>6</v>
      </c>
      <c r="L141" s="73" t="s">
        <v>3476</v>
      </c>
      <c r="M141" s="73">
        <v>6</v>
      </c>
      <c r="N141" s="73">
        <v>4</v>
      </c>
      <c r="O141" s="77" t="s">
        <v>3476</v>
      </c>
      <c r="P141" s="77" t="s">
        <v>3476</v>
      </c>
      <c r="Q141" s="77" t="s">
        <v>3476</v>
      </c>
      <c r="R141" s="73">
        <v>5</v>
      </c>
      <c r="S141" s="73">
        <v>4</v>
      </c>
      <c r="T141" s="73">
        <v>4</v>
      </c>
      <c r="U141" s="73">
        <v>4</v>
      </c>
      <c r="V141" s="77" t="s">
        <v>3476</v>
      </c>
      <c r="W141" s="77" t="s">
        <v>3476</v>
      </c>
      <c r="X141" s="73">
        <v>4</v>
      </c>
      <c r="Y141" s="73">
        <v>4</v>
      </c>
      <c r="Z141" s="73">
        <v>5</v>
      </c>
      <c r="AA141" s="73">
        <v>5</v>
      </c>
      <c r="AB141" s="33"/>
      <c r="AC141" s="33"/>
      <c r="AD141" s="33" t="s">
        <v>702</v>
      </c>
      <c r="AE141" t="str">
        <f>VLOOKUP(AD141,GroupLabels!$E$2:$H$145,3,0)</f>
        <v>United States - English</v>
      </c>
    </row>
    <row r="142" spans="1:31" x14ac:dyDescent="0.25">
      <c r="A142" t="s">
        <v>3065</v>
      </c>
      <c r="B142" s="73">
        <v>21</v>
      </c>
      <c r="C142" s="73">
        <v>9</v>
      </c>
      <c r="D142" s="73">
        <v>4</v>
      </c>
      <c r="E142" s="73">
        <v>6</v>
      </c>
      <c r="F142" s="73">
        <v>5</v>
      </c>
      <c r="G142" s="73">
        <v>4</v>
      </c>
      <c r="H142" s="73">
        <v>5</v>
      </c>
      <c r="I142" s="73">
        <v>4</v>
      </c>
      <c r="J142" s="73">
        <v>5</v>
      </c>
      <c r="K142" s="73">
        <v>6</v>
      </c>
      <c r="L142" s="73">
        <v>6</v>
      </c>
      <c r="M142" s="73">
        <v>6</v>
      </c>
      <c r="N142" s="73">
        <v>4</v>
      </c>
      <c r="O142" s="73">
        <v>5</v>
      </c>
      <c r="P142" s="73">
        <v>6</v>
      </c>
      <c r="Q142" s="73">
        <v>4</v>
      </c>
      <c r="R142" s="73">
        <v>5</v>
      </c>
      <c r="S142" s="73">
        <v>4</v>
      </c>
      <c r="T142" s="73">
        <v>4</v>
      </c>
      <c r="U142" s="73">
        <v>4</v>
      </c>
      <c r="V142" s="73">
        <v>4</v>
      </c>
      <c r="W142" s="73">
        <v>6</v>
      </c>
      <c r="X142" s="73">
        <v>4</v>
      </c>
      <c r="Y142" s="73">
        <v>4</v>
      </c>
      <c r="Z142" s="73">
        <v>5</v>
      </c>
      <c r="AA142" s="73">
        <v>5</v>
      </c>
      <c r="AB142" s="33"/>
      <c r="AC142" s="33"/>
      <c r="AD142" s="33" t="s">
        <v>703</v>
      </c>
      <c r="AE142" t="str">
        <f>VLOOKUP(AD142,GroupLabels!$E$2:$H$145,3,0)</f>
        <v>Uruguay - Spanish</v>
      </c>
    </row>
    <row r="143" spans="1:31" x14ac:dyDescent="0.25">
      <c r="A143" t="s">
        <v>3133</v>
      </c>
      <c r="B143" s="73">
        <v>21</v>
      </c>
      <c r="C143" s="73">
        <v>8</v>
      </c>
      <c r="D143" s="73">
        <v>4</v>
      </c>
      <c r="E143" s="73">
        <v>6</v>
      </c>
      <c r="F143" s="73">
        <v>5</v>
      </c>
      <c r="G143" s="73">
        <v>4</v>
      </c>
      <c r="H143" s="73">
        <v>5</v>
      </c>
      <c r="I143" s="73">
        <v>4</v>
      </c>
      <c r="J143" s="73">
        <v>5</v>
      </c>
      <c r="K143" s="73">
        <v>6</v>
      </c>
      <c r="L143" s="73">
        <v>6</v>
      </c>
      <c r="M143" s="73">
        <v>6</v>
      </c>
      <c r="N143" s="73">
        <v>4</v>
      </c>
      <c r="O143" s="73">
        <v>5</v>
      </c>
      <c r="P143" s="73">
        <v>6</v>
      </c>
      <c r="Q143" s="73">
        <v>4</v>
      </c>
      <c r="R143" s="73">
        <v>5</v>
      </c>
      <c r="S143" s="73">
        <v>4</v>
      </c>
      <c r="T143" s="73">
        <v>4</v>
      </c>
      <c r="U143" s="73">
        <v>4</v>
      </c>
      <c r="V143" s="73">
        <v>4</v>
      </c>
      <c r="W143" s="73">
        <v>6</v>
      </c>
      <c r="X143" s="73">
        <v>4</v>
      </c>
      <c r="Y143" s="73">
        <v>4</v>
      </c>
      <c r="Z143" s="73">
        <v>5</v>
      </c>
      <c r="AA143" s="73">
        <v>5</v>
      </c>
      <c r="AB143" s="33"/>
      <c r="AC143" s="33"/>
      <c r="AD143" s="33" t="s">
        <v>704</v>
      </c>
      <c r="AE143" t="str">
        <f>VLOOKUP(AD143,GroupLabels!$E$2:$H$145,3,0)</f>
        <v>Uzbekistan - Karakalpak</v>
      </c>
    </row>
    <row r="144" spans="1:31" x14ac:dyDescent="0.25">
      <c r="A144" t="s">
        <v>3219</v>
      </c>
      <c r="B144" s="73">
        <v>19</v>
      </c>
      <c r="C144" s="73">
        <v>10</v>
      </c>
      <c r="D144" s="73">
        <v>4</v>
      </c>
      <c r="E144" s="73">
        <v>6</v>
      </c>
      <c r="F144" s="73">
        <v>5</v>
      </c>
      <c r="G144" s="73">
        <v>4</v>
      </c>
      <c r="H144" s="73">
        <v>5</v>
      </c>
      <c r="I144" s="73">
        <v>4</v>
      </c>
      <c r="J144" s="73">
        <v>5</v>
      </c>
      <c r="K144" s="73">
        <v>6</v>
      </c>
      <c r="L144" s="73">
        <v>6</v>
      </c>
      <c r="M144" s="73">
        <v>6</v>
      </c>
      <c r="N144" s="73">
        <v>4</v>
      </c>
      <c r="O144" s="73">
        <v>5</v>
      </c>
      <c r="P144" s="73">
        <v>6</v>
      </c>
      <c r="Q144" s="73">
        <v>4</v>
      </c>
      <c r="R144" s="73">
        <v>5</v>
      </c>
      <c r="S144" s="73">
        <v>4</v>
      </c>
      <c r="T144" s="73">
        <v>4</v>
      </c>
      <c r="U144" s="73">
        <v>4</v>
      </c>
      <c r="V144" s="73">
        <v>4</v>
      </c>
      <c r="W144" s="73">
        <v>6</v>
      </c>
      <c r="X144" s="73">
        <v>4</v>
      </c>
      <c r="Y144" s="73">
        <v>4</v>
      </c>
      <c r="Z144" s="73">
        <v>5</v>
      </c>
      <c r="AA144" s="73">
        <v>5</v>
      </c>
      <c r="AB144" s="33"/>
      <c r="AC144" s="33"/>
      <c r="AD144" s="33" t="s">
        <v>705</v>
      </c>
      <c r="AE144" t="str">
        <f>VLOOKUP(AD144,GroupLabels!$E$2:$H$145,3,0)</f>
        <v>Uzbekistan - Russian</v>
      </c>
    </row>
    <row r="145" spans="1:31" x14ac:dyDescent="0.25">
      <c r="A145" t="s">
        <v>3267</v>
      </c>
      <c r="B145" s="73">
        <v>18</v>
      </c>
      <c r="C145" s="73">
        <v>10</v>
      </c>
      <c r="D145" s="73">
        <v>4</v>
      </c>
      <c r="E145" s="73">
        <v>6</v>
      </c>
      <c r="F145" s="73">
        <v>5</v>
      </c>
      <c r="G145" s="73">
        <v>4</v>
      </c>
      <c r="H145" s="73">
        <v>5</v>
      </c>
      <c r="I145" s="73">
        <v>4</v>
      </c>
      <c r="J145" s="73">
        <v>5</v>
      </c>
      <c r="K145" s="73">
        <v>6</v>
      </c>
      <c r="L145" s="73">
        <v>6</v>
      </c>
      <c r="M145" s="73">
        <v>6</v>
      </c>
      <c r="N145" s="73">
        <v>4</v>
      </c>
      <c r="O145" s="73">
        <v>5</v>
      </c>
      <c r="P145" s="73">
        <v>6</v>
      </c>
      <c r="Q145" s="73">
        <v>4</v>
      </c>
      <c r="R145" s="73">
        <v>5</v>
      </c>
      <c r="S145" s="73">
        <v>4</v>
      </c>
      <c r="T145" s="73">
        <v>4</v>
      </c>
      <c r="U145" s="73">
        <v>4</v>
      </c>
      <c r="V145" s="73">
        <v>4</v>
      </c>
      <c r="W145" s="73">
        <v>6</v>
      </c>
      <c r="X145" s="73">
        <v>4</v>
      </c>
      <c r="Y145" s="73">
        <v>4</v>
      </c>
      <c r="Z145" s="73">
        <v>5</v>
      </c>
      <c r="AA145" s="73">
        <v>5</v>
      </c>
      <c r="AB145" s="33"/>
      <c r="AC145" s="33"/>
      <c r="AD145" s="33" t="s">
        <v>706</v>
      </c>
      <c r="AE145" t="str">
        <f>VLOOKUP(AD145,GroupLabels!$E$2:$H$145,3,0)</f>
        <v>Uzbekistan - Uzbekistani</v>
      </c>
    </row>
    <row r="146" spans="1:31" x14ac:dyDescent="0.25">
      <c r="A146" t="s">
        <v>3272</v>
      </c>
      <c r="B146" s="73">
        <v>22</v>
      </c>
      <c r="C146" s="73">
        <v>9</v>
      </c>
      <c r="D146" s="73">
        <v>4</v>
      </c>
      <c r="E146" s="73">
        <v>6</v>
      </c>
      <c r="F146" s="73">
        <v>5</v>
      </c>
      <c r="G146" s="73">
        <v>4</v>
      </c>
      <c r="H146" s="73">
        <v>5</v>
      </c>
      <c r="I146" s="73">
        <v>4</v>
      </c>
      <c r="J146" s="73">
        <v>5</v>
      </c>
      <c r="K146" s="73">
        <v>6</v>
      </c>
      <c r="L146" s="73">
        <v>6</v>
      </c>
      <c r="M146" s="73">
        <v>6</v>
      </c>
      <c r="N146" s="73">
        <v>4</v>
      </c>
      <c r="O146" s="73">
        <v>5</v>
      </c>
      <c r="P146" s="73">
        <v>6</v>
      </c>
      <c r="Q146" s="73">
        <v>4</v>
      </c>
      <c r="R146" s="73">
        <v>5</v>
      </c>
      <c r="S146" s="73">
        <v>4</v>
      </c>
      <c r="T146" s="73">
        <v>4</v>
      </c>
      <c r="U146" s="73">
        <v>4</v>
      </c>
      <c r="V146" s="73">
        <v>4</v>
      </c>
      <c r="W146" s="73">
        <v>6</v>
      </c>
      <c r="X146" s="73">
        <v>4</v>
      </c>
      <c r="Y146" s="73">
        <v>4</v>
      </c>
      <c r="Z146" s="73">
        <v>5</v>
      </c>
      <c r="AA146" s="73">
        <v>5</v>
      </c>
      <c r="AB146" s="33"/>
      <c r="AC146" s="33"/>
      <c r="AD146" s="33" t="s">
        <v>707</v>
      </c>
      <c r="AE146" t="str">
        <f>VLOOKUP(AD146,GroupLabels!$E$2:$H$145,3,0)</f>
        <v>Viet Nam - Vietnamese</v>
      </c>
    </row>
    <row r="147" spans="1:31" x14ac:dyDescent="0.25">
      <c r="A147" s="3" t="s">
        <v>759</v>
      </c>
      <c r="B147" s="75">
        <v>18</v>
      </c>
      <c r="C147" s="75">
        <v>10</v>
      </c>
      <c r="D147" s="75" t="s">
        <v>3476</v>
      </c>
      <c r="E147" s="75">
        <v>6</v>
      </c>
      <c r="F147" s="75">
        <v>5</v>
      </c>
      <c r="G147" s="75" t="s">
        <v>3476</v>
      </c>
      <c r="H147" s="75">
        <v>5</v>
      </c>
      <c r="I147" s="75">
        <v>4</v>
      </c>
      <c r="J147" s="75">
        <v>5</v>
      </c>
      <c r="K147" s="75" t="s">
        <v>3476</v>
      </c>
      <c r="L147" s="75">
        <v>6</v>
      </c>
      <c r="M147" s="75">
        <v>6</v>
      </c>
      <c r="N147" s="75" t="s">
        <v>3476</v>
      </c>
      <c r="O147" s="75">
        <v>5</v>
      </c>
      <c r="P147" s="75">
        <v>6</v>
      </c>
      <c r="Q147" s="75">
        <v>4</v>
      </c>
      <c r="R147" s="75">
        <v>5</v>
      </c>
      <c r="S147" s="75">
        <v>4</v>
      </c>
      <c r="T147" s="75" t="s">
        <v>3476</v>
      </c>
      <c r="U147" s="75">
        <v>4</v>
      </c>
      <c r="V147" s="75">
        <v>4</v>
      </c>
      <c r="W147" s="75">
        <v>6</v>
      </c>
      <c r="X147" s="75">
        <v>4</v>
      </c>
      <c r="Y147" s="75" t="s">
        <v>3476</v>
      </c>
      <c r="Z147" s="75">
        <v>5</v>
      </c>
      <c r="AA147" s="75" t="s">
        <v>3476</v>
      </c>
      <c r="AB147" s="33"/>
      <c r="AC147" s="33"/>
      <c r="AD147" s="40" t="s">
        <v>708</v>
      </c>
      <c r="AE147" t="str">
        <f>VLOOKUP(AD147,GroupLabels!$E$2:$H$145,3,0)</f>
        <v>Zambia - English</v>
      </c>
    </row>
    <row r="148" spans="1:3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 spans="1:31" x14ac:dyDescent="0.25">
      <c r="A149" s="33" t="s">
        <v>3477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</sheetData>
  <sheetProtection formatColumns="0" formatRows="0"/>
  <sortState xmlns:xlrd2="http://schemas.microsoft.com/office/spreadsheetml/2017/richdata2" ref="A8:AE147">
    <sortCondition ref="A8:A147"/>
  </sortState>
  <hyperlinks>
    <hyperlink ref="A1" location="TOC!A1" display="Table of Contents" xr:uid="{44A89225-1C4C-402A-AB35-8060D8FEC28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149"/>
  <sheetViews>
    <sheetView workbookViewId="0">
      <pane ySplit="6" topLeftCell="A143" activePane="bottomLeft" state="frozen"/>
      <selection pane="bottomLeft"/>
    </sheetView>
  </sheetViews>
  <sheetFormatPr defaultColWidth="8.7109375" defaultRowHeight="15" x14ac:dyDescent="0.25"/>
  <cols>
    <col min="1" max="1" width="40.7109375" customWidth="1"/>
    <col min="2" max="8" width="8.7109375" style="8" customWidth="1"/>
    <col min="9" max="9" width="10.7109375" style="8" customWidth="1"/>
    <col min="10" max="10" width="8.7109375" style="8" customWidth="1"/>
    <col min="29" max="29" width="23.140625" hidden="1" customWidth="1"/>
    <col min="30" max="30" width="0" hidden="1"/>
  </cols>
  <sheetData>
    <row r="1" spans="1:30" x14ac:dyDescent="0.25">
      <c r="A1" s="141" t="s">
        <v>316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spans="1:30" x14ac:dyDescent="0.25">
      <c r="A3" s="34" t="s">
        <v>26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spans="1:30" x14ac:dyDescent="0.25">
      <c r="A4" s="34" t="s">
        <v>27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spans="1:3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 x14ac:dyDescent="0.25">
      <c r="A6" s="65" t="s">
        <v>566</v>
      </c>
      <c r="B6" s="79" t="s">
        <v>326</v>
      </c>
      <c r="C6" s="79" t="s">
        <v>320</v>
      </c>
      <c r="D6" s="79" t="s">
        <v>321</v>
      </c>
      <c r="E6" s="79" t="s">
        <v>325</v>
      </c>
      <c r="F6" s="79" t="s">
        <v>322</v>
      </c>
      <c r="G6" s="79" t="s">
        <v>328</v>
      </c>
      <c r="H6" s="79" t="s">
        <v>327</v>
      </c>
      <c r="I6" s="79" t="s">
        <v>323</v>
      </c>
      <c r="J6" s="79" t="s">
        <v>324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4"/>
      <c r="AD6" s="34"/>
    </row>
    <row r="7" spans="1:30" x14ac:dyDescent="0.25">
      <c r="A7" t="s">
        <v>3232</v>
      </c>
      <c r="B7" s="73">
        <v>8</v>
      </c>
      <c r="C7" s="73">
        <v>6</v>
      </c>
      <c r="D7" s="73">
        <v>4</v>
      </c>
      <c r="E7" s="73">
        <v>4</v>
      </c>
      <c r="F7" s="73">
        <v>5</v>
      </c>
      <c r="G7" s="73">
        <v>5</v>
      </c>
      <c r="H7" s="73">
        <v>4</v>
      </c>
      <c r="I7" s="73">
        <v>5</v>
      </c>
      <c r="J7" s="73">
        <v>5</v>
      </c>
      <c r="K7" s="33"/>
      <c r="L7" s="73"/>
      <c r="M7" s="73"/>
      <c r="N7" s="73"/>
      <c r="O7" s="73"/>
      <c r="P7" s="73"/>
      <c r="Q7" s="73"/>
      <c r="R7" s="73"/>
      <c r="S7" s="73"/>
      <c r="T7" s="73"/>
      <c r="U7" s="33"/>
      <c r="V7" s="33"/>
      <c r="W7" s="33"/>
      <c r="X7" s="33"/>
      <c r="Y7" s="33"/>
      <c r="Z7" s="33"/>
      <c r="AA7" s="33"/>
      <c r="AB7" s="33"/>
      <c r="AC7" s="33" t="s">
        <v>567</v>
      </c>
      <c r="AD7" t="str">
        <f>VLOOKUP(AC7,GroupLabels!$E$2:$H$145,3,0)</f>
        <v>Albania - Albanian</v>
      </c>
    </row>
    <row r="8" spans="1:30" x14ac:dyDescent="0.25">
      <c r="A8" t="s">
        <v>3034</v>
      </c>
      <c r="B8" s="73">
        <v>8</v>
      </c>
      <c r="C8" s="73">
        <v>6</v>
      </c>
      <c r="D8" s="73">
        <v>4</v>
      </c>
      <c r="E8" s="73">
        <v>4</v>
      </c>
      <c r="F8" s="73">
        <v>5</v>
      </c>
      <c r="G8" s="73">
        <v>5</v>
      </c>
      <c r="H8" s="73">
        <v>4</v>
      </c>
      <c r="I8" s="73">
        <v>5</v>
      </c>
      <c r="J8" s="73">
        <v>5</v>
      </c>
      <c r="K8" s="33"/>
      <c r="L8" s="73"/>
      <c r="M8" s="73"/>
      <c r="N8" s="73"/>
      <c r="O8" s="73"/>
      <c r="P8" s="73"/>
      <c r="Q8" s="73"/>
      <c r="R8" s="73"/>
      <c r="S8" s="73"/>
      <c r="T8" s="73"/>
      <c r="U8" s="33"/>
      <c r="V8" s="33"/>
      <c r="W8" s="33"/>
      <c r="X8" s="33"/>
      <c r="Y8" s="33"/>
      <c r="Z8" s="33"/>
      <c r="AA8" s="33"/>
      <c r="AB8" s="33"/>
      <c r="AC8" s="33" t="s">
        <v>568</v>
      </c>
      <c r="AD8" t="str">
        <f>VLOOKUP(AC8,GroupLabels!$E$2:$H$145,3,0)</f>
        <v>Argentina - Spanish</v>
      </c>
    </row>
    <row r="9" spans="1:30" x14ac:dyDescent="0.25">
      <c r="A9" t="s">
        <v>3113</v>
      </c>
      <c r="B9" s="73">
        <v>8</v>
      </c>
      <c r="C9" s="73">
        <v>6</v>
      </c>
      <c r="D9" s="73">
        <v>4</v>
      </c>
      <c r="E9" s="73">
        <v>4</v>
      </c>
      <c r="F9" s="73">
        <v>5</v>
      </c>
      <c r="G9" s="73">
        <v>5</v>
      </c>
      <c r="H9" s="73">
        <v>4</v>
      </c>
      <c r="I9" s="73">
        <v>5</v>
      </c>
      <c r="J9" s="73">
        <v>5</v>
      </c>
      <c r="K9" s="33"/>
      <c r="L9" s="73"/>
      <c r="M9" s="73"/>
      <c r="N9" s="73"/>
      <c r="O9" s="73"/>
      <c r="P9" s="73"/>
      <c r="Q9" s="73"/>
      <c r="R9" s="73"/>
      <c r="S9" s="73"/>
      <c r="T9" s="73"/>
      <c r="U9" s="33"/>
      <c r="V9" s="33"/>
      <c r="W9" s="33"/>
      <c r="X9" s="33"/>
      <c r="Y9" s="33"/>
      <c r="Z9" s="33"/>
      <c r="AA9" s="33"/>
      <c r="AB9" s="33"/>
      <c r="AC9" s="33" t="s">
        <v>569</v>
      </c>
      <c r="AD9" t="str">
        <f>VLOOKUP(AC9,GroupLabels!$E$2:$H$145,3,0)</f>
        <v>Armenia - Armenian</v>
      </c>
    </row>
    <row r="10" spans="1:30" x14ac:dyDescent="0.25">
      <c r="A10" t="s">
        <v>2982</v>
      </c>
      <c r="B10" s="73">
        <v>8</v>
      </c>
      <c r="C10" s="73">
        <v>6</v>
      </c>
      <c r="D10" s="73">
        <v>4</v>
      </c>
      <c r="E10" s="73">
        <v>4</v>
      </c>
      <c r="F10" s="73">
        <v>5</v>
      </c>
      <c r="G10" s="73">
        <v>5</v>
      </c>
      <c r="H10" s="73">
        <v>4</v>
      </c>
      <c r="I10" s="73">
        <v>5</v>
      </c>
      <c r="J10" s="73">
        <v>5</v>
      </c>
      <c r="K10" s="33"/>
      <c r="L10" s="73"/>
      <c r="M10" s="73"/>
      <c r="N10" s="73"/>
      <c r="O10" s="73"/>
      <c r="P10" s="73"/>
      <c r="Q10" s="73"/>
      <c r="R10" s="73"/>
      <c r="S10" s="73"/>
      <c r="T10" s="73"/>
      <c r="U10" s="33"/>
      <c r="V10" s="33"/>
      <c r="W10" s="33"/>
      <c r="X10" s="33"/>
      <c r="Y10" s="33"/>
      <c r="Z10" s="33"/>
      <c r="AA10" s="33"/>
      <c r="AB10" s="33"/>
      <c r="AC10" s="33" t="s">
        <v>570</v>
      </c>
      <c r="AD10" t="str">
        <f>VLOOKUP(AC10,GroupLabels!$E$2:$H$145,3,0)</f>
        <v>Australia - English</v>
      </c>
    </row>
    <row r="11" spans="1:30" x14ac:dyDescent="0.25">
      <c r="A11" t="s">
        <v>2960</v>
      </c>
      <c r="B11" s="73">
        <v>8</v>
      </c>
      <c r="C11" s="73">
        <v>6</v>
      </c>
      <c r="D11" s="73">
        <v>4</v>
      </c>
      <c r="E11" s="73">
        <v>4</v>
      </c>
      <c r="F11" s="73">
        <v>5</v>
      </c>
      <c r="G11" s="73">
        <v>5</v>
      </c>
      <c r="H11" s="73">
        <v>4</v>
      </c>
      <c r="I11" s="73">
        <v>5</v>
      </c>
      <c r="J11" s="73">
        <v>5</v>
      </c>
      <c r="K11" s="33"/>
      <c r="L11" s="73"/>
      <c r="M11" s="73"/>
      <c r="N11" s="73"/>
      <c r="O11" s="73"/>
      <c r="P11" s="73"/>
      <c r="Q11" s="73"/>
      <c r="R11" s="73"/>
      <c r="S11" s="73"/>
      <c r="T11" s="73"/>
      <c r="U11" s="33"/>
      <c r="V11" s="33"/>
      <c r="W11" s="33"/>
      <c r="X11" s="33"/>
      <c r="Y11" s="33"/>
      <c r="Z11" s="33"/>
      <c r="AA11" s="33"/>
      <c r="AB11" s="33"/>
      <c r="AC11" s="33" t="s">
        <v>571</v>
      </c>
      <c r="AD11" t="str">
        <f>VLOOKUP(AC11,GroupLabels!$E$2:$H$145,3,0)</f>
        <v>Austria - German</v>
      </c>
    </row>
    <row r="12" spans="1:30" x14ac:dyDescent="0.25">
      <c r="A12" t="s">
        <v>2923</v>
      </c>
      <c r="B12" s="73">
        <v>8</v>
      </c>
      <c r="C12" s="73">
        <v>6</v>
      </c>
      <c r="D12" s="73">
        <v>4</v>
      </c>
      <c r="E12" s="73">
        <v>4</v>
      </c>
      <c r="F12" s="73">
        <v>5</v>
      </c>
      <c r="G12" s="73">
        <v>5</v>
      </c>
      <c r="H12" s="73">
        <v>4</v>
      </c>
      <c r="I12" s="73">
        <v>5</v>
      </c>
      <c r="J12" s="73">
        <v>5</v>
      </c>
      <c r="K12" s="33"/>
      <c r="L12" s="73"/>
      <c r="M12" s="73"/>
      <c r="N12" s="73"/>
      <c r="O12" s="73"/>
      <c r="P12" s="73"/>
      <c r="Q12" s="73"/>
      <c r="R12" s="73"/>
      <c r="S12" s="73"/>
      <c r="T12" s="73"/>
      <c r="U12" s="33"/>
      <c r="V12" s="33"/>
      <c r="W12" s="33"/>
      <c r="X12" s="33"/>
      <c r="Y12" s="33"/>
      <c r="Z12" s="33"/>
      <c r="AA12" s="33"/>
      <c r="AB12" s="33"/>
      <c r="AC12" s="33" t="s">
        <v>572</v>
      </c>
      <c r="AD12" t="str">
        <f>VLOOKUP(AC12,GroupLabels!$E$2:$H$145,3,0)</f>
        <v>Azerbaijan - Azerbaijani</v>
      </c>
    </row>
    <row r="13" spans="1:30" x14ac:dyDescent="0.25">
      <c r="A13" t="s">
        <v>3216</v>
      </c>
      <c r="B13" s="73">
        <v>8</v>
      </c>
      <c r="C13" s="73">
        <v>6</v>
      </c>
      <c r="D13" s="73">
        <v>4</v>
      </c>
      <c r="E13" s="73">
        <v>4</v>
      </c>
      <c r="F13" s="73">
        <v>5</v>
      </c>
      <c r="G13" s="73">
        <v>5</v>
      </c>
      <c r="H13" s="73">
        <v>4</v>
      </c>
      <c r="I13" s="73">
        <v>5</v>
      </c>
      <c r="J13" s="73">
        <v>5</v>
      </c>
      <c r="K13" s="33"/>
      <c r="L13" s="73"/>
      <c r="M13" s="73"/>
      <c r="N13" s="73"/>
      <c r="O13" s="73"/>
      <c r="P13" s="73"/>
      <c r="Q13" s="73"/>
      <c r="R13" s="73"/>
      <c r="S13" s="73"/>
      <c r="T13" s="73"/>
      <c r="U13" s="33"/>
      <c r="V13" s="33"/>
      <c r="W13" s="33"/>
      <c r="X13" s="33"/>
      <c r="Y13" s="33"/>
      <c r="Z13" s="33"/>
      <c r="AA13" s="33"/>
      <c r="AB13" s="33"/>
      <c r="AC13" s="33" t="s">
        <v>573</v>
      </c>
      <c r="AD13" t="str">
        <f>VLOOKUP(AC13,GroupLabels!$E$2:$H$145,3,0)</f>
        <v>Azerbaijan - Russian</v>
      </c>
    </row>
    <row r="14" spans="1:30" x14ac:dyDescent="0.25">
      <c r="A14" t="s">
        <v>3277</v>
      </c>
      <c r="B14" s="73">
        <v>8</v>
      </c>
      <c r="C14" s="73">
        <v>6</v>
      </c>
      <c r="D14" s="73">
        <v>4</v>
      </c>
      <c r="E14" s="73">
        <v>4</v>
      </c>
      <c r="F14" s="73">
        <v>5</v>
      </c>
      <c r="G14" s="73">
        <v>5</v>
      </c>
      <c r="H14" s="73">
        <v>4</v>
      </c>
      <c r="I14" s="73">
        <v>5</v>
      </c>
      <c r="J14" s="73">
        <v>5</v>
      </c>
      <c r="K14" s="33"/>
      <c r="L14" s="73"/>
      <c r="M14" s="73"/>
      <c r="N14" s="73"/>
      <c r="O14" s="73"/>
      <c r="P14" s="73"/>
      <c r="Q14" s="73"/>
      <c r="R14" s="73"/>
      <c r="S14" s="73"/>
      <c r="T14" s="73"/>
      <c r="U14" s="33"/>
      <c r="V14" s="33"/>
      <c r="W14" s="33"/>
      <c r="X14" s="33"/>
      <c r="Y14" s="33"/>
      <c r="Z14" s="33"/>
      <c r="AA14" s="33"/>
      <c r="AB14" s="33"/>
      <c r="AC14" s="33" t="s">
        <v>579</v>
      </c>
      <c r="AD14" t="str">
        <f>VLOOKUP(AC14,GroupLabels!$E$2:$H$145,3,0)</f>
        <v>B-S-J-G (China) - Chinese*</v>
      </c>
    </row>
    <row r="15" spans="1:30" x14ac:dyDescent="0.25">
      <c r="A15" t="s">
        <v>3185</v>
      </c>
      <c r="B15" s="73">
        <v>8</v>
      </c>
      <c r="C15" s="73">
        <v>6</v>
      </c>
      <c r="D15" s="73">
        <v>4</v>
      </c>
      <c r="E15" s="73">
        <v>4</v>
      </c>
      <c r="F15" s="73">
        <v>5</v>
      </c>
      <c r="G15" s="73">
        <v>5</v>
      </c>
      <c r="H15" s="73">
        <v>4</v>
      </c>
      <c r="I15" s="73">
        <v>5</v>
      </c>
      <c r="J15" s="73">
        <v>5</v>
      </c>
      <c r="K15" s="33"/>
      <c r="L15" s="73"/>
      <c r="M15" s="73"/>
      <c r="N15" s="73"/>
      <c r="O15" s="73"/>
      <c r="P15" s="73"/>
      <c r="Q15" s="73"/>
      <c r="R15" s="73"/>
      <c r="S15" s="73"/>
      <c r="T15" s="73"/>
      <c r="U15" s="33"/>
      <c r="V15" s="33"/>
      <c r="W15" s="33"/>
      <c r="X15" s="33"/>
      <c r="Y15" s="33"/>
      <c r="Z15" s="33"/>
      <c r="AA15" s="33"/>
      <c r="AB15" s="33"/>
      <c r="AC15" s="33" t="s">
        <v>574</v>
      </c>
      <c r="AD15" t="str">
        <f>VLOOKUP(AC15,GroupLabels!$E$2:$H$145,3,0)</f>
        <v>Belgium (Flemish Community) - Dutch</v>
      </c>
    </row>
    <row r="16" spans="1:30" x14ac:dyDescent="0.25">
      <c r="A16" t="s">
        <v>3479</v>
      </c>
      <c r="B16" s="73">
        <v>8</v>
      </c>
      <c r="C16" s="73">
        <v>6</v>
      </c>
      <c r="D16" s="73">
        <v>4</v>
      </c>
      <c r="E16" s="73">
        <v>4</v>
      </c>
      <c r="F16" s="73">
        <v>5</v>
      </c>
      <c r="G16" s="73">
        <v>5</v>
      </c>
      <c r="H16" s="73">
        <v>4</v>
      </c>
      <c r="I16" s="73">
        <v>5</v>
      </c>
      <c r="J16" s="73">
        <v>5</v>
      </c>
      <c r="K16" s="33"/>
      <c r="L16" s="73"/>
      <c r="M16" s="73"/>
      <c r="N16" s="73"/>
      <c r="O16" s="73"/>
      <c r="P16" s="73"/>
      <c r="Q16" s="73"/>
      <c r="R16" s="73"/>
      <c r="S16" s="73"/>
      <c r="T16" s="73"/>
      <c r="U16" s="33"/>
      <c r="V16" s="33"/>
      <c r="W16" s="33"/>
      <c r="X16" s="33"/>
      <c r="Y16" s="33"/>
      <c r="Z16" s="33"/>
      <c r="AA16" s="33"/>
      <c r="AB16" s="33"/>
      <c r="AC16" s="33" t="s">
        <v>575</v>
      </c>
      <c r="AD16" t="str">
        <f>VLOOKUP(AC16,GroupLabels!$E$2:$H$145,3,0)</f>
        <v>Belgium (French Community) - French</v>
      </c>
    </row>
    <row r="17" spans="1:30" x14ac:dyDescent="0.25">
      <c r="A17" t="s">
        <v>3478</v>
      </c>
      <c r="B17" s="73">
        <v>8</v>
      </c>
      <c r="C17" s="73">
        <v>6</v>
      </c>
      <c r="D17" s="73">
        <v>4</v>
      </c>
      <c r="E17" s="73">
        <v>4</v>
      </c>
      <c r="F17" s="73">
        <v>5</v>
      </c>
      <c r="G17" s="73">
        <v>5</v>
      </c>
      <c r="H17" s="73">
        <v>4</v>
      </c>
      <c r="I17" s="73">
        <v>5</v>
      </c>
      <c r="J17" s="73">
        <v>5</v>
      </c>
      <c r="K17" s="33"/>
      <c r="L17" s="73"/>
      <c r="M17" s="73"/>
      <c r="N17" s="73"/>
      <c r="O17" s="73"/>
      <c r="P17" s="73"/>
      <c r="Q17" s="73"/>
      <c r="R17" s="73"/>
      <c r="S17" s="73"/>
      <c r="T17" s="73"/>
      <c r="U17" s="33"/>
      <c r="V17" s="33"/>
      <c r="W17" s="33"/>
      <c r="X17" s="33"/>
      <c r="Y17" s="33"/>
      <c r="Z17" s="33"/>
      <c r="AA17" s="33"/>
      <c r="AB17" s="33"/>
      <c r="AC17" s="33" t="s">
        <v>576</v>
      </c>
      <c r="AD17" t="str">
        <f>VLOOKUP(AC17,GroupLabels!$E$2:$H$145,3,0)</f>
        <v>Belgium (French Community) - German</v>
      </c>
    </row>
    <row r="18" spans="1:30" x14ac:dyDescent="0.25">
      <c r="A18" t="s">
        <v>3199</v>
      </c>
      <c r="B18" s="73">
        <v>8</v>
      </c>
      <c r="C18" s="73">
        <v>6</v>
      </c>
      <c r="D18" s="73">
        <v>4</v>
      </c>
      <c r="E18" s="73">
        <v>4</v>
      </c>
      <c r="F18" s="73">
        <v>5</v>
      </c>
      <c r="G18" s="73">
        <v>5</v>
      </c>
      <c r="H18" s="73">
        <v>4</v>
      </c>
      <c r="I18" s="73">
        <v>5</v>
      </c>
      <c r="J18" s="73">
        <v>5</v>
      </c>
      <c r="K18" s="33"/>
      <c r="L18" s="73"/>
      <c r="M18" s="73"/>
      <c r="N18" s="73"/>
      <c r="O18" s="73"/>
      <c r="P18" s="73"/>
      <c r="Q18" s="73"/>
      <c r="R18" s="73"/>
      <c r="S18" s="73"/>
      <c r="T18" s="73"/>
      <c r="U18" s="33"/>
      <c r="V18" s="33"/>
      <c r="W18" s="33"/>
      <c r="X18" s="33"/>
      <c r="Y18" s="33"/>
      <c r="Z18" s="33"/>
      <c r="AA18" s="33"/>
      <c r="AB18" s="33"/>
      <c r="AC18" s="33" t="s">
        <v>577</v>
      </c>
      <c r="AD18" t="str">
        <f>VLOOKUP(AC18,GroupLabels!$E$2:$H$145,3,0)</f>
        <v>Brazil - Portuguese</v>
      </c>
    </row>
    <row r="19" spans="1:30" x14ac:dyDescent="0.25">
      <c r="A19" t="s">
        <v>2985</v>
      </c>
      <c r="B19" s="73">
        <v>8</v>
      </c>
      <c r="C19" s="73">
        <v>6</v>
      </c>
      <c r="D19" s="73">
        <v>4</v>
      </c>
      <c r="E19" s="73">
        <v>4</v>
      </c>
      <c r="F19" s="73">
        <v>5</v>
      </c>
      <c r="G19" s="73">
        <v>5</v>
      </c>
      <c r="H19" s="73">
        <v>4</v>
      </c>
      <c r="I19" s="73">
        <v>5</v>
      </c>
      <c r="J19" s="73">
        <v>5</v>
      </c>
      <c r="K19" s="33"/>
      <c r="L19" s="73"/>
      <c r="M19" s="73"/>
      <c r="N19" s="73"/>
      <c r="O19" s="73"/>
      <c r="P19" s="73"/>
      <c r="Q19" s="73"/>
      <c r="R19" s="73"/>
      <c r="S19" s="73"/>
      <c r="T19" s="73"/>
      <c r="U19" s="33"/>
      <c r="V19" s="33"/>
      <c r="W19" s="33"/>
      <c r="X19" s="33"/>
      <c r="Y19" s="33"/>
      <c r="Z19" s="33"/>
      <c r="AA19" s="33"/>
      <c r="AB19" s="33"/>
      <c r="AC19" s="33" t="s">
        <v>578</v>
      </c>
      <c r="AD19" t="str">
        <f>VLOOKUP(AC19,GroupLabels!$E$2:$H$145,3,0)</f>
        <v>Brunei Darussalam - English</v>
      </c>
    </row>
    <row r="20" spans="1:30" x14ac:dyDescent="0.25">
      <c r="A20" t="s">
        <v>2928</v>
      </c>
      <c r="B20" s="73">
        <v>8</v>
      </c>
      <c r="C20" s="73">
        <v>6</v>
      </c>
      <c r="D20" s="73">
        <v>4</v>
      </c>
      <c r="E20" s="73">
        <v>4</v>
      </c>
      <c r="F20" s="73">
        <v>5</v>
      </c>
      <c r="G20" s="73">
        <v>5</v>
      </c>
      <c r="H20" s="73">
        <v>4</v>
      </c>
      <c r="I20" s="73">
        <v>5</v>
      </c>
      <c r="J20" s="73">
        <v>5</v>
      </c>
      <c r="K20" s="33"/>
      <c r="L20" s="73"/>
      <c r="M20" s="73"/>
      <c r="N20" s="73"/>
      <c r="O20" s="73"/>
      <c r="P20" s="73"/>
      <c r="Q20" s="73"/>
      <c r="R20" s="73"/>
      <c r="S20" s="73"/>
      <c r="T20" s="73"/>
      <c r="U20" s="33"/>
      <c r="V20" s="33"/>
      <c r="W20" s="33"/>
      <c r="X20" s="33"/>
      <c r="Y20" s="33"/>
      <c r="Z20" s="33"/>
      <c r="AA20" s="33"/>
      <c r="AB20" s="33"/>
      <c r="AC20" s="33" t="s">
        <v>580</v>
      </c>
      <c r="AD20" t="str">
        <f>VLOOKUP(AC20,GroupLabels!$E$2:$H$145,3,0)</f>
        <v>Bulgaria - Bulgarian</v>
      </c>
    </row>
    <row r="21" spans="1:30" x14ac:dyDescent="0.25">
      <c r="A21" t="s">
        <v>751</v>
      </c>
      <c r="B21" s="73">
        <v>8</v>
      </c>
      <c r="C21" s="73">
        <v>6</v>
      </c>
      <c r="D21" s="73">
        <v>4</v>
      </c>
      <c r="E21" s="73">
        <v>4</v>
      </c>
      <c r="F21" s="73" t="s">
        <v>3476</v>
      </c>
      <c r="G21" s="73" t="s">
        <v>3476</v>
      </c>
      <c r="H21" s="73">
        <v>4</v>
      </c>
      <c r="I21" s="73">
        <v>5</v>
      </c>
      <c r="J21" s="73">
        <v>5</v>
      </c>
      <c r="K21" s="33"/>
      <c r="L21" s="73"/>
      <c r="M21" s="73"/>
      <c r="N21" s="73"/>
      <c r="O21" s="73"/>
      <c r="P21" s="73"/>
      <c r="Q21" s="73"/>
      <c r="R21" s="73"/>
      <c r="S21" s="73"/>
      <c r="T21" s="73"/>
      <c r="U21" s="33"/>
      <c r="V21" s="33"/>
      <c r="W21" s="33"/>
      <c r="X21" s="33"/>
      <c r="Y21" s="33"/>
      <c r="Z21" s="33"/>
      <c r="AA21" s="33"/>
      <c r="AB21" s="33"/>
      <c r="AC21" s="33" t="s">
        <v>582</v>
      </c>
      <c r="AD21" t="str">
        <f>VLOOKUP(AC21,GroupLabels!$E$2:$H$145,3,0)</f>
        <v>Cambodia - Khmer</v>
      </c>
    </row>
    <row r="22" spans="1:30" x14ac:dyDescent="0.25">
      <c r="A22" t="s">
        <v>769</v>
      </c>
      <c r="B22" s="73">
        <v>8</v>
      </c>
      <c r="C22" s="73">
        <v>6</v>
      </c>
      <c r="D22" s="73">
        <v>4</v>
      </c>
      <c r="E22" s="73">
        <v>4</v>
      </c>
      <c r="F22" s="73">
        <v>5</v>
      </c>
      <c r="G22" s="73" t="s">
        <v>3476</v>
      </c>
      <c r="H22" s="73">
        <v>4</v>
      </c>
      <c r="I22" s="73">
        <v>5</v>
      </c>
      <c r="J22" s="73">
        <v>5</v>
      </c>
      <c r="K22" s="33"/>
      <c r="L22" s="73"/>
      <c r="M22" s="73"/>
      <c r="N22" s="73"/>
      <c r="O22" s="73"/>
      <c r="P22" s="73"/>
      <c r="Q22" s="73"/>
      <c r="R22" s="73"/>
      <c r="S22" s="73"/>
      <c r="T22" s="73"/>
      <c r="U22" s="33"/>
      <c r="V22" s="33"/>
      <c r="W22" s="33"/>
      <c r="X22" s="33"/>
      <c r="Y22" s="33"/>
      <c r="Z22" s="33"/>
      <c r="AA22" s="33"/>
      <c r="AB22" s="33"/>
      <c r="AC22" s="33" t="s">
        <v>583</v>
      </c>
      <c r="AD22" t="str">
        <f>VLOOKUP(AC22,GroupLabels!$E$2:$H$145,3,0)</f>
        <v>Canada - English</v>
      </c>
    </row>
    <row r="23" spans="1:30" x14ac:dyDescent="0.25">
      <c r="A23" t="s">
        <v>770</v>
      </c>
      <c r="B23" s="73">
        <v>8</v>
      </c>
      <c r="C23" s="73">
        <v>6</v>
      </c>
      <c r="D23" s="73">
        <v>4</v>
      </c>
      <c r="E23" s="73">
        <v>4</v>
      </c>
      <c r="F23" s="73">
        <v>5</v>
      </c>
      <c r="G23" s="73" t="s">
        <v>3476</v>
      </c>
      <c r="H23" s="73">
        <v>4</v>
      </c>
      <c r="I23" s="73">
        <v>5</v>
      </c>
      <c r="J23" s="73">
        <v>5</v>
      </c>
      <c r="K23" s="33"/>
      <c r="L23" s="73"/>
      <c r="M23" s="73"/>
      <c r="N23" s="73"/>
      <c r="O23" s="73"/>
      <c r="P23" s="73"/>
      <c r="Q23" s="73"/>
      <c r="R23" s="73"/>
      <c r="S23" s="73"/>
      <c r="T23" s="73"/>
      <c r="U23" s="33"/>
      <c r="V23" s="33"/>
      <c r="W23" s="33"/>
      <c r="X23" s="33"/>
      <c r="Y23" s="33"/>
      <c r="Z23" s="33"/>
      <c r="AA23" s="33"/>
      <c r="AB23" s="33"/>
      <c r="AC23" s="33" t="s">
        <v>584</v>
      </c>
      <c r="AD23" t="str">
        <f>VLOOKUP(AC23,GroupLabels!$E$2:$H$145,3,0)</f>
        <v>Canada - French</v>
      </c>
    </row>
    <row r="24" spans="1:30" x14ac:dyDescent="0.25">
      <c r="A24" t="s">
        <v>3037</v>
      </c>
      <c r="B24" s="73">
        <v>8</v>
      </c>
      <c r="C24" s="73">
        <v>6</v>
      </c>
      <c r="D24" s="73">
        <v>4</v>
      </c>
      <c r="E24" s="73">
        <v>4</v>
      </c>
      <c r="F24" s="73">
        <v>5</v>
      </c>
      <c r="G24" s="73">
        <v>5</v>
      </c>
      <c r="H24" s="73">
        <v>4</v>
      </c>
      <c r="I24" s="73">
        <v>5</v>
      </c>
      <c r="J24" s="73">
        <v>5</v>
      </c>
      <c r="K24" s="33"/>
      <c r="L24" s="73"/>
      <c r="M24" s="73"/>
      <c r="N24" s="73"/>
      <c r="O24" s="73"/>
      <c r="P24" s="73"/>
      <c r="Q24" s="73"/>
      <c r="R24" s="73"/>
      <c r="S24" s="73"/>
      <c r="T24" s="73"/>
      <c r="U24" s="33"/>
      <c r="V24" s="33"/>
      <c r="W24" s="33"/>
      <c r="X24" s="33"/>
      <c r="Y24" s="33"/>
      <c r="Z24" s="33"/>
      <c r="AA24" s="33"/>
      <c r="AB24" s="33"/>
      <c r="AC24" s="33" t="s">
        <v>585</v>
      </c>
      <c r="AD24" t="str">
        <f>VLOOKUP(AC24,GroupLabels!$E$2:$H$145,3,0)</f>
        <v>Chile - Spanish</v>
      </c>
    </row>
    <row r="25" spans="1:30" x14ac:dyDescent="0.25">
      <c r="A25" t="s">
        <v>3040</v>
      </c>
      <c r="B25" s="73">
        <v>8</v>
      </c>
      <c r="C25" s="73">
        <v>6</v>
      </c>
      <c r="D25" s="73">
        <v>4</v>
      </c>
      <c r="E25" s="73">
        <v>4</v>
      </c>
      <c r="F25" s="73">
        <v>5</v>
      </c>
      <c r="G25" s="73">
        <v>5</v>
      </c>
      <c r="H25" s="73">
        <v>4</v>
      </c>
      <c r="I25" s="73">
        <v>5</v>
      </c>
      <c r="J25" s="73">
        <v>5</v>
      </c>
      <c r="K25" s="33"/>
      <c r="L25" s="73"/>
      <c r="M25" s="73"/>
      <c r="N25" s="73"/>
      <c r="O25" s="73"/>
      <c r="P25" s="73"/>
      <c r="Q25" s="73"/>
      <c r="R25" s="73"/>
      <c r="S25" s="73"/>
      <c r="T25" s="73"/>
      <c r="U25" s="33"/>
      <c r="V25" s="33"/>
      <c r="W25" s="33"/>
      <c r="X25" s="33"/>
      <c r="Y25" s="33"/>
      <c r="Z25" s="33"/>
      <c r="AA25" s="33"/>
      <c r="AB25" s="33"/>
      <c r="AC25" s="33" t="s">
        <v>586</v>
      </c>
      <c r="AD25" t="str">
        <f>VLOOKUP(AC25,GroupLabels!$E$2:$H$145,3,0)</f>
        <v>Colombia - Spanish</v>
      </c>
    </row>
    <row r="26" spans="1:30" x14ac:dyDescent="0.25">
      <c r="A26" t="s">
        <v>763</v>
      </c>
      <c r="B26" s="73" t="s">
        <v>3476</v>
      </c>
      <c r="C26" s="73">
        <v>6</v>
      </c>
      <c r="D26" s="73">
        <v>4</v>
      </c>
      <c r="E26" s="73">
        <v>4</v>
      </c>
      <c r="F26" s="73">
        <v>5</v>
      </c>
      <c r="G26" s="73">
        <v>5</v>
      </c>
      <c r="H26" s="73">
        <v>4</v>
      </c>
      <c r="I26" s="73">
        <v>5</v>
      </c>
      <c r="J26" s="73" t="s">
        <v>3476</v>
      </c>
      <c r="K26" s="33"/>
      <c r="L26" s="73"/>
      <c r="M26" s="73"/>
      <c r="N26" s="73"/>
      <c r="O26" s="73"/>
      <c r="P26" s="73"/>
      <c r="Q26" s="73"/>
      <c r="R26" s="73"/>
      <c r="S26" s="73"/>
      <c r="T26" s="73"/>
      <c r="U26" s="33"/>
      <c r="V26" s="33"/>
      <c r="W26" s="33"/>
      <c r="X26" s="33"/>
      <c r="Y26" s="33"/>
      <c r="Z26" s="33"/>
      <c r="AA26" s="33"/>
      <c r="AB26" s="33"/>
      <c r="AC26" s="33" t="s">
        <v>587</v>
      </c>
      <c r="AD26" t="str">
        <f>VLOOKUP(AC26,GroupLabels!$E$2:$H$145,3,0)</f>
        <v>Costa Rica - Spanish</v>
      </c>
    </row>
    <row r="27" spans="1:30" x14ac:dyDescent="0.25">
      <c r="A27" t="s">
        <v>3098</v>
      </c>
      <c r="B27" s="73">
        <v>8</v>
      </c>
      <c r="C27" s="73">
        <v>6</v>
      </c>
      <c r="D27" s="73">
        <v>4</v>
      </c>
      <c r="E27" s="73">
        <v>4</v>
      </c>
      <c r="F27" s="73">
        <v>5</v>
      </c>
      <c r="G27" s="73">
        <v>5</v>
      </c>
      <c r="H27" s="73">
        <v>4</v>
      </c>
      <c r="I27" s="73">
        <v>5</v>
      </c>
      <c r="J27" s="73">
        <v>5</v>
      </c>
      <c r="K27" s="33"/>
      <c r="L27" s="73"/>
      <c r="M27" s="73"/>
      <c r="N27" s="73"/>
      <c r="O27" s="73"/>
      <c r="P27" s="73"/>
      <c r="Q27" s="73"/>
      <c r="R27" s="73"/>
      <c r="S27" s="73"/>
      <c r="T27" s="73"/>
      <c r="U27" s="33"/>
      <c r="V27" s="33"/>
      <c r="W27" s="33"/>
      <c r="X27" s="33"/>
      <c r="Y27" s="33"/>
      <c r="Z27" s="33"/>
      <c r="AA27" s="33"/>
      <c r="AB27" s="33"/>
      <c r="AC27" s="33" t="s">
        <v>588</v>
      </c>
      <c r="AD27" t="str">
        <f>VLOOKUP(AC27,GroupLabels!$E$2:$H$145,3,0)</f>
        <v>Croatia - Croatian</v>
      </c>
    </row>
    <row r="28" spans="1:30" x14ac:dyDescent="0.25">
      <c r="A28" t="s">
        <v>2988</v>
      </c>
      <c r="B28" s="73">
        <v>8</v>
      </c>
      <c r="C28" s="73">
        <v>6</v>
      </c>
      <c r="D28" s="73">
        <v>4</v>
      </c>
      <c r="E28" s="73">
        <v>4</v>
      </c>
      <c r="F28" s="73">
        <v>5</v>
      </c>
      <c r="G28" s="73">
        <v>5</v>
      </c>
      <c r="H28" s="73">
        <v>4</v>
      </c>
      <c r="I28" s="73">
        <v>5</v>
      </c>
      <c r="J28" s="73">
        <v>5</v>
      </c>
      <c r="K28" s="33"/>
      <c r="L28" s="73"/>
      <c r="M28" s="73"/>
      <c r="N28" s="73"/>
      <c r="O28" s="73"/>
      <c r="P28" s="73"/>
      <c r="Q28" s="73"/>
      <c r="R28" s="73"/>
      <c r="S28" s="73"/>
      <c r="T28" s="73"/>
      <c r="U28" s="33"/>
      <c r="V28" s="33"/>
      <c r="W28" s="33"/>
      <c r="X28" s="33"/>
      <c r="Y28" s="33"/>
      <c r="Z28" s="33"/>
      <c r="AA28" s="33"/>
      <c r="AB28" s="33"/>
      <c r="AC28" s="33" t="s">
        <v>589</v>
      </c>
      <c r="AD28" t="str">
        <f>VLOOKUP(AC28,GroupLabels!$E$2:$H$145,3,0)</f>
        <v>Cyprus - English*</v>
      </c>
    </row>
    <row r="29" spans="1:30" x14ac:dyDescent="0.25">
      <c r="A29" t="s">
        <v>2974</v>
      </c>
      <c r="B29" s="73">
        <v>8</v>
      </c>
      <c r="C29" s="73">
        <v>6</v>
      </c>
      <c r="D29" s="73">
        <v>4</v>
      </c>
      <c r="E29" s="73">
        <v>4</v>
      </c>
      <c r="F29" s="73">
        <v>5</v>
      </c>
      <c r="G29" s="73">
        <v>5</v>
      </c>
      <c r="H29" s="73">
        <v>4</v>
      </c>
      <c r="I29" s="73">
        <v>5</v>
      </c>
      <c r="J29" s="73">
        <v>5</v>
      </c>
      <c r="K29" s="33"/>
      <c r="L29" s="73"/>
      <c r="M29" s="73"/>
      <c r="N29" s="73"/>
      <c r="O29" s="73"/>
      <c r="P29" s="73"/>
      <c r="Q29" s="73"/>
      <c r="R29" s="73"/>
      <c r="S29" s="73"/>
      <c r="T29" s="73"/>
      <c r="U29" s="33"/>
      <c r="V29" s="33"/>
      <c r="W29" s="33"/>
      <c r="X29" s="33"/>
      <c r="Y29" s="33"/>
      <c r="Z29" s="33"/>
      <c r="AA29" s="33"/>
      <c r="AB29" s="33"/>
      <c r="AC29" s="33" t="s">
        <v>590</v>
      </c>
      <c r="AD29" t="str">
        <f>VLOOKUP(AC29,GroupLabels!$E$2:$H$145,3,0)</f>
        <v>Cyprus - Modern Greek*</v>
      </c>
    </row>
    <row r="30" spans="1:30" x14ac:dyDescent="0.25">
      <c r="A30" t="s">
        <v>2946</v>
      </c>
      <c r="B30" s="73">
        <v>8</v>
      </c>
      <c r="C30" s="73">
        <v>6</v>
      </c>
      <c r="D30" s="73">
        <v>4</v>
      </c>
      <c r="E30" s="73">
        <v>4</v>
      </c>
      <c r="F30" s="73">
        <v>5</v>
      </c>
      <c r="G30" s="73">
        <v>5</v>
      </c>
      <c r="H30" s="73">
        <v>4</v>
      </c>
      <c r="I30" s="73">
        <v>5</v>
      </c>
      <c r="J30" s="73">
        <v>5</v>
      </c>
      <c r="K30" s="33"/>
      <c r="L30" s="73"/>
      <c r="M30" s="73"/>
      <c r="N30" s="73"/>
      <c r="O30" s="73"/>
      <c r="P30" s="73"/>
      <c r="Q30" s="73"/>
      <c r="R30" s="73"/>
      <c r="S30" s="73"/>
      <c r="T30" s="73"/>
      <c r="U30" s="33"/>
      <c r="V30" s="33"/>
      <c r="W30" s="33"/>
      <c r="X30" s="33"/>
      <c r="Y30" s="33"/>
      <c r="Z30" s="33"/>
      <c r="AA30" s="33"/>
      <c r="AB30" s="33"/>
      <c r="AC30" s="33" t="s">
        <v>591</v>
      </c>
      <c r="AD30" t="str">
        <f>VLOOKUP(AC30,GroupLabels!$E$2:$H$145,3,0)</f>
        <v>Czechia - Czech</v>
      </c>
    </row>
    <row r="31" spans="1:30" x14ac:dyDescent="0.25">
      <c r="A31" t="s">
        <v>765</v>
      </c>
      <c r="B31" s="73">
        <v>8</v>
      </c>
      <c r="C31" s="73">
        <v>6</v>
      </c>
      <c r="D31" s="73">
        <v>4</v>
      </c>
      <c r="E31" s="73" t="s">
        <v>3476</v>
      </c>
      <c r="F31" s="73">
        <v>5</v>
      </c>
      <c r="G31" s="73">
        <v>5</v>
      </c>
      <c r="H31" s="73">
        <v>4</v>
      </c>
      <c r="I31" s="73">
        <v>5</v>
      </c>
      <c r="J31" s="73">
        <v>5</v>
      </c>
      <c r="K31" s="33"/>
      <c r="L31" s="73"/>
      <c r="M31" s="73"/>
      <c r="N31" s="73"/>
      <c r="O31" s="73"/>
      <c r="P31" s="73"/>
      <c r="Q31" s="73"/>
      <c r="R31" s="73"/>
      <c r="S31" s="73"/>
      <c r="T31" s="73"/>
      <c r="U31" s="33"/>
      <c r="V31" s="33"/>
      <c r="W31" s="33"/>
      <c r="X31" s="33"/>
      <c r="Y31" s="33"/>
      <c r="Z31" s="33"/>
      <c r="AA31" s="33"/>
      <c r="AB31" s="33"/>
      <c r="AC31" s="33" t="s">
        <v>592</v>
      </c>
      <c r="AD31" t="str">
        <f>VLOOKUP(AC31,GroupLabels!$E$2:$H$145,3,0)</f>
        <v>Denmark - Danish</v>
      </c>
    </row>
    <row r="32" spans="1:30" x14ac:dyDescent="0.25">
      <c r="A32" t="s">
        <v>766</v>
      </c>
      <c r="B32" s="73">
        <v>8</v>
      </c>
      <c r="C32" s="73">
        <v>6</v>
      </c>
      <c r="D32" s="73">
        <v>4</v>
      </c>
      <c r="E32" s="73" t="s">
        <v>3476</v>
      </c>
      <c r="F32" s="73">
        <v>5</v>
      </c>
      <c r="G32" s="73">
        <v>5</v>
      </c>
      <c r="H32" s="73">
        <v>4</v>
      </c>
      <c r="I32" s="73">
        <v>5</v>
      </c>
      <c r="J32" s="73">
        <v>5</v>
      </c>
      <c r="K32" s="33"/>
      <c r="L32" s="73"/>
      <c r="M32" s="73"/>
      <c r="N32" s="73"/>
      <c r="O32" s="73"/>
      <c r="P32" s="73"/>
      <c r="Q32" s="73"/>
      <c r="R32" s="73"/>
      <c r="S32" s="73"/>
      <c r="T32" s="73"/>
      <c r="U32" s="33"/>
      <c r="V32" s="33"/>
      <c r="W32" s="33"/>
      <c r="X32" s="33"/>
      <c r="Y32" s="33"/>
      <c r="Z32" s="33"/>
      <c r="AA32" s="33"/>
      <c r="AB32" s="33"/>
      <c r="AC32" s="33" t="s">
        <v>593</v>
      </c>
      <c r="AD32" t="str">
        <f>VLOOKUP(AC32,GroupLabels!$E$2:$H$145,3,0)</f>
        <v>Denmark - Faroese</v>
      </c>
    </row>
    <row r="33" spans="1:30" x14ac:dyDescent="0.25">
      <c r="A33" t="s">
        <v>3044</v>
      </c>
      <c r="B33" s="73">
        <v>8</v>
      </c>
      <c r="C33" s="73">
        <v>6</v>
      </c>
      <c r="D33" s="73">
        <v>4</v>
      </c>
      <c r="E33" s="73">
        <v>4</v>
      </c>
      <c r="F33" s="73">
        <v>5</v>
      </c>
      <c r="G33" s="73">
        <v>5</v>
      </c>
      <c r="H33" s="73">
        <v>4</v>
      </c>
      <c r="I33" s="73">
        <v>5</v>
      </c>
      <c r="J33" s="73">
        <v>5</v>
      </c>
      <c r="K33" s="33"/>
      <c r="L33" s="73"/>
      <c r="M33" s="73"/>
      <c r="N33" s="73"/>
      <c r="O33" s="73"/>
      <c r="P33" s="73"/>
      <c r="Q33" s="73"/>
      <c r="R33" s="73"/>
      <c r="S33" s="73"/>
      <c r="T33" s="73"/>
      <c r="U33" s="33"/>
      <c r="V33" s="33"/>
      <c r="W33" s="33"/>
      <c r="X33" s="33"/>
      <c r="Y33" s="33"/>
      <c r="Z33" s="33"/>
      <c r="AA33" s="33"/>
      <c r="AB33" s="33"/>
      <c r="AC33" s="33" t="s">
        <v>594</v>
      </c>
      <c r="AD33" t="str">
        <f>VLOOKUP(AC33,GroupLabels!$E$2:$H$145,3,0)</f>
        <v>Dominican Republic - Spanish</v>
      </c>
    </row>
    <row r="34" spans="1:30" x14ac:dyDescent="0.25">
      <c r="A34" t="s">
        <v>752</v>
      </c>
      <c r="B34" s="73">
        <v>8</v>
      </c>
      <c r="C34" s="73">
        <v>6</v>
      </c>
      <c r="D34" s="73">
        <v>4</v>
      </c>
      <c r="E34" s="73">
        <v>4</v>
      </c>
      <c r="F34" s="73" t="s">
        <v>3476</v>
      </c>
      <c r="G34" s="73" t="s">
        <v>3476</v>
      </c>
      <c r="H34" s="73">
        <v>4</v>
      </c>
      <c r="I34" s="73">
        <v>5</v>
      </c>
      <c r="J34" s="73">
        <v>5</v>
      </c>
      <c r="K34" s="33"/>
      <c r="L34" s="73"/>
      <c r="M34" s="73"/>
      <c r="N34" s="73"/>
      <c r="O34" s="73"/>
      <c r="P34" s="73"/>
      <c r="Q34" s="73"/>
      <c r="R34" s="73"/>
      <c r="S34" s="73"/>
      <c r="T34" s="73"/>
      <c r="U34" s="33"/>
      <c r="V34" s="33"/>
      <c r="W34" s="33"/>
      <c r="X34" s="33"/>
      <c r="Y34" s="33"/>
      <c r="Z34" s="33"/>
      <c r="AA34" s="33"/>
      <c r="AB34" s="33"/>
      <c r="AC34" s="33" t="s">
        <v>595</v>
      </c>
      <c r="AD34" t="str">
        <f>VLOOKUP(AC34,GroupLabels!$E$2:$H$145,3,0)</f>
        <v>Dushanbe (Tajikistan) - Russian</v>
      </c>
    </row>
    <row r="35" spans="1:30" x14ac:dyDescent="0.25">
      <c r="A35" t="s">
        <v>753</v>
      </c>
      <c r="B35" s="73">
        <v>8</v>
      </c>
      <c r="C35" s="73">
        <v>6</v>
      </c>
      <c r="D35" s="73">
        <v>4</v>
      </c>
      <c r="E35" s="73">
        <v>4</v>
      </c>
      <c r="F35" s="73" t="s">
        <v>3476</v>
      </c>
      <c r="G35" s="73" t="s">
        <v>3476</v>
      </c>
      <c r="H35" s="73">
        <v>4</v>
      </c>
      <c r="I35" s="73">
        <v>5</v>
      </c>
      <c r="J35" s="73">
        <v>5</v>
      </c>
      <c r="K35" s="33"/>
      <c r="L35" s="73"/>
      <c r="M35" s="73"/>
      <c r="N35" s="73"/>
      <c r="O35" s="73"/>
      <c r="P35" s="73"/>
      <c r="Q35" s="73"/>
      <c r="R35" s="73"/>
      <c r="S35" s="73"/>
      <c r="T35" s="73"/>
      <c r="U35" s="33"/>
      <c r="V35" s="33"/>
      <c r="W35" s="33"/>
      <c r="X35" s="33"/>
      <c r="Y35" s="33"/>
      <c r="Z35" s="33"/>
      <c r="AA35" s="33"/>
      <c r="AB35" s="33"/>
      <c r="AC35" s="33" t="s">
        <v>596</v>
      </c>
      <c r="AD35" t="str">
        <f>VLOOKUP(AC35,GroupLabels!$E$2:$H$145,3,0)</f>
        <v>Dushanbe (Tajikistan) - Tajik</v>
      </c>
    </row>
    <row r="36" spans="1:30" x14ac:dyDescent="0.25">
      <c r="A36" t="s">
        <v>3046</v>
      </c>
      <c r="B36" s="73">
        <v>8</v>
      </c>
      <c r="C36" s="73">
        <v>6</v>
      </c>
      <c r="D36" s="73">
        <v>4</v>
      </c>
      <c r="E36" s="73">
        <v>4</v>
      </c>
      <c r="F36" s="73">
        <v>5</v>
      </c>
      <c r="G36" s="73">
        <v>5</v>
      </c>
      <c r="H36" s="73">
        <v>4</v>
      </c>
      <c r="I36" s="73">
        <v>5</v>
      </c>
      <c r="J36" s="73">
        <v>5</v>
      </c>
      <c r="K36" s="33"/>
      <c r="L36" s="73"/>
      <c r="M36" s="73"/>
      <c r="N36" s="73"/>
      <c r="O36" s="73"/>
      <c r="P36" s="73"/>
      <c r="Q36" s="73"/>
      <c r="R36" s="73"/>
      <c r="S36" s="73"/>
      <c r="T36" s="73"/>
      <c r="U36" s="33"/>
      <c r="V36" s="33"/>
      <c r="W36" s="33"/>
      <c r="X36" s="33"/>
      <c r="Y36" s="33"/>
      <c r="Z36" s="33"/>
      <c r="AA36" s="33"/>
      <c r="AB36" s="33"/>
      <c r="AC36" s="33" t="s">
        <v>597</v>
      </c>
      <c r="AD36" t="str">
        <f>VLOOKUP(AC36,GroupLabels!$E$2:$H$145,3,0)</f>
        <v>Ecuador - Spanish</v>
      </c>
    </row>
    <row r="37" spans="1:30" x14ac:dyDescent="0.25">
      <c r="A37" t="s">
        <v>3062</v>
      </c>
      <c r="B37" s="73">
        <v>8</v>
      </c>
      <c r="C37" s="73">
        <v>6</v>
      </c>
      <c r="D37" s="73">
        <v>4</v>
      </c>
      <c r="E37" s="73">
        <v>4</v>
      </c>
      <c r="F37" s="73">
        <v>5</v>
      </c>
      <c r="G37" s="73">
        <v>5</v>
      </c>
      <c r="H37" s="73">
        <v>4</v>
      </c>
      <c r="I37" s="73">
        <v>5</v>
      </c>
      <c r="J37" s="73">
        <v>5</v>
      </c>
      <c r="K37" s="33"/>
      <c r="L37" s="73"/>
      <c r="M37" s="73"/>
      <c r="N37" s="73"/>
      <c r="O37" s="73"/>
      <c r="P37" s="73"/>
      <c r="Q37" s="73"/>
      <c r="R37" s="73"/>
      <c r="S37" s="73"/>
      <c r="T37" s="73"/>
      <c r="U37" s="33"/>
      <c r="V37" s="33"/>
      <c r="W37" s="33"/>
      <c r="X37" s="33"/>
      <c r="Y37" s="33"/>
      <c r="Z37" s="33"/>
      <c r="AA37" s="33"/>
      <c r="AB37" s="33"/>
      <c r="AC37" s="33" t="s">
        <v>598</v>
      </c>
      <c r="AD37" t="str">
        <f>VLOOKUP(AC37,GroupLabels!$E$2:$H$145,3,0)</f>
        <v>El Salvador - Spanish</v>
      </c>
    </row>
    <row r="38" spans="1:30" x14ac:dyDescent="0.25">
      <c r="A38" t="s">
        <v>3069</v>
      </c>
      <c r="B38" s="73">
        <v>8</v>
      </c>
      <c r="C38" s="73">
        <v>6</v>
      </c>
      <c r="D38" s="73">
        <v>4</v>
      </c>
      <c r="E38" s="73">
        <v>4</v>
      </c>
      <c r="F38" s="73">
        <v>5</v>
      </c>
      <c r="G38" s="73">
        <v>5</v>
      </c>
      <c r="H38" s="73">
        <v>4</v>
      </c>
      <c r="I38" s="73">
        <v>5</v>
      </c>
      <c r="J38" s="73">
        <v>5</v>
      </c>
      <c r="K38" s="33"/>
      <c r="L38" s="73"/>
      <c r="M38" s="73"/>
      <c r="N38" s="73"/>
      <c r="O38" s="73"/>
      <c r="P38" s="73"/>
      <c r="Q38" s="73"/>
      <c r="R38" s="73"/>
      <c r="S38" s="73"/>
      <c r="T38" s="73"/>
      <c r="U38" s="33"/>
      <c r="V38" s="33"/>
      <c r="W38" s="33"/>
      <c r="X38" s="33"/>
      <c r="Y38" s="33"/>
      <c r="Z38" s="33"/>
      <c r="AA38" s="33"/>
      <c r="AB38" s="33"/>
      <c r="AC38" s="33" t="s">
        <v>599</v>
      </c>
      <c r="AD38" t="str">
        <f>VLOOKUP(AC38,GroupLabels!$E$2:$H$145,3,0)</f>
        <v>Estonia - Estonian</v>
      </c>
    </row>
    <row r="39" spans="1:30" x14ac:dyDescent="0.25">
      <c r="A39" t="s">
        <v>3210</v>
      </c>
      <c r="B39" s="73">
        <v>8</v>
      </c>
      <c r="C39" s="73">
        <v>6</v>
      </c>
      <c r="D39" s="73">
        <v>4</v>
      </c>
      <c r="E39" s="73">
        <v>4</v>
      </c>
      <c r="F39" s="73">
        <v>5</v>
      </c>
      <c r="G39" s="73">
        <v>5</v>
      </c>
      <c r="H39" s="73">
        <v>4</v>
      </c>
      <c r="I39" s="73">
        <v>5</v>
      </c>
      <c r="J39" s="73">
        <v>5</v>
      </c>
      <c r="K39" s="33"/>
      <c r="L39" s="73"/>
      <c r="M39" s="73"/>
      <c r="N39" s="73"/>
      <c r="O39" s="73"/>
      <c r="P39" s="73"/>
      <c r="Q39" s="73"/>
      <c r="R39" s="73"/>
      <c r="S39" s="73"/>
      <c r="T39" s="73"/>
      <c r="U39" s="33"/>
      <c r="V39" s="33"/>
      <c r="W39" s="33"/>
      <c r="X39" s="33"/>
      <c r="Y39" s="33"/>
      <c r="Z39" s="33"/>
      <c r="AA39" s="33"/>
      <c r="AB39" s="33"/>
      <c r="AC39" s="33" t="s">
        <v>600</v>
      </c>
      <c r="AD39" t="str">
        <f>VLOOKUP(AC39,GroupLabels!$E$2:$H$145,3,0)</f>
        <v>Estonia - Russian</v>
      </c>
    </row>
    <row r="40" spans="1:30" x14ac:dyDescent="0.25">
      <c r="A40" t="s">
        <v>3076</v>
      </c>
      <c r="B40" s="73">
        <v>8</v>
      </c>
      <c r="C40" s="73">
        <v>6</v>
      </c>
      <c r="D40" s="73">
        <v>4</v>
      </c>
      <c r="E40" s="73">
        <v>4</v>
      </c>
      <c r="F40" s="73">
        <v>5</v>
      </c>
      <c r="G40" s="73">
        <v>5</v>
      </c>
      <c r="H40" s="73">
        <v>4</v>
      </c>
      <c r="I40" s="73">
        <v>5</v>
      </c>
      <c r="J40" s="73">
        <v>5</v>
      </c>
      <c r="K40" s="33"/>
      <c r="L40" s="73"/>
      <c r="M40" s="73"/>
      <c r="N40" s="73"/>
      <c r="O40" s="73"/>
      <c r="P40" s="73"/>
      <c r="Q40" s="73"/>
      <c r="R40" s="73"/>
      <c r="S40" s="73"/>
      <c r="T40" s="73"/>
      <c r="U40" s="33"/>
      <c r="V40" s="33"/>
      <c r="W40" s="33"/>
      <c r="X40" s="33"/>
      <c r="Y40" s="33"/>
      <c r="Z40" s="33"/>
      <c r="AA40" s="33"/>
      <c r="AB40" s="33"/>
      <c r="AC40" s="33" t="s">
        <v>601</v>
      </c>
      <c r="AD40" t="str">
        <f>VLOOKUP(AC40,GroupLabels!$E$2:$H$145,3,0)</f>
        <v>Finland - Finnish</v>
      </c>
    </row>
    <row r="41" spans="1:30" x14ac:dyDescent="0.25">
      <c r="A41" t="s">
        <v>3244</v>
      </c>
      <c r="B41" s="73">
        <v>8</v>
      </c>
      <c r="C41" s="73">
        <v>6</v>
      </c>
      <c r="D41" s="73">
        <v>4</v>
      </c>
      <c r="E41" s="73">
        <v>4</v>
      </c>
      <c r="F41" s="73">
        <v>5</v>
      </c>
      <c r="G41" s="73">
        <v>5</v>
      </c>
      <c r="H41" s="73">
        <v>4</v>
      </c>
      <c r="I41" s="73">
        <v>5</v>
      </c>
      <c r="J41" s="73">
        <v>5</v>
      </c>
      <c r="K41" s="33"/>
      <c r="L41" s="73"/>
      <c r="M41" s="73"/>
      <c r="N41" s="73"/>
      <c r="O41" s="73"/>
      <c r="P41" s="73"/>
      <c r="Q41" s="73"/>
      <c r="R41" s="73"/>
      <c r="S41" s="73"/>
      <c r="T41" s="73"/>
      <c r="U41" s="33"/>
      <c r="V41" s="33"/>
      <c r="W41" s="33"/>
      <c r="X41" s="33"/>
      <c r="Y41" s="33"/>
      <c r="Z41" s="33"/>
      <c r="AA41" s="33"/>
      <c r="AB41" s="33"/>
      <c r="AC41" s="33" t="s">
        <v>602</v>
      </c>
      <c r="AD41" t="str">
        <f>VLOOKUP(AC41,GroupLabels!$E$2:$H$145,3,0)</f>
        <v>Finland - Swedish</v>
      </c>
    </row>
    <row r="42" spans="1:30" x14ac:dyDescent="0.25">
      <c r="A42" t="s">
        <v>3083</v>
      </c>
      <c r="B42" s="73">
        <v>8</v>
      </c>
      <c r="C42" s="73">
        <v>6</v>
      </c>
      <c r="D42" s="73">
        <v>4</v>
      </c>
      <c r="E42" s="73">
        <v>4</v>
      </c>
      <c r="F42" s="73">
        <v>5</v>
      </c>
      <c r="G42" s="73">
        <v>5</v>
      </c>
      <c r="H42" s="73">
        <v>4</v>
      </c>
      <c r="I42" s="73">
        <v>5</v>
      </c>
      <c r="J42" s="73">
        <v>5</v>
      </c>
      <c r="K42" s="33"/>
      <c r="L42" s="73"/>
      <c r="M42" s="73"/>
      <c r="N42" s="73"/>
      <c r="O42" s="73"/>
      <c r="P42" s="73"/>
      <c r="Q42" s="73"/>
      <c r="R42" s="73"/>
      <c r="S42" s="73"/>
      <c r="T42" s="73"/>
      <c r="U42" s="33"/>
      <c r="V42" s="33"/>
      <c r="W42" s="33"/>
      <c r="X42" s="33"/>
      <c r="Y42" s="33"/>
      <c r="Z42" s="33"/>
      <c r="AA42" s="33"/>
      <c r="AB42" s="33"/>
      <c r="AC42" s="33" t="s">
        <v>603</v>
      </c>
      <c r="AD42" t="str">
        <f>VLOOKUP(AC42,GroupLabels!$E$2:$H$145,3,0)</f>
        <v>France - French</v>
      </c>
    </row>
    <row r="43" spans="1:30" x14ac:dyDescent="0.25">
      <c r="A43" t="s">
        <v>2920</v>
      </c>
      <c r="B43" s="73">
        <v>8</v>
      </c>
      <c r="C43" s="73">
        <v>6</v>
      </c>
      <c r="D43" s="73">
        <v>4</v>
      </c>
      <c r="E43" s="73">
        <v>4</v>
      </c>
      <c r="F43" s="73">
        <v>5</v>
      </c>
      <c r="G43" s="73">
        <v>5</v>
      </c>
      <c r="H43" s="73">
        <v>4</v>
      </c>
      <c r="I43" s="73">
        <v>5</v>
      </c>
      <c r="J43" s="73">
        <v>5</v>
      </c>
      <c r="K43" s="33"/>
      <c r="L43" s="73"/>
      <c r="M43" s="73"/>
      <c r="N43" s="73"/>
      <c r="O43" s="73"/>
      <c r="P43" s="73"/>
      <c r="Q43" s="73"/>
      <c r="R43" s="73"/>
      <c r="S43" s="73"/>
      <c r="T43" s="73"/>
      <c r="U43" s="33"/>
      <c r="V43" s="33"/>
      <c r="W43" s="33"/>
      <c r="X43" s="33"/>
      <c r="Y43" s="33"/>
      <c r="Z43" s="33"/>
      <c r="AA43" s="33"/>
      <c r="AB43" s="33"/>
      <c r="AC43" s="33" t="s">
        <v>604</v>
      </c>
      <c r="AD43" t="str">
        <f>VLOOKUP(AC43,GroupLabels!$E$2:$H$145,3,0)</f>
        <v>Georgia - Azerbaijani</v>
      </c>
    </row>
    <row r="44" spans="1:30" x14ac:dyDescent="0.25">
      <c r="A44" t="s">
        <v>3136</v>
      </c>
      <c r="B44" s="73">
        <v>8</v>
      </c>
      <c r="C44" s="73">
        <v>6</v>
      </c>
      <c r="D44" s="73">
        <v>4</v>
      </c>
      <c r="E44" s="73">
        <v>4</v>
      </c>
      <c r="F44" s="73">
        <v>5</v>
      </c>
      <c r="G44" s="73">
        <v>5</v>
      </c>
      <c r="H44" s="73">
        <v>4</v>
      </c>
      <c r="I44" s="73">
        <v>5</v>
      </c>
      <c r="J44" s="73">
        <v>5</v>
      </c>
      <c r="K44" s="33"/>
      <c r="L44" s="73"/>
      <c r="M44" s="73"/>
      <c r="N44" s="73"/>
      <c r="O44" s="73"/>
      <c r="P44" s="73"/>
      <c r="Q44" s="73"/>
      <c r="R44" s="73"/>
      <c r="S44" s="73"/>
      <c r="T44" s="73"/>
      <c r="U44" s="33"/>
      <c r="V44" s="33"/>
      <c r="W44" s="33"/>
      <c r="X44" s="33"/>
      <c r="Y44" s="33"/>
      <c r="Z44" s="33"/>
      <c r="AA44" s="33"/>
      <c r="AB44" s="33"/>
      <c r="AC44" s="33" t="s">
        <v>605</v>
      </c>
      <c r="AD44" t="str">
        <f>VLOOKUP(AC44,GroupLabels!$E$2:$H$145,3,0)</f>
        <v>Georgia - Georgian</v>
      </c>
    </row>
    <row r="45" spans="1:30" x14ac:dyDescent="0.25">
      <c r="A45" t="s">
        <v>3211</v>
      </c>
      <c r="B45" s="73">
        <v>8</v>
      </c>
      <c r="C45" s="73">
        <v>6</v>
      </c>
      <c r="D45" s="73">
        <v>4</v>
      </c>
      <c r="E45" s="73">
        <v>4</v>
      </c>
      <c r="F45" s="73">
        <v>5</v>
      </c>
      <c r="G45" s="73">
        <v>5</v>
      </c>
      <c r="H45" s="73">
        <v>4</v>
      </c>
      <c r="I45" s="73">
        <v>5</v>
      </c>
      <c r="J45" s="73">
        <v>5</v>
      </c>
      <c r="K45" s="33"/>
      <c r="L45" s="73"/>
      <c r="M45" s="73"/>
      <c r="N45" s="73"/>
      <c r="O45" s="73"/>
      <c r="P45" s="73"/>
      <c r="Q45" s="73"/>
      <c r="R45" s="73"/>
      <c r="S45" s="73"/>
      <c r="T45" s="73"/>
      <c r="U45" s="33"/>
      <c r="V45" s="33"/>
      <c r="W45" s="33"/>
      <c r="X45" s="33"/>
      <c r="Y45" s="33"/>
      <c r="Z45" s="33"/>
      <c r="AA45" s="33"/>
      <c r="AB45" s="33"/>
      <c r="AC45" s="33" t="s">
        <v>606</v>
      </c>
      <c r="AD45" t="str">
        <f>VLOOKUP(AC45,GroupLabels!$E$2:$H$145,3,0)</f>
        <v>Georgia - Russian</v>
      </c>
    </row>
    <row r="46" spans="1:30" x14ac:dyDescent="0.25">
      <c r="A46" t="s">
        <v>767</v>
      </c>
      <c r="B46" s="73">
        <v>8</v>
      </c>
      <c r="C46" s="73">
        <v>6</v>
      </c>
      <c r="D46" s="73">
        <v>4</v>
      </c>
      <c r="E46" s="73" t="s">
        <v>3476</v>
      </c>
      <c r="F46" s="73">
        <v>5</v>
      </c>
      <c r="G46" s="73">
        <v>5</v>
      </c>
      <c r="H46" s="73">
        <v>4</v>
      </c>
      <c r="I46" s="73">
        <v>5</v>
      </c>
      <c r="J46" s="73">
        <v>5</v>
      </c>
      <c r="K46" s="33"/>
      <c r="L46" s="73"/>
      <c r="M46" s="73"/>
      <c r="N46" s="73"/>
      <c r="O46" s="73"/>
      <c r="P46" s="73"/>
      <c r="Q46" s="73"/>
      <c r="R46" s="73"/>
      <c r="S46" s="73"/>
      <c r="T46" s="73"/>
      <c r="U46" s="33"/>
      <c r="V46" s="33"/>
      <c r="W46" s="33"/>
      <c r="X46" s="33"/>
      <c r="Y46" s="33"/>
      <c r="Z46" s="33"/>
      <c r="AA46" s="33"/>
      <c r="AB46" s="33"/>
      <c r="AC46" s="33" t="s">
        <v>607</v>
      </c>
      <c r="AD46" t="str">
        <f>VLOOKUP(AC46,GroupLabels!$E$2:$H$145,3,0)</f>
        <v>Germany - German</v>
      </c>
    </row>
    <row r="47" spans="1:30" x14ac:dyDescent="0.25">
      <c r="A47" t="s">
        <v>2976</v>
      </c>
      <c r="B47" s="73">
        <v>8</v>
      </c>
      <c r="C47" s="73">
        <v>6</v>
      </c>
      <c r="D47" s="73">
        <v>4</v>
      </c>
      <c r="E47" s="73">
        <v>4</v>
      </c>
      <c r="F47" s="73">
        <v>5</v>
      </c>
      <c r="G47" s="73">
        <v>5</v>
      </c>
      <c r="H47" s="73">
        <v>4</v>
      </c>
      <c r="I47" s="73">
        <v>5</v>
      </c>
      <c r="J47" s="73">
        <v>5</v>
      </c>
      <c r="K47" s="33"/>
      <c r="L47" s="73"/>
      <c r="M47" s="73"/>
      <c r="N47" s="73"/>
      <c r="O47" s="73"/>
      <c r="P47" s="73"/>
      <c r="Q47" s="73"/>
      <c r="R47" s="73"/>
      <c r="S47" s="73"/>
      <c r="T47" s="73"/>
      <c r="U47" s="33"/>
      <c r="V47" s="33"/>
      <c r="W47" s="33"/>
      <c r="X47" s="33"/>
      <c r="Y47" s="33"/>
      <c r="Z47" s="33"/>
      <c r="AA47" s="33"/>
      <c r="AB47" s="33"/>
      <c r="AC47" s="33" t="s">
        <v>608</v>
      </c>
      <c r="AD47" t="str">
        <f>VLOOKUP(AC47,GroupLabels!$E$2:$H$145,3,0)</f>
        <v>Greece - Modern Greek</v>
      </c>
    </row>
    <row r="48" spans="1:30" x14ac:dyDescent="0.25">
      <c r="A48" t="s">
        <v>3050</v>
      </c>
      <c r="B48" s="73">
        <v>8</v>
      </c>
      <c r="C48" s="73">
        <v>6</v>
      </c>
      <c r="D48" s="73">
        <v>4</v>
      </c>
      <c r="E48" s="73">
        <v>4</v>
      </c>
      <c r="F48" s="73">
        <v>5</v>
      </c>
      <c r="G48" s="73">
        <v>5</v>
      </c>
      <c r="H48" s="73">
        <v>4</v>
      </c>
      <c r="I48" s="73">
        <v>5</v>
      </c>
      <c r="J48" s="73">
        <v>5</v>
      </c>
      <c r="K48" s="33"/>
      <c r="L48" s="73"/>
      <c r="M48" s="73"/>
      <c r="N48" s="73"/>
      <c r="O48" s="73"/>
      <c r="P48" s="73"/>
      <c r="Q48" s="73"/>
      <c r="R48" s="73"/>
      <c r="S48" s="73"/>
      <c r="T48" s="73"/>
      <c r="U48" s="33"/>
      <c r="V48" s="33"/>
      <c r="W48" s="33"/>
      <c r="X48" s="33"/>
      <c r="Y48" s="33"/>
      <c r="Z48" s="33"/>
      <c r="AA48" s="33"/>
      <c r="AB48" s="33"/>
      <c r="AC48" s="33" t="s">
        <v>609</v>
      </c>
      <c r="AD48" t="str">
        <f>VLOOKUP(AC48,GroupLabels!$E$2:$H$145,3,0)</f>
        <v>Guatemala - Spanish</v>
      </c>
    </row>
    <row r="49" spans="1:30" x14ac:dyDescent="0.25">
      <c r="A49" t="s">
        <v>3278</v>
      </c>
      <c r="B49" s="73">
        <v>8</v>
      </c>
      <c r="C49" s="73">
        <v>6</v>
      </c>
      <c r="D49" s="73">
        <v>4</v>
      </c>
      <c r="E49" s="73">
        <v>4</v>
      </c>
      <c r="F49" s="73">
        <v>5</v>
      </c>
      <c r="G49" s="73">
        <v>5</v>
      </c>
      <c r="H49" s="73">
        <v>4</v>
      </c>
      <c r="I49" s="73">
        <v>5</v>
      </c>
      <c r="J49" s="73">
        <v>5</v>
      </c>
      <c r="K49" s="33"/>
      <c r="L49" s="73"/>
      <c r="M49" s="73"/>
      <c r="N49" s="73"/>
      <c r="O49" s="73"/>
      <c r="P49" s="73"/>
      <c r="Q49" s="73"/>
      <c r="R49" s="73"/>
      <c r="S49" s="73"/>
      <c r="T49" s="73"/>
      <c r="U49" s="33"/>
      <c r="V49" s="33"/>
      <c r="W49" s="33"/>
      <c r="X49" s="33"/>
      <c r="Y49" s="33"/>
      <c r="Z49" s="33"/>
      <c r="AA49" s="33"/>
      <c r="AB49" s="33"/>
      <c r="AC49" s="33" t="s">
        <v>610</v>
      </c>
      <c r="AD49" t="str">
        <f>VLOOKUP(AC49,GroupLabels!$E$2:$H$145,3,0)</f>
        <v>Hong Kong (China) - Chinese</v>
      </c>
    </row>
    <row r="50" spans="1:30" x14ac:dyDescent="0.25">
      <c r="A50" t="s">
        <v>2993</v>
      </c>
      <c r="B50" s="73">
        <v>8</v>
      </c>
      <c r="C50" s="73">
        <v>6</v>
      </c>
      <c r="D50" s="73">
        <v>4</v>
      </c>
      <c r="E50" s="73">
        <v>4</v>
      </c>
      <c r="F50" s="73">
        <v>5</v>
      </c>
      <c r="G50" s="73">
        <v>5</v>
      </c>
      <c r="H50" s="73">
        <v>4</v>
      </c>
      <c r="I50" s="73">
        <v>5</v>
      </c>
      <c r="J50" s="73">
        <v>5</v>
      </c>
      <c r="K50" s="33"/>
      <c r="L50" s="73"/>
      <c r="M50" s="73"/>
      <c r="N50" s="73"/>
      <c r="O50" s="73"/>
      <c r="P50" s="73"/>
      <c r="Q50" s="73"/>
      <c r="R50" s="73"/>
      <c r="S50" s="73"/>
      <c r="T50" s="73"/>
      <c r="U50" s="33"/>
      <c r="V50" s="33"/>
      <c r="W50" s="33"/>
      <c r="X50" s="33"/>
      <c r="Y50" s="33"/>
      <c r="Z50" s="33"/>
      <c r="AA50" s="33"/>
      <c r="AB50" s="33"/>
      <c r="AC50" s="33" t="s">
        <v>611</v>
      </c>
      <c r="AD50" t="str">
        <f>VLOOKUP(AC50,GroupLabels!$E$2:$H$145,3,0)</f>
        <v>Hong Kong (China) - English</v>
      </c>
    </row>
    <row r="51" spans="1:30" x14ac:dyDescent="0.25">
      <c r="A51" t="s">
        <v>3103</v>
      </c>
      <c r="B51" s="73">
        <v>8</v>
      </c>
      <c r="C51" s="73">
        <v>6</v>
      </c>
      <c r="D51" s="73">
        <v>4</v>
      </c>
      <c r="E51" s="73">
        <v>4</v>
      </c>
      <c r="F51" s="73">
        <v>5</v>
      </c>
      <c r="G51" s="73">
        <v>5</v>
      </c>
      <c r="H51" s="73">
        <v>4</v>
      </c>
      <c r="I51" s="73">
        <v>5</v>
      </c>
      <c r="J51" s="73">
        <v>5</v>
      </c>
      <c r="K51" s="33"/>
      <c r="L51" s="73"/>
      <c r="M51" s="73"/>
      <c r="N51" s="73"/>
      <c r="O51" s="73"/>
      <c r="P51" s="73"/>
      <c r="Q51" s="73"/>
      <c r="R51" s="73"/>
      <c r="S51" s="73"/>
      <c r="T51" s="73"/>
      <c r="U51" s="33"/>
      <c r="V51" s="33"/>
      <c r="W51" s="33"/>
      <c r="X51" s="33"/>
      <c r="Y51" s="33"/>
      <c r="Z51" s="33"/>
      <c r="AA51" s="33"/>
      <c r="AB51" s="33"/>
      <c r="AC51" s="33" t="s">
        <v>612</v>
      </c>
      <c r="AD51" t="str">
        <f>VLOOKUP(AC51,GroupLabels!$E$2:$H$145,3,0)</f>
        <v>Hungary - Hungarian</v>
      </c>
    </row>
    <row r="52" spans="1:30" x14ac:dyDescent="0.25">
      <c r="A52" t="s">
        <v>3122</v>
      </c>
      <c r="B52" s="73">
        <v>8</v>
      </c>
      <c r="C52" s="73">
        <v>6</v>
      </c>
      <c r="D52" s="73">
        <v>4</v>
      </c>
      <c r="E52" s="73">
        <v>4</v>
      </c>
      <c r="F52" s="73">
        <v>5</v>
      </c>
      <c r="G52" s="73">
        <v>5</v>
      </c>
      <c r="H52" s="73">
        <v>4</v>
      </c>
      <c r="I52" s="73">
        <v>5</v>
      </c>
      <c r="J52" s="73">
        <v>5</v>
      </c>
      <c r="K52" s="33"/>
      <c r="L52" s="73"/>
      <c r="M52" s="73"/>
      <c r="N52" s="73"/>
      <c r="O52" s="73"/>
      <c r="P52" s="73"/>
      <c r="Q52" s="73"/>
      <c r="R52" s="73"/>
      <c r="S52" s="73"/>
      <c r="T52" s="73"/>
      <c r="U52" s="33"/>
      <c r="V52" s="33"/>
      <c r="W52" s="33"/>
      <c r="X52" s="33"/>
      <c r="Y52" s="33"/>
      <c r="Z52" s="33"/>
      <c r="AA52" s="33"/>
      <c r="AB52" s="33"/>
      <c r="AC52" s="33" t="s">
        <v>613</v>
      </c>
      <c r="AD52" t="str">
        <f>VLOOKUP(AC52,GroupLabels!$E$2:$H$145,3,0)</f>
        <v>Iceland - Icelandic</v>
      </c>
    </row>
    <row r="53" spans="1:30" x14ac:dyDescent="0.25">
      <c r="A53" t="s">
        <v>3118</v>
      </c>
      <c r="B53" s="73">
        <v>8</v>
      </c>
      <c r="C53" s="73">
        <v>6</v>
      </c>
      <c r="D53" s="73">
        <v>4</v>
      </c>
      <c r="E53" s="73">
        <v>4</v>
      </c>
      <c r="F53" s="73">
        <v>5</v>
      </c>
      <c r="G53" s="73">
        <v>5</v>
      </c>
      <c r="H53" s="73">
        <v>4</v>
      </c>
      <c r="I53" s="73">
        <v>5</v>
      </c>
      <c r="J53" s="73">
        <v>5</v>
      </c>
      <c r="K53" s="33"/>
      <c r="L53" s="73"/>
      <c r="M53" s="73"/>
      <c r="N53" s="73"/>
      <c r="O53" s="73"/>
      <c r="P53" s="73"/>
      <c r="Q53" s="73"/>
      <c r="R53" s="73"/>
      <c r="S53" s="73"/>
      <c r="T53" s="73"/>
      <c r="U53" s="33"/>
      <c r="V53" s="33"/>
      <c r="W53" s="33"/>
      <c r="X53" s="33"/>
      <c r="Y53" s="33"/>
      <c r="Z53" s="33"/>
      <c r="AA53" s="33"/>
      <c r="AB53" s="33"/>
      <c r="AC53" s="33" t="s">
        <v>614</v>
      </c>
      <c r="AD53" t="str">
        <f>VLOOKUP(AC53,GroupLabels!$E$2:$H$145,3,0)</f>
        <v>Indonesia - Indonesian</v>
      </c>
    </row>
    <row r="54" spans="1:30" x14ac:dyDescent="0.25">
      <c r="A54" t="s">
        <v>2995</v>
      </c>
      <c r="B54" s="73">
        <v>8</v>
      </c>
      <c r="C54" s="73">
        <v>6</v>
      </c>
      <c r="D54" s="73">
        <v>4</v>
      </c>
      <c r="E54" s="73">
        <v>4</v>
      </c>
      <c r="F54" s="73">
        <v>5</v>
      </c>
      <c r="G54" s="73">
        <v>5</v>
      </c>
      <c r="H54" s="73">
        <v>4</v>
      </c>
      <c r="I54" s="73">
        <v>5</v>
      </c>
      <c r="J54" s="73">
        <v>5</v>
      </c>
      <c r="K54" s="33"/>
      <c r="L54" s="73"/>
      <c r="M54" s="73"/>
      <c r="N54" s="73"/>
      <c r="O54" s="73"/>
      <c r="P54" s="73"/>
      <c r="Q54" s="73"/>
      <c r="R54" s="73"/>
      <c r="S54" s="73"/>
      <c r="T54" s="73"/>
      <c r="U54" s="33"/>
      <c r="V54" s="33"/>
      <c r="W54" s="33"/>
      <c r="X54" s="33"/>
      <c r="Y54" s="33"/>
      <c r="Z54" s="33"/>
      <c r="AA54" s="33"/>
      <c r="AB54" s="33"/>
      <c r="AC54" s="33" t="s">
        <v>615</v>
      </c>
      <c r="AD54" t="str">
        <f>VLOOKUP(AC54,GroupLabels!$E$2:$H$145,3,0)</f>
        <v>Ireland - English</v>
      </c>
    </row>
    <row r="55" spans="1:30" x14ac:dyDescent="0.25">
      <c r="A55" t="s">
        <v>3088</v>
      </c>
      <c r="B55" s="73">
        <v>8</v>
      </c>
      <c r="C55" s="73">
        <v>6</v>
      </c>
      <c r="D55" s="73">
        <v>4</v>
      </c>
      <c r="E55" s="73">
        <v>4</v>
      </c>
      <c r="F55" s="73">
        <v>5</v>
      </c>
      <c r="G55" s="73">
        <v>5</v>
      </c>
      <c r="H55" s="73">
        <v>4</v>
      </c>
      <c r="I55" s="73">
        <v>5</v>
      </c>
      <c r="J55" s="73">
        <v>5</v>
      </c>
      <c r="K55" s="33"/>
      <c r="L55" s="73"/>
      <c r="M55" s="73"/>
      <c r="N55" s="73"/>
      <c r="O55" s="73"/>
      <c r="P55" s="73"/>
      <c r="Q55" s="73"/>
      <c r="R55" s="73"/>
      <c r="S55" s="73"/>
      <c r="T55" s="73"/>
      <c r="U55" s="33"/>
      <c r="V55" s="33"/>
      <c r="W55" s="33"/>
      <c r="X55" s="33"/>
      <c r="Y55" s="33"/>
      <c r="Z55" s="33"/>
      <c r="AA55" s="33"/>
      <c r="AB55" s="33"/>
      <c r="AC55" s="33" t="s">
        <v>616</v>
      </c>
      <c r="AD55" t="str">
        <f>VLOOKUP(AC55,GroupLabels!$E$2:$H$145,3,0)</f>
        <v>Ireland - Irish Gaeilge</v>
      </c>
    </row>
    <row r="56" spans="1:30" x14ac:dyDescent="0.25">
      <c r="A56" t="s">
        <v>2901</v>
      </c>
      <c r="B56" s="73">
        <v>8</v>
      </c>
      <c r="C56" s="73">
        <v>6</v>
      </c>
      <c r="D56" s="73">
        <v>4</v>
      </c>
      <c r="E56" s="73">
        <v>4</v>
      </c>
      <c r="F56" s="73">
        <v>5</v>
      </c>
      <c r="G56" s="73">
        <v>5</v>
      </c>
      <c r="H56" s="73">
        <v>4</v>
      </c>
      <c r="I56" s="73">
        <v>5</v>
      </c>
      <c r="J56" s="73">
        <v>5</v>
      </c>
      <c r="K56" s="33"/>
      <c r="L56" s="73"/>
      <c r="M56" s="73"/>
      <c r="N56" s="73"/>
      <c r="O56" s="73"/>
      <c r="P56" s="73"/>
      <c r="Q56" s="73"/>
      <c r="R56" s="73"/>
      <c r="S56" s="73"/>
      <c r="T56" s="73"/>
      <c r="U56" s="33"/>
      <c r="V56" s="33"/>
      <c r="W56" s="33"/>
      <c r="X56" s="33"/>
      <c r="Y56" s="33"/>
      <c r="Z56" s="33"/>
      <c r="AA56" s="33"/>
      <c r="AB56" s="33"/>
      <c r="AC56" s="33" t="s">
        <v>617</v>
      </c>
      <c r="AD56" t="str">
        <f>VLOOKUP(AC56,GroupLabels!$E$2:$H$145,3,0)</f>
        <v>Israel - Arabic*</v>
      </c>
    </row>
    <row r="57" spans="1:30" x14ac:dyDescent="0.25">
      <c r="A57" t="s">
        <v>2467</v>
      </c>
      <c r="B57" s="73" t="s">
        <v>3476</v>
      </c>
      <c r="C57" s="73">
        <v>6</v>
      </c>
      <c r="D57" s="73" t="s">
        <v>3476</v>
      </c>
      <c r="E57" s="73">
        <v>4</v>
      </c>
      <c r="F57" s="73">
        <v>5</v>
      </c>
      <c r="G57" s="73">
        <v>5</v>
      </c>
      <c r="H57" s="73">
        <v>4</v>
      </c>
      <c r="I57" s="73">
        <v>5</v>
      </c>
      <c r="J57" s="73">
        <v>5</v>
      </c>
      <c r="K57" s="33"/>
      <c r="L57" s="73"/>
      <c r="M57" s="73"/>
      <c r="N57" s="73"/>
      <c r="O57" s="73"/>
      <c r="P57" s="73"/>
      <c r="Q57" s="73"/>
      <c r="R57" s="73"/>
      <c r="S57" s="73"/>
      <c r="T57" s="73"/>
      <c r="U57" s="33"/>
      <c r="V57" s="33"/>
      <c r="W57" s="33"/>
      <c r="X57" s="33"/>
      <c r="Y57" s="33"/>
      <c r="Z57" s="33"/>
      <c r="AA57" s="33"/>
      <c r="AB57" s="33"/>
      <c r="AC57" s="33" t="s">
        <v>618</v>
      </c>
      <c r="AD57" t="str">
        <f>VLOOKUP(AC57,GroupLabels!$E$2:$H$145,3,0)</f>
        <v>Israel - Haredi*</v>
      </c>
    </row>
    <row r="58" spans="1:30" x14ac:dyDescent="0.25">
      <c r="A58" t="s">
        <v>3094</v>
      </c>
      <c r="B58" s="73">
        <v>8</v>
      </c>
      <c r="C58" s="73">
        <v>6</v>
      </c>
      <c r="D58" s="73">
        <v>4</v>
      </c>
      <c r="E58" s="73">
        <v>4</v>
      </c>
      <c r="F58" s="73">
        <v>5</v>
      </c>
      <c r="G58" s="73">
        <v>5</v>
      </c>
      <c r="H58" s="73">
        <v>4</v>
      </c>
      <c r="I58" s="73">
        <v>5</v>
      </c>
      <c r="J58" s="73">
        <v>5</v>
      </c>
      <c r="K58" s="33"/>
      <c r="L58" s="73"/>
      <c r="M58" s="73"/>
      <c r="N58" s="73"/>
      <c r="O58" s="73"/>
      <c r="P58" s="73"/>
      <c r="Q58" s="73"/>
      <c r="R58" s="73"/>
      <c r="S58" s="73"/>
      <c r="T58" s="73"/>
      <c r="U58" s="33"/>
      <c r="V58" s="33"/>
      <c r="W58" s="33"/>
      <c r="X58" s="33"/>
      <c r="Y58" s="33"/>
      <c r="Z58" s="33"/>
      <c r="AA58" s="33"/>
      <c r="AB58" s="33"/>
      <c r="AC58" s="33" t="s">
        <v>619</v>
      </c>
      <c r="AD58" t="str">
        <f>VLOOKUP(AC58,GroupLabels!$E$2:$H$145,3,0)</f>
        <v>Israel - Hebrew*</v>
      </c>
    </row>
    <row r="59" spans="1:30" x14ac:dyDescent="0.25">
      <c r="A59" t="s">
        <v>2967</v>
      </c>
      <c r="B59" s="73">
        <v>8</v>
      </c>
      <c r="C59" s="73">
        <v>6</v>
      </c>
      <c r="D59" s="73">
        <v>4</v>
      </c>
      <c r="E59" s="73">
        <v>4</v>
      </c>
      <c r="F59" s="73">
        <v>5</v>
      </c>
      <c r="G59" s="73">
        <v>5</v>
      </c>
      <c r="H59" s="73">
        <v>4</v>
      </c>
      <c r="I59" s="73">
        <v>5</v>
      </c>
      <c r="J59" s="73">
        <v>5</v>
      </c>
      <c r="K59" s="33"/>
      <c r="L59" s="73"/>
      <c r="M59" s="73"/>
      <c r="N59" s="73"/>
      <c r="O59" s="73"/>
      <c r="P59" s="73"/>
      <c r="Q59" s="73"/>
      <c r="R59" s="73"/>
      <c r="S59" s="73"/>
      <c r="T59" s="73"/>
      <c r="U59" s="33"/>
      <c r="V59" s="33"/>
      <c r="W59" s="33"/>
      <c r="X59" s="33"/>
      <c r="Y59" s="33"/>
      <c r="Z59" s="33"/>
      <c r="AA59" s="33"/>
      <c r="AB59" s="33"/>
      <c r="AC59" s="33" t="s">
        <v>620</v>
      </c>
      <c r="AD59" t="str">
        <f>VLOOKUP(AC59,GroupLabels!$E$2:$H$145,3,0)</f>
        <v>Italy - German</v>
      </c>
    </row>
    <row r="60" spans="1:30" x14ac:dyDescent="0.25">
      <c r="A60" t="s">
        <v>3126</v>
      </c>
      <c r="B60" s="73">
        <v>8</v>
      </c>
      <c r="C60" s="73">
        <v>6</v>
      </c>
      <c r="D60" s="73">
        <v>4</v>
      </c>
      <c r="E60" s="73">
        <v>4</v>
      </c>
      <c r="F60" s="73">
        <v>5</v>
      </c>
      <c r="G60" s="73">
        <v>5</v>
      </c>
      <c r="H60" s="73">
        <v>4</v>
      </c>
      <c r="I60" s="73">
        <v>5</v>
      </c>
      <c r="J60" s="73">
        <v>5</v>
      </c>
      <c r="K60" s="33"/>
      <c r="L60" s="73"/>
      <c r="M60" s="73"/>
      <c r="N60" s="73"/>
      <c r="O60" s="73"/>
      <c r="P60" s="73"/>
      <c r="Q60" s="73"/>
      <c r="R60" s="73"/>
      <c r="S60" s="73"/>
      <c r="T60" s="73"/>
      <c r="U60" s="33"/>
      <c r="V60" s="33"/>
      <c r="W60" s="33"/>
      <c r="X60" s="33"/>
      <c r="Y60" s="33"/>
      <c r="Z60" s="33"/>
      <c r="AA60" s="33"/>
      <c r="AB60" s="33"/>
      <c r="AC60" s="33" t="s">
        <v>621</v>
      </c>
      <c r="AD60" t="str">
        <f>VLOOKUP(AC60,GroupLabels!$E$2:$H$145,3,0)</f>
        <v>Italy - Italian</v>
      </c>
    </row>
    <row r="61" spans="1:30" x14ac:dyDescent="0.25">
      <c r="A61" t="s">
        <v>768</v>
      </c>
      <c r="B61" s="73">
        <v>8</v>
      </c>
      <c r="C61" s="73">
        <v>6</v>
      </c>
      <c r="D61" s="73">
        <v>4</v>
      </c>
      <c r="E61" s="73" t="s">
        <v>3476</v>
      </c>
      <c r="F61" s="73">
        <v>5</v>
      </c>
      <c r="G61" s="73">
        <v>5</v>
      </c>
      <c r="H61" s="73">
        <v>4</v>
      </c>
      <c r="I61" s="73">
        <v>5</v>
      </c>
      <c r="J61" s="73">
        <v>5</v>
      </c>
      <c r="K61" s="33"/>
      <c r="L61" s="73"/>
      <c r="M61" s="73"/>
      <c r="N61" s="73"/>
      <c r="O61" s="73"/>
      <c r="P61" s="73"/>
      <c r="Q61" s="73"/>
      <c r="R61" s="73"/>
      <c r="S61" s="73"/>
      <c r="T61" s="73"/>
      <c r="U61" s="33"/>
      <c r="V61" s="33"/>
      <c r="W61" s="33"/>
      <c r="X61" s="33"/>
      <c r="Y61" s="33"/>
      <c r="Z61" s="33"/>
      <c r="AA61" s="33"/>
      <c r="AB61" s="33"/>
      <c r="AC61" s="33" t="s">
        <v>622</v>
      </c>
      <c r="AD61" t="str">
        <f>VLOOKUP(AC61,GroupLabels!$E$2:$H$145,3,0)</f>
        <v>Japan - Japanese</v>
      </c>
    </row>
    <row r="62" spans="1:30" x14ac:dyDescent="0.25">
      <c r="A62" t="s">
        <v>2903</v>
      </c>
      <c r="B62" s="73">
        <v>8</v>
      </c>
      <c r="C62" s="73">
        <v>6</v>
      </c>
      <c r="D62" s="73">
        <v>4</v>
      </c>
      <c r="E62" s="73">
        <v>4</v>
      </c>
      <c r="F62" s="73">
        <v>5</v>
      </c>
      <c r="G62" s="73">
        <v>5</v>
      </c>
      <c r="H62" s="73">
        <v>4</v>
      </c>
      <c r="I62" s="73">
        <v>5</v>
      </c>
      <c r="J62" s="73">
        <v>5</v>
      </c>
      <c r="K62" s="33"/>
      <c r="L62" s="73"/>
      <c r="M62" s="73"/>
      <c r="N62" s="73"/>
      <c r="O62" s="73"/>
      <c r="P62" s="73"/>
      <c r="Q62" s="73"/>
      <c r="R62" s="73"/>
      <c r="S62" s="73"/>
      <c r="T62" s="73"/>
      <c r="U62" s="33"/>
      <c r="V62" s="33"/>
      <c r="W62" s="33"/>
      <c r="X62" s="33"/>
      <c r="Y62" s="33"/>
      <c r="Z62" s="33"/>
      <c r="AA62" s="33"/>
      <c r="AB62" s="33"/>
      <c r="AC62" s="33" t="s">
        <v>623</v>
      </c>
      <c r="AD62" t="str">
        <f>VLOOKUP(AC62,GroupLabels!$E$2:$H$145,3,0)</f>
        <v>Jordan - Arabic</v>
      </c>
    </row>
    <row r="63" spans="1:30" x14ac:dyDescent="0.25">
      <c r="A63" t="s">
        <v>3141</v>
      </c>
      <c r="B63" s="73">
        <v>8</v>
      </c>
      <c r="C63" s="73">
        <v>6</v>
      </c>
      <c r="D63" s="73">
        <v>4</v>
      </c>
      <c r="E63" s="73">
        <v>4</v>
      </c>
      <c r="F63" s="73">
        <v>5</v>
      </c>
      <c r="G63" s="73">
        <v>5</v>
      </c>
      <c r="H63" s="73">
        <v>4</v>
      </c>
      <c r="I63" s="73">
        <v>5</v>
      </c>
      <c r="J63" s="73">
        <v>5</v>
      </c>
      <c r="K63" s="33"/>
      <c r="L63" s="73"/>
      <c r="M63" s="73"/>
      <c r="N63" s="73"/>
      <c r="O63" s="73"/>
      <c r="P63" s="73"/>
      <c r="Q63" s="73"/>
      <c r="R63" s="73"/>
      <c r="S63" s="73"/>
      <c r="T63" s="73"/>
      <c r="U63" s="33"/>
      <c r="V63" s="33"/>
      <c r="W63" s="33"/>
      <c r="X63" s="33"/>
      <c r="Y63" s="33"/>
      <c r="Z63" s="33"/>
      <c r="AA63" s="33"/>
      <c r="AB63" s="33"/>
      <c r="AC63" s="33" t="s">
        <v>624</v>
      </c>
      <c r="AD63" t="str">
        <f>VLOOKUP(AC63,GroupLabels!$E$2:$H$145,3,0)</f>
        <v>Kazakhstan - Kazakh</v>
      </c>
    </row>
    <row r="64" spans="1:30" x14ac:dyDescent="0.25">
      <c r="A64" t="s">
        <v>3213</v>
      </c>
      <c r="B64" s="73">
        <v>8</v>
      </c>
      <c r="C64" s="73">
        <v>6</v>
      </c>
      <c r="D64" s="73">
        <v>4</v>
      </c>
      <c r="E64" s="73">
        <v>4</v>
      </c>
      <c r="F64" s="73">
        <v>5</v>
      </c>
      <c r="G64" s="73">
        <v>5</v>
      </c>
      <c r="H64" s="73">
        <v>4</v>
      </c>
      <c r="I64" s="73">
        <v>5</v>
      </c>
      <c r="J64" s="73">
        <v>5</v>
      </c>
      <c r="K64" s="33"/>
      <c r="L64" s="73"/>
      <c r="M64" s="73"/>
      <c r="N64" s="73"/>
      <c r="O64" s="73"/>
      <c r="P64" s="73"/>
      <c r="Q64" s="73"/>
      <c r="R64" s="73"/>
      <c r="S64" s="73"/>
      <c r="T64" s="73"/>
      <c r="U64" s="33"/>
      <c r="V64" s="33"/>
      <c r="W64" s="33"/>
      <c r="X64" s="33"/>
      <c r="Y64" s="33"/>
      <c r="Z64" s="33"/>
      <c r="AA64" s="33"/>
      <c r="AB64" s="33"/>
      <c r="AC64" s="33" t="s">
        <v>625</v>
      </c>
      <c r="AD64" t="str">
        <f>VLOOKUP(AC64,GroupLabels!$E$2:$H$145,3,0)</f>
        <v>Kazakhstan - Russian</v>
      </c>
    </row>
    <row r="65" spans="1:30" x14ac:dyDescent="0.25">
      <c r="A65" t="s">
        <v>940</v>
      </c>
      <c r="B65" s="73">
        <v>8</v>
      </c>
      <c r="C65" s="73">
        <v>6</v>
      </c>
      <c r="D65" s="73">
        <v>4</v>
      </c>
      <c r="E65" s="73">
        <v>4</v>
      </c>
      <c r="F65" s="73">
        <v>5</v>
      </c>
      <c r="G65" s="73">
        <v>5</v>
      </c>
      <c r="H65" s="73">
        <v>4</v>
      </c>
      <c r="I65" s="73">
        <v>5</v>
      </c>
      <c r="J65" s="73">
        <v>5</v>
      </c>
      <c r="K65" s="33"/>
      <c r="L65" s="73"/>
      <c r="M65" s="73"/>
      <c r="N65" s="73"/>
      <c r="O65" s="73"/>
      <c r="P65" s="73"/>
      <c r="Q65" s="73"/>
      <c r="R65" s="73"/>
      <c r="S65" s="73"/>
      <c r="T65" s="73"/>
      <c r="U65" s="33"/>
      <c r="V65" s="33"/>
      <c r="W65" s="33"/>
      <c r="X65" s="33"/>
      <c r="Y65" s="33"/>
      <c r="Z65" s="33"/>
      <c r="AA65" s="33"/>
      <c r="AB65" s="33"/>
      <c r="AC65" s="33" t="s">
        <v>626</v>
      </c>
      <c r="AD65" t="str">
        <f>VLOOKUP(AC65,GroupLabels!$E$2:$H$145,3,0)</f>
        <v>Kenya - English</v>
      </c>
    </row>
    <row r="66" spans="1:30" x14ac:dyDescent="0.25">
      <c r="A66" t="s">
        <v>3154</v>
      </c>
      <c r="B66" s="73">
        <v>8</v>
      </c>
      <c r="C66" s="73">
        <v>6</v>
      </c>
      <c r="D66" s="73">
        <v>4</v>
      </c>
      <c r="E66" s="73">
        <v>4</v>
      </c>
      <c r="F66" s="73">
        <v>5</v>
      </c>
      <c r="G66" s="73">
        <v>5</v>
      </c>
      <c r="H66" s="73">
        <v>4</v>
      </c>
      <c r="I66" s="73">
        <v>5</v>
      </c>
      <c r="J66" s="73">
        <v>5</v>
      </c>
      <c r="K66" s="33"/>
      <c r="L66" s="73"/>
      <c r="M66" s="73"/>
      <c r="N66" s="73"/>
      <c r="O66" s="73"/>
      <c r="P66" s="73"/>
      <c r="Q66" s="73"/>
      <c r="R66" s="73"/>
      <c r="S66" s="73"/>
      <c r="T66" s="73"/>
      <c r="U66" s="33"/>
      <c r="V66" s="33"/>
      <c r="W66" s="33"/>
      <c r="X66" s="33"/>
      <c r="Y66" s="33"/>
      <c r="Z66" s="33"/>
      <c r="AA66" s="33"/>
      <c r="AB66" s="33"/>
      <c r="AC66" s="33" t="s">
        <v>627</v>
      </c>
      <c r="AD66" t="str">
        <f>VLOOKUP(AC66,GroupLabels!$E$2:$H$145,3,0)</f>
        <v>Korea - Korean</v>
      </c>
    </row>
    <row r="67" spans="1:30" x14ac:dyDescent="0.25">
      <c r="A67" t="s">
        <v>3236</v>
      </c>
      <c r="B67" s="73">
        <v>8</v>
      </c>
      <c r="C67" s="73">
        <v>6</v>
      </c>
      <c r="D67" s="73">
        <v>4</v>
      </c>
      <c r="E67" s="73">
        <v>4</v>
      </c>
      <c r="F67" s="73">
        <v>5</v>
      </c>
      <c r="G67" s="73">
        <v>5</v>
      </c>
      <c r="H67" s="73">
        <v>4</v>
      </c>
      <c r="I67" s="73">
        <v>5</v>
      </c>
      <c r="J67" s="73">
        <v>5</v>
      </c>
      <c r="K67" s="33"/>
      <c r="L67" s="73"/>
      <c r="M67" s="73"/>
      <c r="N67" s="73"/>
      <c r="O67" s="73"/>
      <c r="P67" s="73"/>
      <c r="Q67" s="73"/>
      <c r="R67" s="73"/>
      <c r="S67" s="73"/>
      <c r="T67" s="73"/>
      <c r="U67" s="33"/>
      <c r="V67" s="33"/>
      <c r="W67" s="33"/>
      <c r="X67" s="33"/>
      <c r="Y67" s="33"/>
      <c r="Z67" s="33"/>
      <c r="AA67" s="33"/>
      <c r="AB67" s="33"/>
      <c r="AC67" s="33" t="s">
        <v>628</v>
      </c>
      <c r="AD67" t="str">
        <f>VLOOKUP(AC67,GroupLabels!$E$2:$H$145,3,0)</f>
        <v>Kosovo - Albanian*</v>
      </c>
    </row>
    <row r="68" spans="1:30" x14ac:dyDescent="0.25">
      <c r="A68" t="s">
        <v>755</v>
      </c>
      <c r="B68" s="73">
        <v>8</v>
      </c>
      <c r="C68" s="73">
        <v>6</v>
      </c>
      <c r="D68" s="73">
        <v>4</v>
      </c>
      <c r="E68" s="73">
        <v>4</v>
      </c>
      <c r="F68" s="73" t="s">
        <v>3476</v>
      </c>
      <c r="G68" s="73" t="s">
        <v>3476</v>
      </c>
      <c r="H68" s="73">
        <v>4</v>
      </c>
      <c r="I68" s="73">
        <v>5</v>
      </c>
      <c r="J68" s="73">
        <v>5</v>
      </c>
      <c r="K68" s="33"/>
      <c r="L68" s="73"/>
      <c r="M68" s="73"/>
      <c r="N68" s="73"/>
      <c r="O68" s="73"/>
      <c r="P68" s="73"/>
      <c r="Q68" s="73"/>
      <c r="R68" s="73"/>
      <c r="S68" s="73"/>
      <c r="T68" s="73"/>
      <c r="U68" s="33"/>
      <c r="V68" s="33"/>
      <c r="W68" s="33"/>
      <c r="X68" s="33"/>
      <c r="Y68" s="33"/>
      <c r="Z68" s="33"/>
      <c r="AA68" s="33"/>
      <c r="AB68" s="33"/>
      <c r="AC68" s="33" t="s">
        <v>629</v>
      </c>
      <c r="AD68" t="str">
        <f>VLOOKUP(AC68,GroupLabels!$E$2:$H$145,3,0)</f>
        <v>Kurdistan Region (Iraq) - Bahdini*</v>
      </c>
    </row>
    <row r="69" spans="1:30" x14ac:dyDescent="0.25">
      <c r="A69" t="s">
        <v>754</v>
      </c>
      <c r="B69" s="73">
        <v>8</v>
      </c>
      <c r="C69" s="73">
        <v>6</v>
      </c>
      <c r="D69" s="73">
        <v>4</v>
      </c>
      <c r="E69" s="73">
        <v>4</v>
      </c>
      <c r="F69" s="73" t="s">
        <v>3476</v>
      </c>
      <c r="G69" s="73" t="s">
        <v>3476</v>
      </c>
      <c r="H69" s="73">
        <v>4</v>
      </c>
      <c r="I69" s="73">
        <v>5</v>
      </c>
      <c r="J69" s="73">
        <v>5</v>
      </c>
      <c r="K69" s="33"/>
      <c r="L69" s="73"/>
      <c r="M69" s="73"/>
      <c r="N69" s="73"/>
      <c r="O69" s="73"/>
      <c r="P69" s="73"/>
      <c r="Q69" s="73"/>
      <c r="R69" s="73"/>
      <c r="S69" s="73"/>
      <c r="T69" s="73"/>
      <c r="U69" s="33"/>
      <c r="V69" s="33"/>
      <c r="W69" s="33"/>
      <c r="X69" s="33"/>
      <c r="Y69" s="33"/>
      <c r="Z69" s="33"/>
      <c r="AA69" s="33"/>
      <c r="AB69" s="33"/>
      <c r="AC69" s="33" t="s">
        <v>630</v>
      </c>
      <c r="AD69" t="str">
        <f>VLOOKUP(AC69,GroupLabels!$E$2:$H$145,3,0)</f>
        <v>Kurdistan Region (Iraq) - English*</v>
      </c>
    </row>
    <row r="70" spans="1:30" x14ac:dyDescent="0.25">
      <c r="A70" t="s">
        <v>756</v>
      </c>
      <c r="B70" s="73">
        <v>8</v>
      </c>
      <c r="C70" s="73">
        <v>6</v>
      </c>
      <c r="D70" s="73">
        <v>4</v>
      </c>
      <c r="E70" s="73">
        <v>4</v>
      </c>
      <c r="F70" s="73" t="s">
        <v>3476</v>
      </c>
      <c r="G70" s="73" t="s">
        <v>3476</v>
      </c>
      <c r="H70" s="73">
        <v>4</v>
      </c>
      <c r="I70" s="73">
        <v>5</v>
      </c>
      <c r="J70" s="73">
        <v>5</v>
      </c>
      <c r="K70" s="33"/>
      <c r="L70" s="73"/>
      <c r="M70" s="73"/>
      <c r="N70" s="73"/>
      <c r="O70" s="73"/>
      <c r="P70" s="73"/>
      <c r="Q70" s="73"/>
      <c r="R70" s="73"/>
      <c r="S70" s="73"/>
      <c r="T70" s="73"/>
      <c r="U70" s="33"/>
      <c r="V70" s="33"/>
      <c r="W70" s="33"/>
      <c r="X70" s="33"/>
      <c r="Y70" s="33"/>
      <c r="Z70" s="33"/>
      <c r="AA70" s="33"/>
      <c r="AB70" s="33"/>
      <c r="AC70" s="33" t="s">
        <v>631</v>
      </c>
      <c r="AD70" t="str">
        <f>VLOOKUP(AC70,GroupLabels!$E$2:$H$145,3,0)</f>
        <v>Kurdistan Region (Iraq) - Sorani*</v>
      </c>
    </row>
    <row r="71" spans="1:30" x14ac:dyDescent="0.25">
      <c r="A71" t="s">
        <v>3159</v>
      </c>
      <c r="B71" s="73">
        <v>8</v>
      </c>
      <c r="C71" s="73">
        <v>6</v>
      </c>
      <c r="D71" s="73">
        <v>4</v>
      </c>
      <c r="E71" s="73">
        <v>4</v>
      </c>
      <c r="F71" s="73">
        <v>5</v>
      </c>
      <c r="G71" s="73">
        <v>5</v>
      </c>
      <c r="H71" s="73">
        <v>4</v>
      </c>
      <c r="I71" s="73">
        <v>5</v>
      </c>
      <c r="J71" s="73">
        <v>5</v>
      </c>
      <c r="K71" s="33"/>
      <c r="L71" s="73"/>
      <c r="M71" s="73"/>
      <c r="N71" s="73"/>
      <c r="O71" s="73"/>
      <c r="P71" s="73"/>
      <c r="Q71" s="73"/>
      <c r="R71" s="73"/>
      <c r="S71" s="73"/>
      <c r="T71" s="73"/>
      <c r="U71" s="33"/>
      <c r="V71" s="33"/>
      <c r="W71" s="33"/>
      <c r="X71" s="33"/>
      <c r="Y71" s="33"/>
      <c r="Z71" s="33"/>
      <c r="AA71" s="33"/>
      <c r="AB71" s="33"/>
      <c r="AC71" s="33" t="s">
        <v>632</v>
      </c>
      <c r="AD71" t="str">
        <f>VLOOKUP(AC71,GroupLabels!$E$2:$H$145,3,0)</f>
        <v>Kyrgyzstan - Kyrgyz / Kirghiz</v>
      </c>
    </row>
    <row r="72" spans="1:30" x14ac:dyDescent="0.25">
      <c r="A72" t="s">
        <v>3212</v>
      </c>
      <c r="B72" s="73">
        <v>8</v>
      </c>
      <c r="C72" s="73">
        <v>6</v>
      </c>
      <c r="D72" s="73">
        <v>4</v>
      </c>
      <c r="E72" s="73">
        <v>4</v>
      </c>
      <c r="F72" s="73">
        <v>5</v>
      </c>
      <c r="G72" s="73">
        <v>5</v>
      </c>
      <c r="H72" s="73">
        <v>4</v>
      </c>
      <c r="I72" s="73">
        <v>5</v>
      </c>
      <c r="J72" s="73">
        <v>5</v>
      </c>
      <c r="K72" s="33"/>
      <c r="L72" s="73"/>
      <c r="M72" s="73"/>
      <c r="N72" s="73"/>
      <c r="O72" s="73"/>
      <c r="P72" s="73"/>
      <c r="Q72" s="73"/>
      <c r="R72" s="73"/>
      <c r="S72" s="73"/>
      <c r="T72" s="73"/>
      <c r="U72" s="33"/>
      <c r="V72" s="33"/>
      <c r="W72" s="33"/>
      <c r="X72" s="33"/>
      <c r="Y72" s="33"/>
      <c r="Z72" s="33"/>
      <c r="AA72" s="33"/>
      <c r="AB72" s="33"/>
      <c r="AC72" s="33" t="s">
        <v>633</v>
      </c>
      <c r="AD72" t="str">
        <f>VLOOKUP(AC72,GroupLabels!$E$2:$H$145,3,0)</f>
        <v>Kyrgyzstan - Russian</v>
      </c>
    </row>
    <row r="73" spans="1:30" x14ac:dyDescent="0.25">
      <c r="A73" t="s">
        <v>3266</v>
      </c>
      <c r="B73" s="73">
        <v>8</v>
      </c>
      <c r="C73" s="73">
        <v>6</v>
      </c>
      <c r="D73" s="73">
        <v>4</v>
      </c>
      <c r="E73" s="73">
        <v>4</v>
      </c>
      <c r="F73" s="73">
        <v>5</v>
      </c>
      <c r="G73" s="73">
        <v>5</v>
      </c>
      <c r="H73" s="73">
        <v>4</v>
      </c>
      <c r="I73" s="73">
        <v>5</v>
      </c>
      <c r="J73" s="73">
        <v>5</v>
      </c>
      <c r="K73" s="33"/>
      <c r="L73" s="73"/>
      <c r="M73" s="73"/>
      <c r="N73" s="73"/>
      <c r="O73" s="73"/>
      <c r="P73" s="73"/>
      <c r="Q73" s="73"/>
      <c r="R73" s="73"/>
      <c r="S73" s="73"/>
      <c r="T73" s="73"/>
      <c r="U73" s="33"/>
      <c r="V73" s="33"/>
      <c r="W73" s="33"/>
      <c r="X73" s="33"/>
      <c r="Y73" s="33"/>
      <c r="Z73" s="33"/>
      <c r="AA73" s="33"/>
      <c r="AB73" s="33"/>
      <c r="AC73" s="33" t="s">
        <v>634</v>
      </c>
      <c r="AD73" t="str">
        <f>VLOOKUP(AC73,GroupLabels!$E$2:$H$145,3,0)</f>
        <v>Kyrgyzstan - Uzbekistani</v>
      </c>
    </row>
    <row r="74" spans="1:30" x14ac:dyDescent="0.25">
      <c r="A74" t="s">
        <v>3167</v>
      </c>
      <c r="B74" s="73">
        <v>8</v>
      </c>
      <c r="C74" s="73">
        <v>6</v>
      </c>
      <c r="D74" s="73">
        <v>4</v>
      </c>
      <c r="E74" s="73">
        <v>4</v>
      </c>
      <c r="F74" s="73">
        <v>5</v>
      </c>
      <c r="G74" s="73">
        <v>5</v>
      </c>
      <c r="H74" s="73">
        <v>4</v>
      </c>
      <c r="I74" s="73">
        <v>5</v>
      </c>
      <c r="J74" s="73">
        <v>5</v>
      </c>
      <c r="K74" s="33"/>
      <c r="L74" s="73"/>
      <c r="M74" s="73"/>
      <c r="N74" s="73"/>
      <c r="O74" s="73"/>
      <c r="P74" s="73"/>
      <c r="Q74" s="73"/>
      <c r="R74" s="73"/>
      <c r="S74" s="73"/>
      <c r="T74" s="73"/>
      <c r="U74" s="33"/>
      <c r="V74" s="33"/>
      <c r="W74" s="33"/>
      <c r="X74" s="33"/>
      <c r="Y74" s="33"/>
      <c r="Z74" s="33"/>
      <c r="AA74" s="33"/>
      <c r="AB74" s="33"/>
      <c r="AC74" s="33" t="s">
        <v>635</v>
      </c>
      <c r="AD74" t="str">
        <f>VLOOKUP(AC74,GroupLabels!$E$2:$H$145,3,0)</f>
        <v>Latvia - Latvian</v>
      </c>
    </row>
    <row r="75" spans="1:30" x14ac:dyDescent="0.25">
      <c r="A75" t="s">
        <v>3003</v>
      </c>
      <c r="B75" s="73">
        <v>8</v>
      </c>
      <c r="C75" s="73">
        <v>6</v>
      </c>
      <c r="D75" s="73">
        <v>4</v>
      </c>
      <c r="E75" s="73">
        <v>4</v>
      </c>
      <c r="F75" s="73">
        <v>5</v>
      </c>
      <c r="G75" s="73">
        <v>5</v>
      </c>
      <c r="H75" s="73">
        <v>4</v>
      </c>
      <c r="I75" s="73">
        <v>5</v>
      </c>
      <c r="J75" s="73">
        <v>5</v>
      </c>
      <c r="K75" s="33"/>
      <c r="L75" s="73"/>
      <c r="M75" s="73"/>
      <c r="N75" s="73"/>
      <c r="O75" s="73"/>
      <c r="P75" s="73"/>
      <c r="Q75" s="73"/>
      <c r="R75" s="73"/>
      <c r="S75" s="73"/>
      <c r="T75" s="73"/>
      <c r="U75" s="33"/>
      <c r="V75" s="33"/>
      <c r="W75" s="33"/>
      <c r="X75" s="33"/>
      <c r="Y75" s="33"/>
      <c r="Z75" s="33"/>
      <c r="AA75" s="33"/>
      <c r="AB75" s="33"/>
      <c r="AC75" s="33" t="s">
        <v>636</v>
      </c>
      <c r="AD75" t="str">
        <f>VLOOKUP(AC75,GroupLabels!$E$2:$H$145,3,0)</f>
        <v>Lebanon - English*</v>
      </c>
    </row>
    <row r="76" spans="1:30" x14ac:dyDescent="0.25">
      <c r="A76" t="s">
        <v>3084</v>
      </c>
      <c r="B76" s="73">
        <v>8</v>
      </c>
      <c r="C76" s="73">
        <v>6</v>
      </c>
      <c r="D76" s="73">
        <v>4</v>
      </c>
      <c r="E76" s="73">
        <v>4</v>
      </c>
      <c r="F76" s="73">
        <v>5</v>
      </c>
      <c r="G76" s="73">
        <v>5</v>
      </c>
      <c r="H76" s="73">
        <v>4</v>
      </c>
      <c r="I76" s="73">
        <v>5</v>
      </c>
      <c r="J76" s="73">
        <v>5</v>
      </c>
      <c r="K76" s="33"/>
      <c r="L76" s="73"/>
      <c r="M76" s="73"/>
      <c r="N76" s="73"/>
      <c r="O76" s="73"/>
      <c r="P76" s="73"/>
      <c r="Q76" s="73"/>
      <c r="R76" s="73"/>
      <c r="S76" s="73"/>
      <c r="T76" s="73"/>
      <c r="U76" s="33"/>
      <c r="V76" s="33"/>
      <c r="W76" s="33"/>
      <c r="X76" s="33"/>
      <c r="Y76" s="33"/>
      <c r="Z76" s="33"/>
      <c r="AA76" s="33"/>
      <c r="AB76" s="33"/>
      <c r="AC76" s="33" t="s">
        <v>637</v>
      </c>
      <c r="AD76" t="str">
        <f>VLOOKUP(AC76,GroupLabels!$E$2:$H$145,3,0)</f>
        <v>Lebanon - French*</v>
      </c>
    </row>
    <row r="77" spans="1:30" x14ac:dyDescent="0.25">
      <c r="A77" t="s">
        <v>3163</v>
      </c>
      <c r="B77" s="73">
        <v>8</v>
      </c>
      <c r="C77" s="73">
        <v>6</v>
      </c>
      <c r="D77" s="73">
        <v>4</v>
      </c>
      <c r="E77" s="73">
        <v>4</v>
      </c>
      <c r="F77" s="73">
        <v>5</v>
      </c>
      <c r="G77" s="73">
        <v>5</v>
      </c>
      <c r="H77" s="73">
        <v>4</v>
      </c>
      <c r="I77" s="73">
        <v>5</v>
      </c>
      <c r="J77" s="73">
        <v>5</v>
      </c>
      <c r="K77" s="33"/>
      <c r="L77" s="73"/>
      <c r="M77" s="73"/>
      <c r="N77" s="73"/>
      <c r="O77" s="73"/>
      <c r="P77" s="73"/>
      <c r="Q77" s="73"/>
      <c r="R77" s="73"/>
      <c r="S77" s="73"/>
      <c r="T77" s="73"/>
      <c r="U77" s="33"/>
      <c r="V77" s="33"/>
      <c r="W77" s="33"/>
      <c r="X77" s="33"/>
      <c r="Y77" s="33"/>
      <c r="Z77" s="33"/>
      <c r="AA77" s="33"/>
      <c r="AB77" s="33"/>
      <c r="AC77" s="33" t="s">
        <v>638</v>
      </c>
      <c r="AD77" t="str">
        <f>VLOOKUP(AC77,GroupLabels!$E$2:$H$145,3,0)</f>
        <v>Lithuania - Lithuanian</v>
      </c>
    </row>
    <row r="78" spans="1:30" x14ac:dyDescent="0.25">
      <c r="A78" t="s">
        <v>3192</v>
      </c>
      <c r="B78" s="73">
        <v>8</v>
      </c>
      <c r="C78" s="73">
        <v>6</v>
      </c>
      <c r="D78" s="73">
        <v>4</v>
      </c>
      <c r="E78" s="73">
        <v>4</v>
      </c>
      <c r="F78" s="73">
        <v>5</v>
      </c>
      <c r="G78" s="73">
        <v>5</v>
      </c>
      <c r="H78" s="73">
        <v>4</v>
      </c>
      <c r="I78" s="73">
        <v>5</v>
      </c>
      <c r="J78" s="73">
        <v>5</v>
      </c>
      <c r="K78" s="33"/>
      <c r="L78" s="73"/>
      <c r="M78" s="73"/>
      <c r="N78" s="73"/>
      <c r="O78" s="73"/>
      <c r="P78" s="73"/>
      <c r="Q78" s="73"/>
      <c r="R78" s="73"/>
      <c r="S78" s="73"/>
      <c r="T78" s="73"/>
      <c r="U78" s="33"/>
      <c r="V78" s="33"/>
      <c r="W78" s="33"/>
      <c r="X78" s="33"/>
      <c r="Y78" s="33"/>
      <c r="Z78" s="33"/>
      <c r="AA78" s="33"/>
      <c r="AB78" s="33"/>
      <c r="AC78" s="33" t="s">
        <v>639</v>
      </c>
      <c r="AD78" t="str">
        <f>VLOOKUP(AC78,GroupLabels!$E$2:$H$145,3,0)</f>
        <v>Lithuania - Polish</v>
      </c>
    </row>
    <row r="79" spans="1:30" x14ac:dyDescent="0.25">
      <c r="A79" t="s">
        <v>3214</v>
      </c>
      <c r="B79" s="73">
        <v>8</v>
      </c>
      <c r="C79" s="73">
        <v>6</v>
      </c>
      <c r="D79" s="73">
        <v>4</v>
      </c>
      <c r="E79" s="73">
        <v>4</v>
      </c>
      <c r="F79" s="73">
        <v>5</v>
      </c>
      <c r="G79" s="73">
        <v>5</v>
      </c>
      <c r="H79" s="73">
        <v>4</v>
      </c>
      <c r="I79" s="73">
        <v>5</v>
      </c>
      <c r="J79" s="73">
        <v>5</v>
      </c>
      <c r="K79" s="33"/>
      <c r="L79" s="73"/>
      <c r="M79" s="73"/>
      <c r="N79" s="73"/>
      <c r="O79" s="73"/>
      <c r="P79" s="73"/>
      <c r="Q79" s="73"/>
      <c r="R79" s="73"/>
      <c r="S79" s="73"/>
      <c r="T79" s="73"/>
      <c r="U79" s="33"/>
      <c r="V79" s="33"/>
      <c r="W79" s="33"/>
      <c r="X79" s="33"/>
      <c r="Y79" s="33"/>
      <c r="Z79" s="33"/>
      <c r="AA79" s="33"/>
      <c r="AB79" s="33"/>
      <c r="AC79" s="33" t="s">
        <v>640</v>
      </c>
      <c r="AD79" t="str">
        <f>VLOOKUP(AC79,GroupLabels!$E$2:$H$145,3,0)</f>
        <v>Lithuania - Russian</v>
      </c>
    </row>
    <row r="80" spans="1:30" x14ac:dyDescent="0.25">
      <c r="A80" t="s">
        <v>3004</v>
      </c>
      <c r="B80" s="73">
        <v>8</v>
      </c>
      <c r="C80" s="73">
        <v>6</v>
      </c>
      <c r="D80" s="73">
        <v>4</v>
      </c>
      <c r="E80" s="73">
        <v>4</v>
      </c>
      <c r="F80" s="73">
        <v>5</v>
      </c>
      <c r="G80" s="73">
        <v>5</v>
      </c>
      <c r="H80" s="73">
        <v>4</v>
      </c>
      <c r="I80" s="73">
        <v>5</v>
      </c>
      <c r="J80" s="73">
        <v>5</v>
      </c>
      <c r="K80" s="33"/>
      <c r="L80" s="73"/>
      <c r="M80" s="73"/>
      <c r="N80" s="73"/>
      <c r="O80" s="73"/>
      <c r="P80" s="73"/>
      <c r="Q80" s="73"/>
      <c r="R80" s="73"/>
      <c r="S80" s="73"/>
      <c r="T80" s="73"/>
      <c r="U80" s="33"/>
      <c r="V80" s="33"/>
      <c r="W80" s="33"/>
      <c r="X80" s="33"/>
      <c r="Y80" s="33"/>
      <c r="Z80" s="33"/>
      <c r="AA80" s="33"/>
      <c r="AB80" s="33"/>
      <c r="AC80" s="33" t="s">
        <v>641</v>
      </c>
      <c r="AD80" t="str">
        <f>VLOOKUP(AC80,GroupLabels!$E$2:$H$145,3,0)</f>
        <v>Luxembourg - English</v>
      </c>
    </row>
    <row r="81" spans="1:30" x14ac:dyDescent="0.25">
      <c r="A81" t="s">
        <v>3085</v>
      </c>
      <c r="B81" s="73">
        <v>8</v>
      </c>
      <c r="C81" s="73">
        <v>6</v>
      </c>
      <c r="D81" s="73">
        <v>4</v>
      </c>
      <c r="E81" s="73">
        <v>4</v>
      </c>
      <c r="F81" s="73">
        <v>5</v>
      </c>
      <c r="G81" s="73">
        <v>5</v>
      </c>
      <c r="H81" s="73">
        <v>4</v>
      </c>
      <c r="I81" s="73">
        <v>5</v>
      </c>
      <c r="J81" s="73">
        <v>5</v>
      </c>
      <c r="K81" s="33"/>
      <c r="L81" s="73"/>
      <c r="M81" s="73"/>
      <c r="N81" s="73"/>
      <c r="O81" s="73"/>
      <c r="P81" s="73"/>
      <c r="Q81" s="73"/>
      <c r="R81" s="73"/>
      <c r="S81" s="73"/>
      <c r="T81" s="73"/>
      <c r="U81" s="33"/>
      <c r="V81" s="33"/>
      <c r="W81" s="33"/>
      <c r="X81" s="33"/>
      <c r="Y81" s="33"/>
      <c r="Z81" s="33"/>
      <c r="AA81" s="33"/>
      <c r="AB81" s="33"/>
      <c r="AC81" s="33" t="s">
        <v>642</v>
      </c>
      <c r="AD81" t="str">
        <f>VLOOKUP(AC81,GroupLabels!$E$2:$H$145,3,0)</f>
        <v>Luxembourg - French</v>
      </c>
    </row>
    <row r="82" spans="1:30" x14ac:dyDescent="0.25">
      <c r="A82" t="s">
        <v>2969</v>
      </c>
      <c r="B82" s="73">
        <v>8</v>
      </c>
      <c r="C82" s="73">
        <v>6</v>
      </c>
      <c r="D82" s="73">
        <v>4</v>
      </c>
      <c r="E82" s="73">
        <v>4</v>
      </c>
      <c r="F82" s="73">
        <v>5</v>
      </c>
      <c r="G82" s="73">
        <v>5</v>
      </c>
      <c r="H82" s="73">
        <v>4</v>
      </c>
      <c r="I82" s="73">
        <v>5</v>
      </c>
      <c r="J82" s="73">
        <v>5</v>
      </c>
      <c r="K82" s="33"/>
      <c r="L82" s="73"/>
      <c r="M82" s="73"/>
      <c r="N82" s="73"/>
      <c r="O82" s="73"/>
      <c r="P82" s="73"/>
      <c r="Q82" s="73"/>
      <c r="R82" s="73"/>
      <c r="S82" s="73"/>
      <c r="T82" s="73"/>
      <c r="U82" s="33"/>
      <c r="V82" s="33"/>
      <c r="W82" s="33"/>
      <c r="X82" s="33"/>
      <c r="Y82" s="33"/>
      <c r="Z82" s="33"/>
      <c r="AA82" s="33"/>
      <c r="AB82" s="33"/>
      <c r="AC82" s="33" t="s">
        <v>643</v>
      </c>
      <c r="AD82" t="str">
        <f>VLOOKUP(AC82,GroupLabels!$E$2:$H$145,3,0)</f>
        <v>Luxembourg - German</v>
      </c>
    </row>
    <row r="83" spans="1:30" x14ac:dyDescent="0.25">
      <c r="A83" t="s">
        <v>3007</v>
      </c>
      <c r="B83" s="73">
        <v>8</v>
      </c>
      <c r="C83" s="73">
        <v>6</v>
      </c>
      <c r="D83" s="73">
        <v>4</v>
      </c>
      <c r="E83" s="73">
        <v>4</v>
      </c>
      <c r="F83" s="73">
        <v>5</v>
      </c>
      <c r="G83" s="73">
        <v>5</v>
      </c>
      <c r="H83" s="73">
        <v>4</v>
      </c>
      <c r="I83" s="73">
        <v>5</v>
      </c>
      <c r="J83" s="73">
        <v>5</v>
      </c>
      <c r="K83" s="33"/>
      <c r="L83" s="73"/>
      <c r="M83" s="73"/>
      <c r="N83" s="73"/>
      <c r="O83" s="73"/>
      <c r="P83" s="73"/>
      <c r="Q83" s="73"/>
      <c r="R83" s="73"/>
      <c r="S83" s="73"/>
      <c r="T83" s="73"/>
      <c r="U83" s="33"/>
      <c r="V83" s="33"/>
      <c r="W83" s="33"/>
      <c r="X83" s="33"/>
      <c r="Y83" s="33"/>
      <c r="Z83" s="33"/>
      <c r="AA83" s="33"/>
      <c r="AB83" s="33"/>
      <c r="AC83" s="33" t="s">
        <v>644</v>
      </c>
      <c r="AD83" t="str">
        <f>VLOOKUP(AC83,GroupLabels!$E$2:$H$145,3,0)</f>
        <v>Macao (China) - English</v>
      </c>
    </row>
    <row r="84" spans="1:30" x14ac:dyDescent="0.25">
      <c r="A84" t="s">
        <v>3200</v>
      </c>
      <c r="B84" s="73">
        <v>8</v>
      </c>
      <c r="C84" s="73">
        <v>6</v>
      </c>
      <c r="D84" s="73">
        <v>4</v>
      </c>
      <c r="E84" s="73">
        <v>4</v>
      </c>
      <c r="F84" s="73">
        <v>5</v>
      </c>
      <c r="G84" s="73">
        <v>5</v>
      </c>
      <c r="H84" s="73">
        <v>4</v>
      </c>
      <c r="I84" s="73">
        <v>5</v>
      </c>
      <c r="J84" s="73">
        <v>5</v>
      </c>
      <c r="K84" s="33"/>
      <c r="L84" s="73"/>
      <c r="M84" s="73"/>
      <c r="N84" s="73"/>
      <c r="O84" s="73"/>
      <c r="P84" s="73"/>
      <c r="Q84" s="73"/>
      <c r="R84" s="73"/>
      <c r="S84" s="73"/>
      <c r="T84" s="73"/>
      <c r="U84" s="33"/>
      <c r="V84" s="33"/>
      <c r="W84" s="33"/>
      <c r="X84" s="33"/>
      <c r="Y84" s="33"/>
      <c r="Z84" s="33"/>
      <c r="AA84" s="33"/>
      <c r="AB84" s="33"/>
      <c r="AC84" s="33" t="s">
        <v>645</v>
      </c>
      <c r="AD84" t="str">
        <f>VLOOKUP(AC84,GroupLabels!$E$2:$H$145,3,0)</f>
        <v>Macao (China) - Portuguese</v>
      </c>
    </row>
    <row r="85" spans="1:30" x14ac:dyDescent="0.25">
      <c r="A85" t="s">
        <v>3279</v>
      </c>
      <c r="B85" s="73">
        <v>8</v>
      </c>
      <c r="C85" s="73">
        <v>6</v>
      </c>
      <c r="D85" s="73">
        <v>4</v>
      </c>
      <c r="E85" s="73">
        <v>4</v>
      </c>
      <c r="F85" s="73">
        <v>5</v>
      </c>
      <c r="G85" s="73">
        <v>5</v>
      </c>
      <c r="H85" s="73">
        <v>4</v>
      </c>
      <c r="I85" s="73">
        <v>5</v>
      </c>
      <c r="J85" s="73">
        <v>5</v>
      </c>
      <c r="K85" s="33"/>
      <c r="L85" s="73"/>
      <c r="M85" s="73"/>
      <c r="N85" s="73"/>
      <c r="O85" s="73"/>
      <c r="P85" s="73"/>
      <c r="Q85" s="73"/>
      <c r="R85" s="73"/>
      <c r="S85" s="73"/>
      <c r="T85" s="73"/>
      <c r="U85" s="33"/>
      <c r="V85" s="33"/>
      <c r="W85" s="33"/>
      <c r="X85" s="33"/>
      <c r="Y85" s="33"/>
      <c r="Z85" s="33"/>
      <c r="AA85" s="33"/>
      <c r="AB85" s="33"/>
      <c r="AC85" s="33" t="s">
        <v>646</v>
      </c>
      <c r="AD85" t="str">
        <f>VLOOKUP(AC85,GroupLabels!$E$2:$H$145,3,0)</f>
        <v>Macao (China) - Chinese</v>
      </c>
    </row>
    <row r="86" spans="1:30" x14ac:dyDescent="0.25">
      <c r="A86" t="s">
        <v>3234</v>
      </c>
      <c r="B86" s="73">
        <v>8</v>
      </c>
      <c r="C86" s="73">
        <v>6</v>
      </c>
      <c r="D86" s="73">
        <v>4</v>
      </c>
      <c r="E86" s="73">
        <v>4</v>
      </c>
      <c r="F86" s="73">
        <v>5</v>
      </c>
      <c r="G86" s="73">
        <v>5</v>
      </c>
      <c r="H86" s="73">
        <v>4</v>
      </c>
      <c r="I86" s="73">
        <v>5</v>
      </c>
      <c r="J86" s="73">
        <v>5</v>
      </c>
      <c r="K86" s="33"/>
      <c r="L86" s="73"/>
      <c r="M86" s="73"/>
      <c r="N86" s="73"/>
      <c r="O86" s="73"/>
      <c r="P86" s="73"/>
      <c r="Q86" s="73"/>
      <c r="R86" s="73"/>
      <c r="S86" s="73"/>
      <c r="T86" s="73"/>
      <c r="U86" s="33"/>
      <c r="V86" s="33"/>
      <c r="W86" s="33"/>
      <c r="X86" s="33"/>
      <c r="Y86" s="33"/>
      <c r="Z86" s="33"/>
      <c r="AA86" s="33"/>
      <c r="AB86" s="33"/>
      <c r="AC86" s="33" t="s">
        <v>647</v>
      </c>
      <c r="AD86" t="str">
        <f>VLOOKUP(AC86,GroupLabels!$E$2:$H$145,3,0)</f>
        <v>Macedonia - Albanian</v>
      </c>
    </row>
    <row r="87" spans="1:30" x14ac:dyDescent="0.25">
      <c r="A87" t="s">
        <v>3172</v>
      </c>
      <c r="B87" s="73">
        <v>8</v>
      </c>
      <c r="C87" s="73">
        <v>6</v>
      </c>
      <c r="D87" s="73">
        <v>4</v>
      </c>
      <c r="E87" s="73">
        <v>4</v>
      </c>
      <c r="F87" s="73">
        <v>5</v>
      </c>
      <c r="G87" s="73">
        <v>5</v>
      </c>
      <c r="H87" s="73">
        <v>4</v>
      </c>
      <c r="I87" s="73">
        <v>5</v>
      </c>
      <c r="J87" s="73">
        <v>5</v>
      </c>
      <c r="K87" s="33"/>
      <c r="L87" s="73"/>
      <c r="M87" s="73"/>
      <c r="N87" s="73"/>
      <c r="O87" s="73"/>
      <c r="P87" s="73"/>
      <c r="Q87" s="73"/>
      <c r="R87" s="73"/>
      <c r="S87" s="73"/>
      <c r="T87" s="73"/>
      <c r="U87" s="33"/>
      <c r="V87" s="33"/>
      <c r="W87" s="33"/>
      <c r="X87" s="33"/>
      <c r="Y87" s="33"/>
      <c r="Z87" s="33"/>
      <c r="AA87" s="33"/>
      <c r="AB87" s="33"/>
      <c r="AC87" s="33" t="s">
        <v>648</v>
      </c>
      <c r="AD87" t="str">
        <f>VLOOKUP(AC87,GroupLabels!$E$2:$H$145,3,0)</f>
        <v>Macedonia - Macedonian</v>
      </c>
    </row>
    <row r="88" spans="1:30" x14ac:dyDescent="0.25">
      <c r="A88" t="s">
        <v>3013</v>
      </c>
      <c r="B88" s="73">
        <v>8</v>
      </c>
      <c r="C88" s="73">
        <v>6</v>
      </c>
      <c r="D88" s="73">
        <v>4</v>
      </c>
      <c r="E88" s="73">
        <v>4</v>
      </c>
      <c r="F88" s="73">
        <v>5</v>
      </c>
      <c r="G88" s="73">
        <v>5</v>
      </c>
      <c r="H88" s="73">
        <v>4</v>
      </c>
      <c r="I88" s="73">
        <v>5</v>
      </c>
      <c r="J88" s="73">
        <v>5</v>
      </c>
      <c r="K88" s="33"/>
      <c r="L88" s="73"/>
      <c r="M88" s="73"/>
      <c r="N88" s="73"/>
      <c r="O88" s="73"/>
      <c r="P88" s="73"/>
      <c r="Q88" s="73"/>
      <c r="R88" s="73"/>
      <c r="S88" s="73"/>
      <c r="T88" s="73"/>
      <c r="U88" s="33"/>
      <c r="V88" s="33"/>
      <c r="W88" s="33"/>
      <c r="X88" s="33"/>
      <c r="Y88" s="33"/>
      <c r="Z88" s="33"/>
      <c r="AA88" s="33"/>
      <c r="AB88" s="33"/>
      <c r="AC88" s="33" t="s">
        <v>649</v>
      </c>
      <c r="AD88" t="str">
        <f>VLOOKUP(AC88,GroupLabels!$E$2:$H$145,3,0)</f>
        <v>Malaysia - English</v>
      </c>
    </row>
    <row r="89" spans="1:30" x14ac:dyDescent="0.25">
      <c r="A89" t="s">
        <v>3179</v>
      </c>
      <c r="B89" s="73">
        <v>8</v>
      </c>
      <c r="C89" s="73">
        <v>6</v>
      </c>
      <c r="D89" s="73">
        <v>4</v>
      </c>
      <c r="E89" s="73">
        <v>4</v>
      </c>
      <c r="F89" s="73">
        <v>5</v>
      </c>
      <c r="G89" s="73">
        <v>5</v>
      </c>
      <c r="H89" s="73">
        <v>4</v>
      </c>
      <c r="I89" s="73">
        <v>5</v>
      </c>
      <c r="J89" s="73">
        <v>5</v>
      </c>
      <c r="K89" s="33"/>
      <c r="L89" s="73"/>
      <c r="M89" s="73"/>
      <c r="N89" s="73"/>
      <c r="O89" s="73"/>
      <c r="P89" s="73"/>
      <c r="Q89" s="73"/>
      <c r="R89" s="73"/>
      <c r="S89" s="73"/>
      <c r="T89" s="73"/>
      <c r="U89" s="33"/>
      <c r="V89" s="33"/>
      <c r="W89" s="33"/>
      <c r="X89" s="33"/>
      <c r="Y89" s="33"/>
      <c r="Z89" s="33"/>
      <c r="AA89" s="33"/>
      <c r="AB89" s="33"/>
      <c r="AC89" s="33" t="s">
        <v>650</v>
      </c>
      <c r="AD89" t="str">
        <f>VLOOKUP(AC89,GroupLabels!$E$2:$H$145,3,0)</f>
        <v>Malaysia - Malay</v>
      </c>
    </row>
    <row r="90" spans="1:30" x14ac:dyDescent="0.25">
      <c r="A90" t="s">
        <v>3009</v>
      </c>
      <c r="B90" s="73">
        <v>8</v>
      </c>
      <c r="C90" s="73">
        <v>6</v>
      </c>
      <c r="D90" s="73">
        <v>4</v>
      </c>
      <c r="E90" s="73">
        <v>4</v>
      </c>
      <c r="F90" s="73">
        <v>5</v>
      </c>
      <c r="G90" s="73">
        <v>5</v>
      </c>
      <c r="H90" s="73">
        <v>4</v>
      </c>
      <c r="I90" s="73">
        <v>5</v>
      </c>
      <c r="J90" s="73">
        <v>5</v>
      </c>
      <c r="K90" s="33"/>
      <c r="L90" s="73"/>
      <c r="M90" s="73"/>
      <c r="N90" s="73"/>
      <c r="O90" s="73"/>
      <c r="P90" s="73"/>
      <c r="Q90" s="73"/>
      <c r="R90" s="73"/>
      <c r="S90" s="73"/>
      <c r="T90" s="73"/>
      <c r="U90" s="33"/>
      <c r="V90" s="33"/>
      <c r="W90" s="33"/>
      <c r="X90" s="33"/>
      <c r="Y90" s="33"/>
      <c r="Z90" s="33"/>
      <c r="AA90" s="33"/>
      <c r="AB90" s="33"/>
      <c r="AC90" s="33" t="s">
        <v>651</v>
      </c>
      <c r="AD90" t="str">
        <f>VLOOKUP(AC90,GroupLabels!$E$2:$H$145,3,0)</f>
        <v>Malta - English</v>
      </c>
    </row>
    <row r="91" spans="1:30" x14ac:dyDescent="0.25">
      <c r="A91" t="s">
        <v>757</v>
      </c>
      <c r="B91" s="73">
        <v>8</v>
      </c>
      <c r="C91" s="73">
        <v>6</v>
      </c>
      <c r="D91" s="73">
        <v>4</v>
      </c>
      <c r="E91" s="73">
        <v>4</v>
      </c>
      <c r="F91" s="73" t="s">
        <v>3476</v>
      </c>
      <c r="G91" s="73" t="s">
        <v>3476</v>
      </c>
      <c r="H91" s="73">
        <v>4</v>
      </c>
      <c r="I91" s="73">
        <v>5</v>
      </c>
      <c r="J91" s="73">
        <v>5</v>
      </c>
      <c r="K91" s="33"/>
      <c r="L91" s="73"/>
      <c r="M91" s="73"/>
      <c r="N91" s="73"/>
      <c r="O91" s="73"/>
      <c r="P91" s="73"/>
      <c r="Q91" s="73"/>
      <c r="R91" s="73"/>
      <c r="S91" s="73"/>
      <c r="T91" s="73"/>
      <c r="U91" s="33"/>
      <c r="V91" s="33"/>
      <c r="W91" s="33"/>
      <c r="X91" s="33"/>
      <c r="Y91" s="33"/>
      <c r="Z91" s="33"/>
      <c r="AA91" s="33"/>
      <c r="AB91" s="33"/>
      <c r="AC91" s="33" t="s">
        <v>652</v>
      </c>
      <c r="AD91" t="str">
        <f>VLOOKUP(AC91,GroupLabels!$E$2:$H$145,3,0)</f>
        <v>Mauritius - English</v>
      </c>
    </row>
    <row r="92" spans="1:30" x14ac:dyDescent="0.25">
      <c r="A92" t="s">
        <v>3053</v>
      </c>
      <c r="B92" s="73">
        <v>8</v>
      </c>
      <c r="C92" s="73">
        <v>6</v>
      </c>
      <c r="D92" s="73">
        <v>4</v>
      </c>
      <c r="E92" s="73">
        <v>4</v>
      </c>
      <c r="F92" s="73">
        <v>5</v>
      </c>
      <c r="G92" s="73">
        <v>5</v>
      </c>
      <c r="H92" s="73">
        <v>4</v>
      </c>
      <c r="I92" s="73">
        <v>5</v>
      </c>
      <c r="J92" s="73">
        <v>5</v>
      </c>
      <c r="K92" s="33"/>
      <c r="L92" s="73"/>
      <c r="M92" s="73"/>
      <c r="N92" s="73"/>
      <c r="O92" s="73"/>
      <c r="P92" s="73"/>
      <c r="Q92" s="73"/>
      <c r="R92" s="73"/>
      <c r="S92" s="73"/>
      <c r="T92" s="73"/>
      <c r="U92" s="33"/>
      <c r="V92" s="33"/>
      <c r="W92" s="33"/>
      <c r="X92" s="33"/>
      <c r="Y92" s="33"/>
      <c r="Z92" s="33"/>
      <c r="AA92" s="33"/>
      <c r="AB92" s="33"/>
      <c r="AC92" s="33" t="s">
        <v>653</v>
      </c>
      <c r="AD92" t="str">
        <f>VLOOKUP(AC92,GroupLabels!$E$2:$H$145,3,0)</f>
        <v>Mexico - Spanish</v>
      </c>
    </row>
    <row r="93" spans="1:30" x14ac:dyDescent="0.25">
      <c r="A93" t="s">
        <v>3206</v>
      </c>
      <c r="B93" s="73">
        <v>8</v>
      </c>
      <c r="C93" s="73">
        <v>6</v>
      </c>
      <c r="D93" s="73">
        <v>4</v>
      </c>
      <c r="E93" s="73">
        <v>4</v>
      </c>
      <c r="F93" s="73">
        <v>5</v>
      </c>
      <c r="G93" s="73">
        <v>5</v>
      </c>
      <c r="H93" s="73">
        <v>4</v>
      </c>
      <c r="I93" s="73">
        <v>5</v>
      </c>
      <c r="J93" s="73">
        <v>5</v>
      </c>
      <c r="K93" s="33"/>
      <c r="L93" s="73"/>
      <c r="M93" s="73"/>
      <c r="N93" s="73"/>
      <c r="O93" s="73"/>
      <c r="P93" s="73"/>
      <c r="Q93" s="73"/>
      <c r="R93" s="73"/>
      <c r="S93" s="73"/>
      <c r="T93" s="73"/>
      <c r="U93" s="33"/>
      <c r="V93" s="33"/>
      <c r="W93" s="33"/>
      <c r="X93" s="33"/>
      <c r="Y93" s="33"/>
      <c r="Z93" s="33"/>
      <c r="AA93" s="33"/>
      <c r="AB93" s="33"/>
      <c r="AC93" s="33" t="s">
        <v>654</v>
      </c>
      <c r="AD93" t="str">
        <f>VLOOKUP(AC93,GroupLabels!$E$2:$H$145,3,0)</f>
        <v>Moldova - Romanian</v>
      </c>
    </row>
    <row r="94" spans="1:30" x14ac:dyDescent="0.25">
      <c r="A94" t="s">
        <v>3215</v>
      </c>
      <c r="B94" s="73">
        <v>8</v>
      </c>
      <c r="C94" s="73">
        <v>6</v>
      </c>
      <c r="D94" s="73">
        <v>4</v>
      </c>
      <c r="E94" s="73">
        <v>4</v>
      </c>
      <c r="F94" s="73">
        <v>5</v>
      </c>
      <c r="G94" s="73">
        <v>5</v>
      </c>
      <c r="H94" s="73">
        <v>4</v>
      </c>
      <c r="I94" s="73">
        <v>5</v>
      </c>
      <c r="J94" s="73">
        <v>5</v>
      </c>
      <c r="K94" s="33"/>
      <c r="L94" s="73"/>
      <c r="M94" s="73"/>
      <c r="N94" s="73"/>
      <c r="O94" s="73"/>
      <c r="P94" s="73"/>
      <c r="Q94" s="73"/>
      <c r="R94" s="73"/>
      <c r="S94" s="73"/>
      <c r="T94" s="73"/>
      <c r="U94" s="33"/>
      <c r="V94" s="33"/>
      <c r="W94" s="33"/>
      <c r="X94" s="33"/>
      <c r="Y94" s="33"/>
      <c r="Z94" s="33"/>
      <c r="AA94" s="33"/>
      <c r="AB94" s="33"/>
      <c r="AC94" s="33" t="s">
        <v>655</v>
      </c>
      <c r="AD94" t="str">
        <f>VLOOKUP(AC94,GroupLabels!$E$2:$H$145,3,0)</f>
        <v>Moldova - Russian</v>
      </c>
    </row>
    <row r="95" spans="1:30" x14ac:dyDescent="0.25">
      <c r="A95" t="s">
        <v>3143</v>
      </c>
      <c r="B95" s="73">
        <v>8</v>
      </c>
      <c r="C95" s="73">
        <v>6</v>
      </c>
      <c r="D95" s="73">
        <v>4</v>
      </c>
      <c r="E95" s="73">
        <v>4</v>
      </c>
      <c r="F95" s="73">
        <v>5</v>
      </c>
      <c r="G95" s="73">
        <v>5</v>
      </c>
      <c r="H95" s="73">
        <v>4</v>
      </c>
      <c r="I95" s="73">
        <v>5</v>
      </c>
      <c r="J95" s="73">
        <v>5</v>
      </c>
      <c r="K95" s="33"/>
      <c r="L95" s="73"/>
      <c r="M95" s="73"/>
      <c r="N95" s="73"/>
      <c r="O95" s="73"/>
      <c r="P95" s="73"/>
      <c r="Q95" s="73"/>
      <c r="R95" s="73"/>
      <c r="S95" s="73"/>
      <c r="T95" s="73"/>
      <c r="U95" s="33"/>
      <c r="V95" s="33"/>
      <c r="W95" s="33"/>
      <c r="X95" s="33"/>
      <c r="Y95" s="33"/>
      <c r="Z95" s="33"/>
      <c r="AA95" s="33"/>
      <c r="AB95" s="33"/>
      <c r="AC95" s="33" t="s">
        <v>656</v>
      </c>
      <c r="AD95" t="str">
        <f>VLOOKUP(AC95,GroupLabels!$E$2:$H$145,3,0)</f>
        <v>Mongolia - Kazakh</v>
      </c>
    </row>
    <row r="96" spans="1:30" x14ac:dyDescent="0.25">
      <c r="A96" t="s">
        <v>3175</v>
      </c>
      <c r="B96" s="73">
        <v>8</v>
      </c>
      <c r="C96" s="73">
        <v>6</v>
      </c>
      <c r="D96" s="73">
        <v>4</v>
      </c>
      <c r="E96" s="73">
        <v>4</v>
      </c>
      <c r="F96" s="73">
        <v>5</v>
      </c>
      <c r="G96" s="73">
        <v>5</v>
      </c>
      <c r="H96" s="73">
        <v>4</v>
      </c>
      <c r="I96" s="73">
        <v>5</v>
      </c>
      <c r="J96" s="73">
        <v>5</v>
      </c>
      <c r="K96" s="33"/>
      <c r="L96" s="73"/>
      <c r="M96" s="73"/>
      <c r="N96" s="73"/>
      <c r="O96" s="73"/>
      <c r="P96" s="73"/>
      <c r="Q96" s="73"/>
      <c r="R96" s="73"/>
      <c r="S96" s="73"/>
      <c r="T96" s="73"/>
      <c r="U96" s="33"/>
      <c r="V96" s="33"/>
      <c r="W96" s="33"/>
      <c r="X96" s="33"/>
      <c r="Y96" s="33"/>
      <c r="Z96" s="33"/>
      <c r="AA96" s="33"/>
      <c r="AB96" s="33"/>
      <c r="AC96" s="33" t="s">
        <v>657</v>
      </c>
      <c r="AD96" t="str">
        <f>VLOOKUP(AC96,GroupLabels!$E$2:$H$145,3,0)</f>
        <v>Mongolia - Mongolian</v>
      </c>
    </row>
    <row r="97" spans="1:30" x14ac:dyDescent="0.25">
      <c r="A97" t="s">
        <v>3233</v>
      </c>
      <c r="B97" s="73">
        <v>8</v>
      </c>
      <c r="C97" s="73">
        <v>6</v>
      </c>
      <c r="D97" s="73">
        <v>4</v>
      </c>
      <c r="E97" s="73">
        <v>4</v>
      </c>
      <c r="F97" s="73">
        <v>5</v>
      </c>
      <c r="G97" s="73">
        <v>5</v>
      </c>
      <c r="H97" s="73">
        <v>4</v>
      </c>
      <c r="I97" s="73">
        <v>5</v>
      </c>
      <c r="J97" s="73">
        <v>5</v>
      </c>
      <c r="K97" s="33"/>
      <c r="L97" s="73"/>
      <c r="M97" s="73"/>
      <c r="N97" s="73"/>
      <c r="O97" s="73"/>
      <c r="P97" s="73"/>
      <c r="Q97" s="73"/>
      <c r="R97" s="73"/>
      <c r="S97" s="73"/>
      <c r="T97" s="73"/>
      <c r="U97" s="33"/>
      <c r="V97" s="33"/>
      <c r="W97" s="33"/>
      <c r="X97" s="33"/>
      <c r="Y97" s="33"/>
      <c r="Z97" s="33"/>
      <c r="AA97" s="33"/>
      <c r="AB97" s="33"/>
      <c r="AC97" s="33" t="s">
        <v>658</v>
      </c>
      <c r="AD97" t="str">
        <f>VLOOKUP(AC97,GroupLabels!$E$2:$H$145,3,0)</f>
        <v>Montenegro - Albanian</v>
      </c>
    </row>
    <row r="98" spans="1:30" x14ac:dyDescent="0.25">
      <c r="A98" t="s">
        <v>2941</v>
      </c>
      <c r="B98" s="73">
        <v>8</v>
      </c>
      <c r="C98" s="73">
        <v>6</v>
      </c>
      <c r="D98" s="73">
        <v>4</v>
      </c>
      <c r="E98" s="73">
        <v>4</v>
      </c>
      <c r="F98" s="73">
        <v>5</v>
      </c>
      <c r="G98" s="73">
        <v>5</v>
      </c>
      <c r="H98" s="73">
        <v>4</v>
      </c>
      <c r="I98" s="73">
        <v>5</v>
      </c>
      <c r="J98" s="73">
        <v>5</v>
      </c>
      <c r="K98" s="33"/>
      <c r="L98" s="73"/>
      <c r="M98" s="73"/>
      <c r="N98" s="73"/>
      <c r="O98" s="73"/>
      <c r="P98" s="73"/>
      <c r="Q98" s="73"/>
      <c r="R98" s="73"/>
      <c r="S98" s="73"/>
      <c r="T98" s="73"/>
      <c r="U98" s="33"/>
      <c r="V98" s="33"/>
      <c r="W98" s="33"/>
      <c r="X98" s="33"/>
      <c r="Y98" s="33"/>
      <c r="Z98" s="33"/>
      <c r="AA98" s="33"/>
      <c r="AB98" s="33"/>
      <c r="AC98" s="33" t="s">
        <v>659</v>
      </c>
      <c r="AD98" t="str">
        <f>VLOOKUP(AC98,GroupLabels!$E$2:$H$145,3,0)</f>
        <v>Montenegro - Montenegrin</v>
      </c>
    </row>
    <row r="99" spans="1:30" x14ac:dyDescent="0.25">
      <c r="A99" t="s">
        <v>2906</v>
      </c>
      <c r="B99" s="73">
        <v>8</v>
      </c>
      <c r="C99" s="73">
        <v>6</v>
      </c>
      <c r="D99" s="73">
        <v>4</v>
      </c>
      <c r="E99" s="73">
        <v>4</v>
      </c>
      <c r="F99" s="73">
        <v>5</v>
      </c>
      <c r="G99" s="73">
        <v>5</v>
      </c>
      <c r="H99" s="73">
        <v>4</v>
      </c>
      <c r="I99" s="73">
        <v>5</v>
      </c>
      <c r="J99" s="73">
        <v>5</v>
      </c>
      <c r="K99" s="33"/>
      <c r="L99" s="73"/>
      <c r="M99" s="73"/>
      <c r="N99" s="73"/>
      <c r="O99" s="73"/>
      <c r="P99" s="73"/>
      <c r="Q99" s="73"/>
      <c r="R99" s="73"/>
      <c r="S99" s="73"/>
      <c r="T99" s="73"/>
      <c r="U99" s="33"/>
      <c r="V99" s="33"/>
      <c r="W99" s="33"/>
      <c r="X99" s="33"/>
      <c r="Y99" s="33"/>
      <c r="Z99" s="33"/>
      <c r="AA99" s="33"/>
      <c r="AB99" s="33"/>
      <c r="AC99" s="33" t="s">
        <v>660</v>
      </c>
      <c r="AD99" t="str">
        <f>VLOOKUP(AC99,GroupLabels!$E$2:$H$145,3,0)</f>
        <v>Morocco - Arabic</v>
      </c>
    </row>
    <row r="100" spans="1:30" x14ac:dyDescent="0.25">
      <c r="A100" t="s">
        <v>3187</v>
      </c>
      <c r="B100" s="73">
        <v>8</v>
      </c>
      <c r="C100" s="73">
        <v>6</v>
      </c>
      <c r="D100" s="73">
        <v>4</v>
      </c>
      <c r="E100" s="73">
        <v>4</v>
      </c>
      <c r="F100" s="73">
        <v>5</v>
      </c>
      <c r="G100" s="73">
        <v>5</v>
      </c>
      <c r="H100" s="73">
        <v>4</v>
      </c>
      <c r="I100" s="73">
        <v>5</v>
      </c>
      <c r="J100" s="73">
        <v>5</v>
      </c>
      <c r="K100" s="33"/>
      <c r="L100" s="73"/>
      <c r="M100" s="73"/>
      <c r="N100" s="73"/>
      <c r="O100" s="73"/>
      <c r="P100" s="73"/>
      <c r="Q100" s="73"/>
      <c r="R100" s="73"/>
      <c r="S100" s="73"/>
      <c r="T100" s="73"/>
      <c r="U100" s="33"/>
      <c r="V100" s="33"/>
      <c r="W100" s="33"/>
      <c r="X100" s="33"/>
      <c r="Y100" s="33"/>
      <c r="Z100" s="33"/>
      <c r="AA100" s="33"/>
      <c r="AB100" s="33"/>
      <c r="AC100" s="33" t="s">
        <v>661</v>
      </c>
      <c r="AD100" t="str">
        <f>VLOOKUP(AC100,GroupLabels!$E$2:$H$145,3,0)</f>
        <v>Netherlands - Dutch</v>
      </c>
    </row>
    <row r="101" spans="1:30" x14ac:dyDescent="0.25">
      <c r="A101" t="s">
        <v>3016</v>
      </c>
      <c r="B101" s="73">
        <v>8</v>
      </c>
      <c r="C101" s="73">
        <v>6</v>
      </c>
      <c r="D101" s="73">
        <v>4</v>
      </c>
      <c r="E101" s="73">
        <v>4</v>
      </c>
      <c r="F101" s="73">
        <v>5</v>
      </c>
      <c r="G101" s="73">
        <v>5</v>
      </c>
      <c r="H101" s="73">
        <v>4</v>
      </c>
      <c r="I101" s="73">
        <v>5</v>
      </c>
      <c r="J101" s="73">
        <v>5</v>
      </c>
      <c r="K101" s="33"/>
      <c r="L101" s="73"/>
      <c r="M101" s="73"/>
      <c r="N101" s="73"/>
      <c r="O101" s="73"/>
      <c r="P101" s="73"/>
      <c r="Q101" s="73"/>
      <c r="R101" s="73"/>
      <c r="S101" s="73"/>
      <c r="T101" s="73"/>
      <c r="U101" s="33"/>
      <c r="V101" s="33"/>
      <c r="W101" s="33"/>
      <c r="X101" s="33"/>
      <c r="Y101" s="33"/>
      <c r="Z101" s="33"/>
      <c r="AA101" s="33"/>
      <c r="AB101" s="33"/>
      <c r="AC101" s="33" t="s">
        <v>662</v>
      </c>
      <c r="AD101" t="str">
        <f>VLOOKUP(AC101,GroupLabels!$E$2:$H$145,3,0)</f>
        <v>New Zealand - English</v>
      </c>
    </row>
    <row r="102" spans="1:30" x14ac:dyDescent="0.25">
      <c r="A102" t="s">
        <v>760</v>
      </c>
      <c r="B102" s="73">
        <v>7</v>
      </c>
      <c r="C102" s="73">
        <v>6</v>
      </c>
      <c r="D102" s="73">
        <v>4</v>
      </c>
      <c r="E102" s="73">
        <v>4</v>
      </c>
      <c r="F102" s="73">
        <v>5</v>
      </c>
      <c r="G102" s="73">
        <v>5</v>
      </c>
      <c r="H102" s="73">
        <v>4</v>
      </c>
      <c r="I102" s="73">
        <v>5</v>
      </c>
      <c r="J102" s="73">
        <v>5</v>
      </c>
      <c r="K102" s="33"/>
      <c r="L102" s="73"/>
      <c r="M102" s="73"/>
      <c r="N102" s="73"/>
      <c r="O102" s="73"/>
      <c r="P102" s="73"/>
      <c r="Q102" s="73"/>
      <c r="R102" s="73"/>
      <c r="S102" s="73"/>
      <c r="T102" s="73"/>
      <c r="U102" s="33"/>
      <c r="V102" s="33"/>
      <c r="W102" s="33"/>
      <c r="X102" s="33"/>
      <c r="Y102" s="33"/>
      <c r="Z102" s="33"/>
      <c r="AA102" s="33"/>
      <c r="AB102" s="33"/>
      <c r="AC102" s="33" t="s">
        <v>663</v>
      </c>
      <c r="AD102" t="str">
        <f>VLOOKUP(AC102,GroupLabels!$E$2:$H$145,3,0)</f>
        <v>Norway - Norwegian Bokmål</v>
      </c>
    </row>
    <row r="103" spans="1:30" x14ac:dyDescent="0.25">
      <c r="A103" t="s">
        <v>761</v>
      </c>
      <c r="B103" s="73">
        <v>8</v>
      </c>
      <c r="C103" s="73">
        <v>6</v>
      </c>
      <c r="D103" s="73">
        <v>4</v>
      </c>
      <c r="E103" s="73">
        <v>4</v>
      </c>
      <c r="F103" s="73">
        <v>5</v>
      </c>
      <c r="G103" s="73">
        <v>5</v>
      </c>
      <c r="H103" s="73">
        <v>4</v>
      </c>
      <c r="I103" s="73">
        <v>5</v>
      </c>
      <c r="J103" s="73">
        <v>5</v>
      </c>
      <c r="K103" s="33"/>
      <c r="L103" s="73"/>
      <c r="M103" s="73"/>
      <c r="N103" s="73"/>
      <c r="O103" s="73"/>
      <c r="P103" s="73"/>
      <c r="Q103" s="73"/>
      <c r="R103" s="73"/>
      <c r="S103" s="73"/>
      <c r="T103" s="73"/>
      <c r="U103" s="33"/>
      <c r="V103" s="33"/>
      <c r="W103" s="33"/>
      <c r="X103" s="33"/>
      <c r="Y103" s="33"/>
      <c r="Z103" s="33"/>
      <c r="AA103" s="33"/>
      <c r="AB103" s="33"/>
      <c r="AC103" s="33" t="s">
        <v>664</v>
      </c>
      <c r="AD103" t="str">
        <f>VLOOKUP(AC103,GroupLabels!$E$2:$H$145,3,0)</f>
        <v>Norway - Nynorsk</v>
      </c>
    </row>
    <row r="104" spans="1:30" x14ac:dyDescent="0.25">
      <c r="A104" t="s">
        <v>2909</v>
      </c>
      <c r="B104" s="73">
        <v>8</v>
      </c>
      <c r="C104" s="73">
        <v>6</v>
      </c>
      <c r="D104" s="73">
        <v>4</v>
      </c>
      <c r="E104" s="73">
        <v>4</v>
      </c>
      <c r="F104" s="73">
        <v>5</v>
      </c>
      <c r="G104" s="73">
        <v>5</v>
      </c>
      <c r="H104" s="73">
        <v>4</v>
      </c>
      <c r="I104" s="73">
        <v>5</v>
      </c>
      <c r="J104" s="73">
        <v>5</v>
      </c>
      <c r="K104" s="33"/>
      <c r="L104" s="73"/>
      <c r="M104" s="73"/>
      <c r="N104" s="73"/>
      <c r="O104" s="73"/>
      <c r="P104" s="73"/>
      <c r="Q104" s="73"/>
      <c r="R104" s="73"/>
      <c r="S104" s="73"/>
      <c r="T104" s="73"/>
      <c r="U104" s="33"/>
      <c r="V104" s="33"/>
      <c r="W104" s="33"/>
      <c r="X104" s="33"/>
      <c r="Y104" s="33"/>
      <c r="Z104" s="33"/>
      <c r="AA104" s="33"/>
      <c r="AB104" s="33"/>
      <c r="AC104" s="33" t="s">
        <v>665</v>
      </c>
      <c r="AD104" t="str">
        <f>VLOOKUP(AC104,GroupLabels!$E$2:$H$145,3,0)</f>
        <v>Palestinian Authority - Arabic*</v>
      </c>
    </row>
    <row r="105" spans="1:30" x14ac:dyDescent="0.25">
      <c r="A105" t="s">
        <v>3019</v>
      </c>
      <c r="B105" s="73">
        <v>8</v>
      </c>
      <c r="C105" s="73">
        <v>6</v>
      </c>
      <c r="D105" s="73">
        <v>4</v>
      </c>
      <c r="E105" s="73">
        <v>4</v>
      </c>
      <c r="F105" s="73">
        <v>5</v>
      </c>
      <c r="G105" s="73">
        <v>5</v>
      </c>
      <c r="H105" s="73">
        <v>4</v>
      </c>
      <c r="I105" s="73">
        <v>5</v>
      </c>
      <c r="J105" s="73">
        <v>5</v>
      </c>
      <c r="K105" s="33"/>
      <c r="L105" s="73"/>
      <c r="M105" s="73"/>
      <c r="N105" s="73"/>
      <c r="O105" s="73"/>
      <c r="P105" s="73"/>
      <c r="Q105" s="73"/>
      <c r="R105" s="73"/>
      <c r="S105" s="73"/>
      <c r="T105" s="73"/>
      <c r="U105" s="33"/>
      <c r="V105" s="33"/>
      <c r="W105" s="33"/>
      <c r="X105" s="33"/>
      <c r="Y105" s="33"/>
      <c r="Z105" s="33"/>
      <c r="AA105" s="33"/>
      <c r="AB105" s="33"/>
      <c r="AC105" s="33" t="s">
        <v>666</v>
      </c>
      <c r="AD105" t="str">
        <f>VLOOKUP(AC105,GroupLabels!$E$2:$H$145,3,0)</f>
        <v>Palestinian Authority - English*</v>
      </c>
    </row>
    <row r="106" spans="1:30" x14ac:dyDescent="0.25">
      <c r="A106" t="s">
        <v>3059</v>
      </c>
      <c r="B106" s="73">
        <v>8</v>
      </c>
      <c r="C106" s="73">
        <v>6</v>
      </c>
      <c r="D106" s="73">
        <v>4</v>
      </c>
      <c r="E106" s="73">
        <v>4</v>
      </c>
      <c r="F106" s="73">
        <v>5</v>
      </c>
      <c r="G106" s="73">
        <v>5</v>
      </c>
      <c r="H106" s="73">
        <v>4</v>
      </c>
      <c r="I106" s="73">
        <v>5</v>
      </c>
      <c r="J106" s="73">
        <v>5</v>
      </c>
      <c r="K106" s="33"/>
      <c r="L106" s="73"/>
      <c r="M106" s="73"/>
      <c r="N106" s="73"/>
      <c r="O106" s="73"/>
      <c r="P106" s="73"/>
      <c r="Q106" s="73"/>
      <c r="R106" s="73"/>
      <c r="S106" s="73"/>
      <c r="T106" s="73"/>
      <c r="U106" s="33"/>
      <c r="V106" s="33"/>
      <c r="W106" s="33"/>
      <c r="X106" s="33"/>
      <c r="Y106" s="33"/>
      <c r="Z106" s="33"/>
      <c r="AA106" s="33"/>
      <c r="AB106" s="33"/>
      <c r="AC106" s="33" t="s">
        <v>667</v>
      </c>
      <c r="AD106" t="str">
        <f>VLOOKUP(AC106,GroupLabels!$E$2:$H$145,3,0)</f>
        <v>Paraguay - Spanish</v>
      </c>
    </row>
    <row r="107" spans="1:30" x14ac:dyDescent="0.25">
      <c r="A107" t="s">
        <v>3056</v>
      </c>
      <c r="B107" s="73">
        <v>8</v>
      </c>
      <c r="C107" s="73">
        <v>6</v>
      </c>
      <c r="D107" s="73">
        <v>4</v>
      </c>
      <c r="E107" s="73">
        <v>4</v>
      </c>
      <c r="F107" s="73">
        <v>5</v>
      </c>
      <c r="G107" s="73">
        <v>5</v>
      </c>
      <c r="H107" s="73">
        <v>4</v>
      </c>
      <c r="I107" s="73">
        <v>5</v>
      </c>
      <c r="J107" s="73">
        <v>5</v>
      </c>
      <c r="K107" s="33"/>
      <c r="L107" s="73"/>
      <c r="M107" s="73"/>
      <c r="N107" s="73"/>
      <c r="O107" s="73"/>
      <c r="P107" s="73"/>
      <c r="Q107" s="73"/>
      <c r="R107" s="73"/>
      <c r="S107" s="73"/>
      <c r="T107" s="73"/>
      <c r="U107" s="33"/>
      <c r="V107" s="33"/>
      <c r="W107" s="33"/>
      <c r="X107" s="33"/>
      <c r="Y107" s="33"/>
      <c r="Z107" s="33"/>
      <c r="AA107" s="33"/>
      <c r="AB107" s="33"/>
      <c r="AC107" s="33" t="s">
        <v>668</v>
      </c>
      <c r="AD107" t="str">
        <f>VLOOKUP(AC107,GroupLabels!$E$2:$H$145,3,0)</f>
        <v>Peru - Spanish</v>
      </c>
    </row>
    <row r="108" spans="1:30" x14ac:dyDescent="0.25">
      <c r="A108" t="s">
        <v>3018</v>
      </c>
      <c r="B108" s="73">
        <v>8</v>
      </c>
      <c r="C108" s="73">
        <v>6</v>
      </c>
      <c r="D108" s="73">
        <v>4</v>
      </c>
      <c r="E108" s="73">
        <v>4</v>
      </c>
      <c r="F108" s="73">
        <v>5</v>
      </c>
      <c r="G108" s="73">
        <v>5</v>
      </c>
      <c r="H108" s="73">
        <v>4</v>
      </c>
      <c r="I108" s="73">
        <v>5</v>
      </c>
      <c r="J108" s="73">
        <v>5</v>
      </c>
      <c r="K108" s="33"/>
      <c r="L108" s="73"/>
      <c r="M108" s="73"/>
      <c r="N108" s="73"/>
      <c r="O108" s="73"/>
      <c r="P108" s="73"/>
      <c r="Q108" s="73"/>
      <c r="R108" s="73"/>
      <c r="S108" s="73"/>
      <c r="T108" s="73"/>
      <c r="U108" s="33"/>
      <c r="V108" s="33"/>
      <c r="W108" s="33"/>
      <c r="X108" s="33"/>
      <c r="Y108" s="33"/>
      <c r="Z108" s="33"/>
      <c r="AA108" s="33"/>
      <c r="AB108" s="33"/>
      <c r="AC108" s="33" t="s">
        <v>669</v>
      </c>
      <c r="AD108" t="str">
        <f>VLOOKUP(AC108,GroupLabels!$E$2:$H$145,3,0)</f>
        <v>Philippines - English</v>
      </c>
    </row>
    <row r="109" spans="1:30" x14ac:dyDescent="0.25">
      <c r="A109" t="s">
        <v>3194</v>
      </c>
      <c r="B109" s="73">
        <v>8</v>
      </c>
      <c r="C109" s="73">
        <v>6</v>
      </c>
      <c r="D109" s="73">
        <v>4</v>
      </c>
      <c r="E109" s="73">
        <v>4</v>
      </c>
      <c r="F109" s="73">
        <v>5</v>
      </c>
      <c r="G109" s="73">
        <v>5</v>
      </c>
      <c r="H109" s="73">
        <v>4</v>
      </c>
      <c r="I109" s="73">
        <v>5</v>
      </c>
      <c r="J109" s="73">
        <v>5</v>
      </c>
      <c r="K109" s="33"/>
      <c r="L109" s="73"/>
      <c r="M109" s="73"/>
      <c r="N109" s="73"/>
      <c r="O109" s="73"/>
      <c r="P109" s="73"/>
      <c r="Q109" s="73"/>
      <c r="R109" s="73"/>
      <c r="S109" s="73"/>
      <c r="T109" s="73"/>
      <c r="U109" s="33"/>
      <c r="V109" s="33"/>
      <c r="W109" s="33"/>
      <c r="X109" s="33"/>
      <c r="Y109" s="33"/>
      <c r="Z109" s="33"/>
      <c r="AA109" s="33"/>
      <c r="AB109" s="33"/>
      <c r="AC109" s="33" t="s">
        <v>670</v>
      </c>
      <c r="AD109" t="str">
        <f>VLOOKUP(AC109,GroupLabels!$E$2:$H$145,3,0)</f>
        <v>Poland - Polish</v>
      </c>
    </row>
    <row r="110" spans="1:30" x14ac:dyDescent="0.25">
      <c r="A110" t="s">
        <v>3202</v>
      </c>
      <c r="B110" s="73">
        <v>8</v>
      </c>
      <c r="C110" s="73">
        <v>6</v>
      </c>
      <c r="D110" s="73">
        <v>4</v>
      </c>
      <c r="E110" s="73">
        <v>4</v>
      </c>
      <c r="F110" s="73">
        <v>5</v>
      </c>
      <c r="G110" s="73">
        <v>5</v>
      </c>
      <c r="H110" s="73">
        <v>4</v>
      </c>
      <c r="I110" s="73">
        <v>5</v>
      </c>
      <c r="J110" s="73">
        <v>5</v>
      </c>
      <c r="K110" s="33"/>
      <c r="L110" s="73"/>
      <c r="M110" s="73"/>
      <c r="N110" s="73"/>
      <c r="O110" s="73"/>
      <c r="P110" s="73"/>
      <c r="Q110" s="73"/>
      <c r="R110" s="73"/>
      <c r="S110" s="73"/>
      <c r="T110" s="73"/>
      <c r="U110" s="33"/>
      <c r="V110" s="33"/>
      <c r="W110" s="33"/>
      <c r="X110" s="33"/>
      <c r="Y110" s="33"/>
      <c r="Z110" s="33"/>
      <c r="AA110" s="33"/>
      <c r="AB110" s="33"/>
      <c r="AC110" s="33" t="s">
        <v>671</v>
      </c>
      <c r="AD110" t="str">
        <f>VLOOKUP(AC110,GroupLabels!$E$2:$H$145,3,0)</f>
        <v>Portugal - Portuguese</v>
      </c>
    </row>
    <row r="111" spans="1:30" x14ac:dyDescent="0.25">
      <c r="A111" t="s">
        <v>2912</v>
      </c>
      <c r="B111" s="73">
        <v>8</v>
      </c>
      <c r="C111" s="73">
        <v>6</v>
      </c>
      <c r="D111" s="73">
        <v>4</v>
      </c>
      <c r="E111" s="73">
        <v>4</v>
      </c>
      <c r="F111" s="73">
        <v>5</v>
      </c>
      <c r="G111" s="73">
        <v>5</v>
      </c>
      <c r="H111" s="73">
        <v>4</v>
      </c>
      <c r="I111" s="73">
        <v>5</v>
      </c>
      <c r="J111" s="73">
        <v>5</v>
      </c>
      <c r="K111" s="33"/>
      <c r="L111" s="73"/>
      <c r="M111" s="73"/>
      <c r="N111" s="73"/>
      <c r="O111" s="73"/>
      <c r="P111" s="73"/>
      <c r="Q111" s="73"/>
      <c r="R111" s="73"/>
      <c r="S111" s="73"/>
      <c r="T111" s="73"/>
      <c r="U111" s="33"/>
      <c r="V111" s="33"/>
      <c r="W111" s="33"/>
      <c r="X111" s="33"/>
      <c r="Y111" s="33"/>
      <c r="Z111" s="33"/>
      <c r="AA111" s="33"/>
      <c r="AB111" s="33"/>
      <c r="AC111" s="33" t="s">
        <v>672</v>
      </c>
      <c r="AD111" t="str">
        <f>VLOOKUP(AC111,GroupLabels!$E$2:$H$145,3,0)</f>
        <v>Qatar - Arabic</v>
      </c>
    </row>
    <row r="112" spans="1:30" x14ac:dyDescent="0.25">
      <c r="A112" t="s">
        <v>3020</v>
      </c>
      <c r="B112" s="73">
        <v>8</v>
      </c>
      <c r="C112" s="73">
        <v>6</v>
      </c>
      <c r="D112" s="73">
        <v>4</v>
      </c>
      <c r="E112" s="73">
        <v>4</v>
      </c>
      <c r="F112" s="73">
        <v>5</v>
      </c>
      <c r="G112" s="73">
        <v>5</v>
      </c>
      <c r="H112" s="73">
        <v>4</v>
      </c>
      <c r="I112" s="73">
        <v>5</v>
      </c>
      <c r="J112" s="73">
        <v>5</v>
      </c>
      <c r="K112" s="33"/>
      <c r="L112" s="73"/>
      <c r="M112" s="73"/>
      <c r="N112" s="73"/>
      <c r="O112" s="73"/>
      <c r="P112" s="73"/>
      <c r="Q112" s="73"/>
      <c r="R112" s="73"/>
      <c r="S112" s="73"/>
      <c r="T112" s="73"/>
      <c r="U112" s="33"/>
      <c r="V112" s="33"/>
      <c r="W112" s="33"/>
      <c r="X112" s="33"/>
      <c r="Y112" s="33"/>
      <c r="Z112" s="33"/>
      <c r="AA112" s="33"/>
      <c r="AB112" s="33"/>
      <c r="AC112" s="33" t="s">
        <v>673</v>
      </c>
      <c r="AD112" t="str">
        <f>VLOOKUP(AC112,GroupLabels!$E$2:$H$145,3,0)</f>
        <v>Qatar - English</v>
      </c>
    </row>
    <row r="113" spans="1:30" x14ac:dyDescent="0.25">
      <c r="A113" t="s">
        <v>3106</v>
      </c>
      <c r="B113" s="73">
        <v>8</v>
      </c>
      <c r="C113" s="73">
        <v>6</v>
      </c>
      <c r="D113" s="73">
        <v>4</v>
      </c>
      <c r="E113" s="73">
        <v>4</v>
      </c>
      <c r="F113" s="73">
        <v>5</v>
      </c>
      <c r="G113" s="73">
        <v>5</v>
      </c>
      <c r="H113" s="73">
        <v>4</v>
      </c>
      <c r="I113" s="73">
        <v>5</v>
      </c>
      <c r="J113" s="73">
        <v>5</v>
      </c>
      <c r="K113" s="33"/>
      <c r="L113" s="73"/>
      <c r="M113" s="73"/>
      <c r="N113" s="73"/>
      <c r="O113" s="73"/>
      <c r="P113" s="73"/>
      <c r="Q113" s="73"/>
      <c r="R113" s="73"/>
      <c r="S113" s="73"/>
      <c r="T113" s="73"/>
      <c r="U113" s="33"/>
      <c r="V113" s="33"/>
      <c r="W113" s="33"/>
      <c r="X113" s="33"/>
      <c r="Y113" s="33"/>
      <c r="Z113" s="33"/>
      <c r="AA113" s="33"/>
      <c r="AB113" s="33"/>
      <c r="AC113" s="33" t="s">
        <v>674</v>
      </c>
      <c r="AD113" t="str">
        <f>VLOOKUP(AC113,GroupLabels!$E$2:$H$145,3,0)</f>
        <v>Romania - Hungarian</v>
      </c>
    </row>
    <row r="114" spans="1:30" x14ac:dyDescent="0.25">
      <c r="A114" t="s">
        <v>3207</v>
      </c>
      <c r="B114" s="73">
        <v>8</v>
      </c>
      <c r="C114" s="73">
        <v>6</v>
      </c>
      <c r="D114" s="73">
        <v>4</v>
      </c>
      <c r="E114" s="73">
        <v>4</v>
      </c>
      <c r="F114" s="73">
        <v>5</v>
      </c>
      <c r="G114" s="73">
        <v>5</v>
      </c>
      <c r="H114" s="73">
        <v>4</v>
      </c>
      <c r="I114" s="73">
        <v>5</v>
      </c>
      <c r="J114" s="73">
        <v>5</v>
      </c>
      <c r="K114" s="33"/>
      <c r="L114" s="73"/>
      <c r="M114" s="73"/>
      <c r="N114" s="73"/>
      <c r="O114" s="73"/>
      <c r="P114" s="73"/>
      <c r="Q114" s="73"/>
      <c r="R114" s="73"/>
      <c r="S114" s="73"/>
      <c r="T114" s="73"/>
      <c r="U114" s="33"/>
      <c r="V114" s="33"/>
      <c r="W114" s="33"/>
      <c r="X114" s="33"/>
      <c r="Y114" s="33"/>
      <c r="Z114" s="33"/>
      <c r="AA114" s="33"/>
      <c r="AB114" s="33"/>
      <c r="AC114" s="33" t="s">
        <v>675</v>
      </c>
      <c r="AD114" t="str">
        <f>VLOOKUP(AC114,GroupLabels!$E$2:$H$145,3,0)</f>
        <v>Romania - Romanian</v>
      </c>
    </row>
    <row r="115" spans="1:30" x14ac:dyDescent="0.25">
      <c r="A115" t="s">
        <v>758</v>
      </c>
      <c r="B115" s="73">
        <v>8</v>
      </c>
      <c r="C115" s="73">
        <v>6</v>
      </c>
      <c r="D115" s="73">
        <v>4</v>
      </c>
      <c r="E115" s="73">
        <v>4</v>
      </c>
      <c r="F115" s="73" t="s">
        <v>3476</v>
      </c>
      <c r="G115" s="73" t="s">
        <v>3476</v>
      </c>
      <c r="H115" s="73">
        <v>4</v>
      </c>
      <c r="I115" s="73">
        <v>5</v>
      </c>
      <c r="J115" s="73">
        <v>5</v>
      </c>
      <c r="K115" s="33"/>
      <c r="L115" s="73"/>
      <c r="M115" s="73"/>
      <c r="N115" s="73"/>
      <c r="O115" s="73"/>
      <c r="P115" s="73"/>
      <c r="Q115" s="73"/>
      <c r="R115" s="73"/>
      <c r="S115" s="73"/>
      <c r="T115" s="73"/>
      <c r="U115" s="33"/>
      <c r="V115" s="33"/>
      <c r="W115" s="33"/>
      <c r="X115" s="33"/>
      <c r="Y115" s="33"/>
      <c r="Z115" s="33"/>
      <c r="AA115" s="33"/>
      <c r="AB115" s="33"/>
      <c r="AC115" s="33" t="s">
        <v>676</v>
      </c>
      <c r="AD115" t="str">
        <f>VLOOKUP(AC115,GroupLabels!$E$2:$H$145,3,0)</f>
        <v>Rwanda - English</v>
      </c>
    </row>
    <row r="116" spans="1:30" x14ac:dyDescent="0.25">
      <c r="A116" t="s">
        <v>2915</v>
      </c>
      <c r="B116" s="73">
        <v>8</v>
      </c>
      <c r="C116" s="73">
        <v>6</v>
      </c>
      <c r="D116" s="73">
        <v>4</v>
      </c>
      <c r="E116" s="73">
        <v>4</v>
      </c>
      <c r="F116" s="73">
        <v>5</v>
      </c>
      <c r="G116" s="73">
        <v>5</v>
      </c>
      <c r="H116" s="73">
        <v>4</v>
      </c>
      <c r="I116" s="73">
        <v>5</v>
      </c>
      <c r="J116" s="73">
        <v>5</v>
      </c>
      <c r="K116" s="33"/>
      <c r="L116" s="73"/>
      <c r="M116" s="73"/>
      <c r="N116" s="73"/>
      <c r="O116" s="73"/>
      <c r="P116" s="73"/>
      <c r="Q116" s="73"/>
      <c r="R116" s="73"/>
      <c r="S116" s="73"/>
      <c r="T116" s="73"/>
      <c r="U116" s="33"/>
      <c r="V116" s="33"/>
      <c r="W116" s="33"/>
      <c r="X116" s="33"/>
      <c r="Y116" s="33"/>
      <c r="Z116" s="33"/>
      <c r="AA116" s="33"/>
      <c r="AB116" s="33"/>
      <c r="AC116" s="33" t="s">
        <v>677</v>
      </c>
      <c r="AD116" t="str">
        <f>VLOOKUP(AC116,GroupLabels!$E$2:$H$145,3,0)</f>
        <v>Saudi Arabia - Arabic</v>
      </c>
    </row>
    <row r="117" spans="1:30" x14ac:dyDescent="0.25">
      <c r="A117" t="s">
        <v>3023</v>
      </c>
      <c r="B117" s="73">
        <v>8</v>
      </c>
      <c r="C117" s="73">
        <v>6</v>
      </c>
      <c r="D117" s="73">
        <v>4</v>
      </c>
      <c r="E117" s="73">
        <v>4</v>
      </c>
      <c r="F117" s="73">
        <v>5</v>
      </c>
      <c r="G117" s="73">
        <v>5</v>
      </c>
      <c r="H117" s="73">
        <v>4</v>
      </c>
      <c r="I117" s="73">
        <v>5</v>
      </c>
      <c r="J117" s="73">
        <v>5</v>
      </c>
      <c r="K117" s="33"/>
      <c r="L117" s="73"/>
      <c r="M117" s="73"/>
      <c r="N117" s="73"/>
      <c r="O117" s="73"/>
      <c r="P117" s="73"/>
      <c r="Q117" s="73"/>
      <c r="R117" s="73"/>
      <c r="S117" s="73"/>
      <c r="T117" s="73"/>
      <c r="U117" s="33"/>
      <c r="V117" s="33"/>
      <c r="W117" s="33"/>
      <c r="X117" s="33"/>
      <c r="Y117" s="33"/>
      <c r="Z117" s="33"/>
      <c r="AA117" s="33"/>
      <c r="AB117" s="33"/>
      <c r="AC117" s="33" t="s">
        <v>678</v>
      </c>
      <c r="AD117" t="str">
        <f>VLOOKUP(AC117,GroupLabels!$E$2:$H$145,3,0)</f>
        <v>Saudi Arabia - English</v>
      </c>
    </row>
    <row r="118" spans="1:30" x14ac:dyDescent="0.25">
      <c r="A118" t="s">
        <v>3241</v>
      </c>
      <c r="B118" s="73">
        <v>8</v>
      </c>
      <c r="C118" s="73">
        <v>6</v>
      </c>
      <c r="D118" s="73">
        <v>4</v>
      </c>
      <c r="E118" s="73">
        <v>4</v>
      </c>
      <c r="F118" s="73">
        <v>5</v>
      </c>
      <c r="G118" s="73">
        <v>5</v>
      </c>
      <c r="H118" s="73">
        <v>4</v>
      </c>
      <c r="I118" s="73">
        <v>5</v>
      </c>
      <c r="J118" s="73">
        <v>5</v>
      </c>
      <c r="K118" s="33"/>
      <c r="L118" s="73"/>
      <c r="M118" s="73"/>
      <c r="N118" s="73"/>
      <c r="O118" s="73"/>
      <c r="P118" s="73"/>
      <c r="Q118" s="73"/>
      <c r="R118" s="73"/>
      <c r="S118" s="73"/>
      <c r="T118" s="73"/>
      <c r="U118" s="33"/>
      <c r="V118" s="33"/>
      <c r="W118" s="33"/>
      <c r="X118" s="33"/>
      <c r="Y118" s="33"/>
      <c r="Z118" s="33"/>
      <c r="AA118" s="33"/>
      <c r="AB118" s="33"/>
      <c r="AC118" s="33" t="s">
        <v>679</v>
      </c>
      <c r="AD118" t="str">
        <f>VLOOKUP(AC118,GroupLabels!$E$2:$H$145,3,0)</f>
        <v>Serbia - Serbian</v>
      </c>
    </row>
    <row r="119" spans="1:30" x14ac:dyDescent="0.25">
      <c r="A119" t="s">
        <v>3025</v>
      </c>
      <c r="B119" s="73">
        <v>8</v>
      </c>
      <c r="C119" s="73">
        <v>6</v>
      </c>
      <c r="D119" s="73">
        <v>4</v>
      </c>
      <c r="E119" s="73">
        <v>4</v>
      </c>
      <c r="F119" s="73">
        <v>5</v>
      </c>
      <c r="G119" s="73">
        <v>5</v>
      </c>
      <c r="H119" s="73">
        <v>4</v>
      </c>
      <c r="I119" s="73">
        <v>5</v>
      </c>
      <c r="J119" s="73">
        <v>5</v>
      </c>
      <c r="K119" s="33"/>
      <c r="L119" s="73"/>
      <c r="M119" s="73"/>
      <c r="N119" s="73"/>
      <c r="O119" s="73"/>
      <c r="P119" s="73"/>
      <c r="Q119" s="73"/>
      <c r="R119" s="73"/>
      <c r="S119" s="73"/>
      <c r="T119" s="73"/>
      <c r="U119" s="33"/>
      <c r="V119" s="33"/>
      <c r="W119" s="33"/>
      <c r="X119" s="33"/>
      <c r="Y119" s="33"/>
      <c r="Z119" s="33"/>
      <c r="AA119" s="33"/>
      <c r="AB119" s="33"/>
      <c r="AC119" s="33" t="s">
        <v>680</v>
      </c>
      <c r="AD119" t="str">
        <f>VLOOKUP(AC119,GroupLabels!$E$2:$H$145,3,0)</f>
        <v>Singapore - English</v>
      </c>
    </row>
    <row r="120" spans="1:30" x14ac:dyDescent="0.25">
      <c r="A120" t="s">
        <v>3108</v>
      </c>
      <c r="B120" s="73">
        <v>8</v>
      </c>
      <c r="C120" s="73">
        <v>6</v>
      </c>
      <c r="D120" s="73">
        <v>4</v>
      </c>
      <c r="E120" s="73">
        <v>4</v>
      </c>
      <c r="F120" s="73">
        <v>5</v>
      </c>
      <c r="G120" s="73">
        <v>5</v>
      </c>
      <c r="H120" s="73">
        <v>4</v>
      </c>
      <c r="I120" s="73">
        <v>5</v>
      </c>
      <c r="J120" s="73">
        <v>5</v>
      </c>
      <c r="K120" s="33"/>
      <c r="L120" s="73"/>
      <c r="M120" s="73"/>
      <c r="N120" s="73"/>
      <c r="O120" s="73"/>
      <c r="P120" s="73"/>
      <c r="Q120" s="73"/>
      <c r="R120" s="73"/>
      <c r="S120" s="73"/>
      <c r="T120" s="73"/>
      <c r="U120" s="33"/>
      <c r="V120" s="33"/>
      <c r="W120" s="33"/>
      <c r="X120" s="33"/>
      <c r="Y120" s="33"/>
      <c r="Z120" s="33"/>
      <c r="AA120" s="33"/>
      <c r="AB120" s="33"/>
      <c r="AC120" s="33" t="s">
        <v>681</v>
      </c>
      <c r="AD120" t="str">
        <f>VLOOKUP(AC120,GroupLabels!$E$2:$H$145,3,0)</f>
        <v>Slovak Republic - Hungarian</v>
      </c>
    </row>
    <row r="121" spans="1:30" x14ac:dyDescent="0.25">
      <c r="A121" t="s">
        <v>3222</v>
      </c>
      <c r="B121" s="73">
        <v>8</v>
      </c>
      <c r="C121" s="73">
        <v>6</v>
      </c>
      <c r="D121" s="73">
        <v>4</v>
      </c>
      <c r="E121" s="73">
        <v>4</v>
      </c>
      <c r="F121" s="73">
        <v>5</v>
      </c>
      <c r="G121" s="73">
        <v>5</v>
      </c>
      <c r="H121" s="73">
        <v>4</v>
      </c>
      <c r="I121" s="73">
        <v>5</v>
      </c>
      <c r="J121" s="73">
        <v>5</v>
      </c>
      <c r="K121" s="33"/>
      <c r="L121" s="73"/>
      <c r="M121" s="73"/>
      <c r="N121" s="73"/>
      <c r="O121" s="73"/>
      <c r="P121" s="73"/>
      <c r="Q121" s="73"/>
      <c r="R121" s="73"/>
      <c r="S121" s="73"/>
      <c r="T121" s="73"/>
      <c r="U121" s="33"/>
      <c r="V121" s="33"/>
      <c r="W121" s="33"/>
      <c r="X121" s="33"/>
      <c r="Y121" s="33"/>
      <c r="Z121" s="33"/>
      <c r="AA121" s="33"/>
      <c r="AB121" s="33"/>
      <c r="AC121" s="33" t="s">
        <v>682</v>
      </c>
      <c r="AD121" t="str">
        <f>VLOOKUP(AC121,GroupLabels!$E$2:$H$145,3,0)</f>
        <v>Slovak Republic - Slovak</v>
      </c>
    </row>
    <row r="122" spans="1:30" x14ac:dyDescent="0.25">
      <c r="A122" t="s">
        <v>3227</v>
      </c>
      <c r="B122" s="73">
        <v>8</v>
      </c>
      <c r="C122" s="73">
        <v>6</v>
      </c>
      <c r="D122" s="73">
        <v>4</v>
      </c>
      <c r="E122" s="73">
        <v>4</v>
      </c>
      <c r="F122" s="73">
        <v>5</v>
      </c>
      <c r="G122" s="73">
        <v>5</v>
      </c>
      <c r="H122" s="73">
        <v>4</v>
      </c>
      <c r="I122" s="73">
        <v>5</v>
      </c>
      <c r="J122" s="73">
        <v>5</v>
      </c>
      <c r="K122" s="33"/>
      <c r="L122" s="73"/>
      <c r="M122" s="73"/>
      <c r="N122" s="73"/>
      <c r="O122" s="73"/>
      <c r="P122" s="73"/>
      <c r="Q122" s="73"/>
      <c r="R122" s="73"/>
      <c r="S122" s="73"/>
      <c r="T122" s="73"/>
      <c r="U122" s="33"/>
      <c r="V122" s="33"/>
      <c r="W122" s="33"/>
      <c r="X122" s="33"/>
      <c r="Y122" s="33"/>
      <c r="Z122" s="33"/>
      <c r="AA122" s="33"/>
      <c r="AB122" s="33"/>
      <c r="AC122" s="33" t="s">
        <v>683</v>
      </c>
      <c r="AD122" t="str">
        <f>VLOOKUP(AC122,GroupLabels!$E$2:$H$145,3,0)</f>
        <v>Slovenia - Slovenian</v>
      </c>
    </row>
    <row r="123" spans="1:30" x14ac:dyDescent="0.25">
      <c r="A123" t="s">
        <v>3072</v>
      </c>
      <c r="B123" s="73">
        <v>8</v>
      </c>
      <c r="C123" s="73">
        <v>6</v>
      </c>
      <c r="D123" s="73">
        <v>4</v>
      </c>
      <c r="E123" s="73">
        <v>4</v>
      </c>
      <c r="F123" s="73">
        <v>5</v>
      </c>
      <c r="G123" s="73">
        <v>5</v>
      </c>
      <c r="H123" s="73">
        <v>4</v>
      </c>
      <c r="I123" s="73">
        <v>5</v>
      </c>
      <c r="J123" s="73">
        <v>5</v>
      </c>
      <c r="K123" s="33"/>
      <c r="L123" s="73"/>
      <c r="M123" s="73"/>
      <c r="N123" s="73"/>
      <c r="O123" s="73"/>
      <c r="P123" s="73"/>
      <c r="Q123" s="73"/>
      <c r="R123" s="73"/>
      <c r="S123" s="73"/>
      <c r="T123" s="73"/>
      <c r="U123" s="33"/>
      <c r="V123" s="33"/>
      <c r="W123" s="33"/>
      <c r="X123" s="33"/>
      <c r="Y123" s="33"/>
      <c r="Z123" s="33"/>
      <c r="AA123" s="33"/>
      <c r="AB123" s="33"/>
      <c r="AC123" s="33" t="s">
        <v>684</v>
      </c>
      <c r="AD123" t="str">
        <f>VLOOKUP(AC123,GroupLabels!$E$2:$H$145,3,0)</f>
        <v>Spain - Basque</v>
      </c>
    </row>
    <row r="124" spans="1:30" x14ac:dyDescent="0.25">
      <c r="A124" t="s">
        <v>2932</v>
      </c>
      <c r="B124" s="73">
        <v>8</v>
      </c>
      <c r="C124" s="73">
        <v>6</v>
      </c>
      <c r="D124" s="73">
        <v>4</v>
      </c>
      <c r="E124" s="73">
        <v>4</v>
      </c>
      <c r="F124" s="73">
        <v>5</v>
      </c>
      <c r="G124" s="73">
        <v>5</v>
      </c>
      <c r="H124" s="73">
        <v>4</v>
      </c>
      <c r="I124" s="73">
        <v>5</v>
      </c>
      <c r="J124" s="73">
        <v>5</v>
      </c>
      <c r="K124" s="33"/>
      <c r="L124" s="73"/>
      <c r="M124" s="73"/>
      <c r="N124" s="73"/>
      <c r="O124" s="73"/>
      <c r="P124" s="73"/>
      <c r="Q124" s="73"/>
      <c r="R124" s="73"/>
      <c r="S124" s="73"/>
      <c r="T124" s="73"/>
      <c r="U124" s="33"/>
      <c r="V124" s="33"/>
      <c r="W124" s="33"/>
      <c r="X124" s="33"/>
      <c r="Y124" s="33"/>
      <c r="Z124" s="33"/>
      <c r="AA124" s="33"/>
      <c r="AB124" s="33"/>
      <c r="AC124" s="33" t="s">
        <v>685</v>
      </c>
      <c r="AD124" t="str">
        <f>VLOOKUP(AC124,GroupLabels!$E$2:$H$145,3,0)</f>
        <v>Spain - Catalan</v>
      </c>
    </row>
    <row r="125" spans="1:30" x14ac:dyDescent="0.25">
      <c r="A125" t="s">
        <v>3091</v>
      </c>
      <c r="B125" s="73">
        <v>8</v>
      </c>
      <c r="C125" s="73">
        <v>6</v>
      </c>
      <c r="D125" s="73">
        <v>4</v>
      </c>
      <c r="E125" s="73">
        <v>4</v>
      </c>
      <c r="F125" s="73">
        <v>5</v>
      </c>
      <c r="G125" s="73">
        <v>5</v>
      </c>
      <c r="H125" s="73">
        <v>4</v>
      </c>
      <c r="I125" s="73">
        <v>5</v>
      </c>
      <c r="J125" s="73">
        <v>5</v>
      </c>
      <c r="K125" s="33"/>
      <c r="L125" s="73"/>
      <c r="M125" s="73"/>
      <c r="N125" s="73"/>
      <c r="O125" s="73"/>
      <c r="P125" s="73"/>
      <c r="Q125" s="73"/>
      <c r="R125" s="73"/>
      <c r="S125" s="73"/>
      <c r="T125" s="73"/>
      <c r="U125" s="33"/>
      <c r="V125" s="33"/>
      <c r="W125" s="33"/>
      <c r="X125" s="33"/>
      <c r="Y125" s="33"/>
      <c r="Z125" s="33"/>
      <c r="AA125" s="33"/>
      <c r="AB125" s="33"/>
      <c r="AC125" s="33" t="s">
        <v>686</v>
      </c>
      <c r="AD125" t="str">
        <f>VLOOKUP(AC125,GroupLabels!$E$2:$H$145,3,0)</f>
        <v>Spain - Galician</v>
      </c>
    </row>
    <row r="126" spans="1:30" x14ac:dyDescent="0.25">
      <c r="A126" t="s">
        <v>3047</v>
      </c>
      <c r="B126" s="73">
        <v>8</v>
      </c>
      <c r="C126" s="73">
        <v>6</v>
      </c>
      <c r="D126" s="73">
        <v>4</v>
      </c>
      <c r="E126" s="73">
        <v>4</v>
      </c>
      <c r="F126" s="73">
        <v>5</v>
      </c>
      <c r="G126" s="73">
        <v>5</v>
      </c>
      <c r="H126" s="73">
        <v>4</v>
      </c>
      <c r="I126" s="73">
        <v>5</v>
      </c>
      <c r="J126" s="73">
        <v>5</v>
      </c>
      <c r="K126" s="33"/>
      <c r="L126" s="73"/>
      <c r="M126" s="73"/>
      <c r="N126" s="73"/>
      <c r="O126" s="73"/>
      <c r="P126" s="73"/>
      <c r="Q126" s="73"/>
      <c r="R126" s="73"/>
      <c r="S126" s="73"/>
      <c r="T126" s="73"/>
      <c r="U126" s="33"/>
      <c r="V126" s="33"/>
      <c r="W126" s="33"/>
      <c r="X126" s="33"/>
      <c r="Y126" s="33"/>
      <c r="Z126" s="33"/>
      <c r="AA126" s="33"/>
      <c r="AB126" s="33"/>
      <c r="AC126" s="33" t="s">
        <v>687</v>
      </c>
      <c r="AD126" t="str">
        <f>VLOOKUP(AC126,GroupLabels!$E$2:$H$145,3,0)</f>
        <v>Spain - Spanish</v>
      </c>
    </row>
    <row r="127" spans="1:30" x14ac:dyDescent="0.25">
      <c r="A127" t="s">
        <v>2933</v>
      </c>
      <c r="B127" s="73">
        <v>8</v>
      </c>
      <c r="C127" s="73">
        <v>6</v>
      </c>
      <c r="D127" s="73">
        <v>4</v>
      </c>
      <c r="E127" s="73">
        <v>4</v>
      </c>
      <c r="F127" s="73">
        <v>5</v>
      </c>
      <c r="G127" s="73">
        <v>5</v>
      </c>
      <c r="H127" s="73">
        <v>4</v>
      </c>
      <c r="I127" s="73">
        <v>5</v>
      </c>
      <c r="J127" s="73">
        <v>5</v>
      </c>
      <c r="K127" s="33"/>
      <c r="L127" s="73"/>
      <c r="M127" s="73"/>
      <c r="N127" s="73"/>
      <c r="O127" s="73"/>
      <c r="P127" s="73"/>
      <c r="Q127" s="73"/>
      <c r="R127" s="73"/>
      <c r="S127" s="73"/>
      <c r="T127" s="73"/>
      <c r="U127" s="33"/>
      <c r="V127" s="33"/>
      <c r="W127" s="33"/>
      <c r="X127" s="33"/>
      <c r="Y127" s="33"/>
      <c r="Z127" s="33"/>
      <c r="AA127" s="33"/>
      <c r="AB127" s="33"/>
      <c r="AC127" s="33" t="s">
        <v>688</v>
      </c>
      <c r="AD127" t="str">
        <f>VLOOKUP(AC127,GroupLabels!$E$2:$H$145,3,0)</f>
        <v>Spain - Valencian</v>
      </c>
    </row>
    <row r="128" spans="1:30" x14ac:dyDescent="0.25">
      <c r="A128" t="s">
        <v>762</v>
      </c>
      <c r="B128" s="73">
        <v>8</v>
      </c>
      <c r="C128" s="73">
        <v>6</v>
      </c>
      <c r="D128" s="73">
        <v>4</v>
      </c>
      <c r="E128" s="73">
        <v>4</v>
      </c>
      <c r="F128" s="73">
        <v>5</v>
      </c>
      <c r="G128" s="73">
        <v>5</v>
      </c>
      <c r="H128" s="73">
        <v>4</v>
      </c>
      <c r="I128" s="73">
        <v>5</v>
      </c>
      <c r="J128" s="73">
        <v>5</v>
      </c>
      <c r="K128" s="33"/>
      <c r="L128" s="73"/>
      <c r="M128" s="73"/>
      <c r="N128" s="73"/>
      <c r="O128" s="73"/>
      <c r="P128" s="73"/>
      <c r="Q128" s="73"/>
      <c r="R128" s="73"/>
      <c r="S128" s="73"/>
      <c r="T128" s="73"/>
      <c r="U128" s="33"/>
      <c r="V128" s="33"/>
      <c r="W128" s="33"/>
      <c r="X128" s="33"/>
      <c r="Y128" s="33"/>
      <c r="Z128" s="33"/>
      <c r="AA128" s="33"/>
      <c r="AB128" s="33"/>
      <c r="AC128" s="33" t="s">
        <v>689</v>
      </c>
      <c r="AD128" t="str">
        <f>VLOOKUP(AC128,GroupLabels!$E$2:$H$145,3,0)</f>
        <v>Sweden - Swedish</v>
      </c>
    </row>
    <row r="129" spans="1:30" x14ac:dyDescent="0.25">
      <c r="A129" t="s">
        <v>3081</v>
      </c>
      <c r="B129" s="73">
        <v>8</v>
      </c>
      <c r="C129" s="73">
        <v>6</v>
      </c>
      <c r="D129" s="73">
        <v>4</v>
      </c>
      <c r="E129" s="73">
        <v>4</v>
      </c>
      <c r="F129" s="73">
        <v>5</v>
      </c>
      <c r="G129" s="73">
        <v>5</v>
      </c>
      <c r="H129" s="73">
        <v>4</v>
      </c>
      <c r="I129" s="73">
        <v>5</v>
      </c>
      <c r="J129" s="73">
        <v>5</v>
      </c>
      <c r="K129" s="33"/>
      <c r="L129" s="73"/>
      <c r="M129" s="73"/>
      <c r="N129" s="73"/>
      <c r="O129" s="73"/>
      <c r="P129" s="73"/>
      <c r="Q129" s="73"/>
      <c r="R129" s="73"/>
      <c r="S129" s="73"/>
      <c r="T129" s="73"/>
      <c r="U129" s="33"/>
      <c r="V129" s="33"/>
      <c r="W129" s="33"/>
      <c r="X129" s="33"/>
      <c r="Y129" s="33"/>
      <c r="Z129" s="33"/>
      <c r="AA129" s="33"/>
      <c r="AB129" s="33"/>
      <c r="AC129" s="33" t="s">
        <v>690</v>
      </c>
      <c r="AD129" t="str">
        <f>VLOOKUP(AC129,GroupLabels!$E$2:$H$145,3,0)</f>
        <v>Switzerland - French</v>
      </c>
    </row>
    <row r="130" spans="1:30" x14ac:dyDescent="0.25">
      <c r="A130" t="s">
        <v>2964</v>
      </c>
      <c r="B130" s="73">
        <v>8</v>
      </c>
      <c r="C130" s="73">
        <v>6</v>
      </c>
      <c r="D130" s="73">
        <v>4</v>
      </c>
      <c r="E130" s="73">
        <v>4</v>
      </c>
      <c r="F130" s="73">
        <v>5</v>
      </c>
      <c r="G130" s="73">
        <v>5</v>
      </c>
      <c r="H130" s="73">
        <v>4</v>
      </c>
      <c r="I130" s="73">
        <v>5</v>
      </c>
      <c r="J130" s="73">
        <v>5</v>
      </c>
      <c r="K130" s="33"/>
      <c r="L130" s="73"/>
      <c r="M130" s="73"/>
      <c r="N130" s="73"/>
      <c r="O130" s="73"/>
      <c r="P130" s="73"/>
      <c r="Q130" s="73"/>
      <c r="R130" s="73"/>
      <c r="S130" s="73"/>
      <c r="T130" s="73"/>
      <c r="U130" s="33"/>
      <c r="V130" s="33"/>
      <c r="W130" s="33"/>
      <c r="X130" s="33"/>
      <c r="Y130" s="33"/>
      <c r="Z130" s="33"/>
      <c r="AA130" s="33"/>
      <c r="AB130" s="33"/>
      <c r="AC130" s="33" t="s">
        <v>691</v>
      </c>
      <c r="AD130" t="str">
        <f>VLOOKUP(AC130,GroupLabels!$E$2:$H$145,3,0)</f>
        <v>Switzerland - German</v>
      </c>
    </row>
    <row r="131" spans="1:30" x14ac:dyDescent="0.25">
      <c r="A131" t="s">
        <v>3125</v>
      </c>
      <c r="B131" s="73">
        <v>8</v>
      </c>
      <c r="C131" s="73">
        <v>6</v>
      </c>
      <c r="D131" s="73">
        <v>4</v>
      </c>
      <c r="E131" s="73">
        <v>4</v>
      </c>
      <c r="F131" s="73">
        <v>5</v>
      </c>
      <c r="G131" s="73">
        <v>5</v>
      </c>
      <c r="H131" s="73">
        <v>4</v>
      </c>
      <c r="I131" s="73">
        <v>5</v>
      </c>
      <c r="J131" s="73">
        <v>5</v>
      </c>
      <c r="K131" s="33"/>
      <c r="L131" s="73"/>
      <c r="M131" s="73"/>
      <c r="N131" s="73"/>
      <c r="O131" s="73"/>
      <c r="P131" s="73"/>
      <c r="Q131" s="73"/>
      <c r="R131" s="73"/>
      <c r="S131" s="73"/>
      <c r="T131" s="73"/>
      <c r="U131" s="33"/>
      <c r="V131" s="33"/>
      <c r="W131" s="33"/>
      <c r="X131" s="33"/>
      <c r="Y131" s="33"/>
      <c r="Z131" s="33"/>
      <c r="AA131" s="33"/>
      <c r="AB131" s="33"/>
      <c r="AC131" s="33" t="s">
        <v>692</v>
      </c>
      <c r="AD131" t="str">
        <f>VLOOKUP(AC131,GroupLabels!$E$2:$H$145,3,0)</f>
        <v>Switzerland - Italian</v>
      </c>
    </row>
    <row r="132" spans="1:30" x14ac:dyDescent="0.25">
      <c r="A132" t="s">
        <v>3282</v>
      </c>
      <c r="B132" s="73">
        <v>8</v>
      </c>
      <c r="C132" s="73">
        <v>6</v>
      </c>
      <c r="D132" s="73">
        <v>4</v>
      </c>
      <c r="E132" s="73">
        <v>4</v>
      </c>
      <c r="F132" s="73">
        <v>5</v>
      </c>
      <c r="G132" s="73">
        <v>5</v>
      </c>
      <c r="H132" s="73">
        <v>4</v>
      </c>
      <c r="I132" s="73">
        <v>5</v>
      </c>
      <c r="J132" s="73">
        <v>5</v>
      </c>
      <c r="K132" s="33"/>
      <c r="L132" s="73"/>
      <c r="M132" s="73"/>
      <c r="N132" s="73"/>
      <c r="O132" s="73"/>
      <c r="P132" s="73"/>
      <c r="Q132" s="73"/>
      <c r="R132" s="73"/>
      <c r="S132" s="73"/>
      <c r="T132" s="73"/>
      <c r="U132" s="33"/>
      <c r="V132" s="33"/>
      <c r="W132" s="33"/>
      <c r="X132" s="33"/>
      <c r="Y132" s="33"/>
      <c r="Z132" s="33"/>
      <c r="AA132" s="33"/>
      <c r="AB132" s="33"/>
      <c r="AC132" s="33" t="s">
        <v>693</v>
      </c>
      <c r="AD132" t="str">
        <f>VLOOKUP(AC132,GroupLabels!$E$2:$H$145,3,0)</f>
        <v>Chinese Taipei - Chinese</v>
      </c>
    </row>
    <row r="133" spans="1:30" x14ac:dyDescent="0.25">
      <c r="A133" t="s">
        <v>3252</v>
      </c>
      <c r="B133" s="73">
        <v>8</v>
      </c>
      <c r="C133" s="73">
        <v>6</v>
      </c>
      <c r="D133" s="73">
        <v>4</v>
      </c>
      <c r="E133" s="73">
        <v>4</v>
      </c>
      <c r="F133" s="73">
        <v>5</v>
      </c>
      <c r="G133" s="73">
        <v>5</v>
      </c>
      <c r="H133" s="73">
        <v>4</v>
      </c>
      <c r="I133" s="73">
        <v>5</v>
      </c>
      <c r="J133" s="73">
        <v>5</v>
      </c>
      <c r="K133" s="33"/>
      <c r="L133" s="73"/>
      <c r="M133" s="73"/>
      <c r="N133" s="73"/>
      <c r="O133" s="73"/>
      <c r="P133" s="73"/>
      <c r="Q133" s="73"/>
      <c r="R133" s="73"/>
      <c r="S133" s="73"/>
      <c r="T133" s="73"/>
      <c r="U133" s="33"/>
      <c r="V133" s="33"/>
      <c r="W133" s="33"/>
      <c r="X133" s="33"/>
      <c r="Y133" s="33"/>
      <c r="Z133" s="33"/>
      <c r="AA133" s="33"/>
      <c r="AB133" s="33"/>
      <c r="AC133" s="33" t="s">
        <v>694</v>
      </c>
      <c r="AD133" t="str">
        <f>VLOOKUP(AC133,GroupLabels!$E$2:$H$145,3,0)</f>
        <v>Thailand - Thai</v>
      </c>
    </row>
    <row r="134" spans="1:30" x14ac:dyDescent="0.25">
      <c r="A134" t="s">
        <v>3257</v>
      </c>
      <c r="B134" s="73">
        <v>8</v>
      </c>
      <c r="C134" s="73">
        <v>6</v>
      </c>
      <c r="D134" s="73">
        <v>4</v>
      </c>
      <c r="E134" s="73">
        <v>4</v>
      </c>
      <c r="F134" s="73">
        <v>5</v>
      </c>
      <c r="G134" s="73">
        <v>5</v>
      </c>
      <c r="H134" s="73">
        <v>4</v>
      </c>
      <c r="I134" s="73">
        <v>5</v>
      </c>
      <c r="J134" s="73">
        <v>5</v>
      </c>
      <c r="K134" s="33"/>
      <c r="L134" s="73"/>
      <c r="M134" s="73"/>
      <c r="N134" s="73"/>
      <c r="O134" s="73"/>
      <c r="P134" s="73"/>
      <c r="Q134" s="73"/>
      <c r="R134" s="73"/>
      <c r="S134" s="73"/>
      <c r="T134" s="73"/>
      <c r="U134" s="33"/>
      <c r="V134" s="33"/>
      <c r="W134" s="33"/>
      <c r="X134" s="33"/>
      <c r="Y134" s="33"/>
      <c r="Z134" s="33"/>
      <c r="AA134" s="33"/>
      <c r="AB134" s="33"/>
      <c r="AC134" s="33" t="s">
        <v>695</v>
      </c>
      <c r="AD134" t="str">
        <f>VLOOKUP(AC134,GroupLabels!$E$2:$H$145,3,0)</f>
        <v>Turkey - Turkish</v>
      </c>
    </row>
    <row r="135" spans="1:30" x14ac:dyDescent="0.25">
      <c r="A135" t="s">
        <v>3262</v>
      </c>
      <c r="B135" s="73">
        <v>8</v>
      </c>
      <c r="C135" s="73">
        <v>6</v>
      </c>
      <c r="D135" s="73">
        <v>4</v>
      </c>
      <c r="E135" s="73">
        <v>4</v>
      </c>
      <c r="F135" s="73">
        <v>5</v>
      </c>
      <c r="G135" s="73">
        <v>5</v>
      </c>
      <c r="H135" s="73">
        <v>4</v>
      </c>
      <c r="I135" s="73">
        <v>5</v>
      </c>
      <c r="J135" s="73">
        <v>5</v>
      </c>
      <c r="K135" s="33"/>
      <c r="L135" s="73"/>
      <c r="M135" s="73"/>
      <c r="N135" s="73"/>
      <c r="O135" s="73"/>
      <c r="P135" s="73"/>
      <c r="Q135" s="73"/>
      <c r="R135" s="73"/>
      <c r="S135" s="73"/>
      <c r="T135" s="73"/>
      <c r="U135" s="33"/>
      <c r="V135" s="33"/>
      <c r="W135" s="33"/>
      <c r="X135" s="33"/>
      <c r="Y135" s="33"/>
      <c r="Z135" s="33"/>
      <c r="AA135" s="33"/>
      <c r="AB135" s="33"/>
      <c r="AC135" s="33" t="s">
        <v>696</v>
      </c>
      <c r="AD135" t="str">
        <f>VLOOKUP(AC135,GroupLabels!$E$2:$H$145,3,0)</f>
        <v>Ukrainian regions (17 of 27) - Ukrainian*</v>
      </c>
    </row>
    <row r="136" spans="1:30" x14ac:dyDescent="0.25">
      <c r="A136" t="s">
        <v>2895</v>
      </c>
      <c r="B136" s="73">
        <v>8</v>
      </c>
      <c r="C136" s="73">
        <v>6</v>
      </c>
      <c r="D136" s="73">
        <v>4</v>
      </c>
      <c r="E136" s="73">
        <v>4</v>
      </c>
      <c r="F136" s="73">
        <v>5</v>
      </c>
      <c r="G136" s="73">
        <v>5</v>
      </c>
      <c r="H136" s="73">
        <v>4</v>
      </c>
      <c r="I136" s="73">
        <v>5</v>
      </c>
      <c r="J136" s="73">
        <v>5</v>
      </c>
      <c r="K136" s="33"/>
      <c r="L136" s="73"/>
      <c r="M136" s="73"/>
      <c r="N136" s="73"/>
      <c r="O136" s="73"/>
      <c r="P136" s="73"/>
      <c r="Q136" s="73"/>
      <c r="R136" s="73"/>
      <c r="S136" s="73"/>
      <c r="T136" s="73"/>
      <c r="U136" s="33"/>
      <c r="V136" s="33"/>
      <c r="W136" s="33"/>
      <c r="X136" s="33"/>
      <c r="Y136" s="33"/>
      <c r="Z136" s="33"/>
      <c r="AA136" s="33"/>
      <c r="AB136" s="33"/>
      <c r="AC136" s="33" t="s">
        <v>697</v>
      </c>
      <c r="AD136" t="str">
        <f>VLOOKUP(AC136,GroupLabels!$E$2:$H$145,3,0)</f>
        <v>United Arab Emirates - Arabic</v>
      </c>
    </row>
    <row r="137" spans="1:30" x14ac:dyDescent="0.25">
      <c r="A137" t="s">
        <v>2979</v>
      </c>
      <c r="B137" s="73">
        <v>8</v>
      </c>
      <c r="C137" s="73">
        <v>6</v>
      </c>
      <c r="D137" s="73">
        <v>4</v>
      </c>
      <c r="E137" s="73">
        <v>4</v>
      </c>
      <c r="F137" s="73">
        <v>5</v>
      </c>
      <c r="G137" s="73">
        <v>5</v>
      </c>
      <c r="H137" s="73">
        <v>4</v>
      </c>
      <c r="I137" s="73">
        <v>5</v>
      </c>
      <c r="J137" s="73">
        <v>5</v>
      </c>
      <c r="K137" s="33"/>
      <c r="L137" s="73"/>
      <c r="M137" s="73"/>
      <c r="N137" s="73"/>
      <c r="O137" s="73"/>
      <c r="P137" s="73"/>
      <c r="Q137" s="73"/>
      <c r="R137" s="73"/>
      <c r="S137" s="73"/>
      <c r="T137" s="73"/>
      <c r="U137" s="33"/>
      <c r="V137" s="33"/>
      <c r="W137" s="33"/>
      <c r="X137" s="33"/>
      <c r="Y137" s="33"/>
      <c r="Z137" s="33"/>
      <c r="AA137" s="33"/>
      <c r="AB137" s="33"/>
      <c r="AC137" s="33" t="s">
        <v>698</v>
      </c>
      <c r="AD137" t="str">
        <f>VLOOKUP(AC137,GroupLabels!$E$2:$H$145,3,0)</f>
        <v>United Arab Emirates - English</v>
      </c>
    </row>
    <row r="138" spans="1:30" x14ac:dyDescent="0.25">
      <c r="A138" t="s">
        <v>2951</v>
      </c>
      <c r="B138" s="73">
        <v>8</v>
      </c>
      <c r="C138" s="73">
        <v>6</v>
      </c>
      <c r="D138" s="73">
        <v>4</v>
      </c>
      <c r="E138" s="73">
        <v>4</v>
      </c>
      <c r="F138" s="73">
        <v>5</v>
      </c>
      <c r="G138" s="73">
        <v>5</v>
      </c>
      <c r="H138" s="73">
        <v>4</v>
      </c>
      <c r="I138" s="73">
        <v>5</v>
      </c>
      <c r="J138" s="73">
        <v>5</v>
      </c>
      <c r="K138" s="33"/>
      <c r="L138" s="73"/>
      <c r="M138" s="73"/>
      <c r="N138" s="73"/>
      <c r="O138" s="73"/>
      <c r="P138" s="73"/>
      <c r="Q138" s="73"/>
      <c r="R138" s="73"/>
      <c r="S138" s="73"/>
      <c r="T138" s="73"/>
      <c r="U138" s="33"/>
      <c r="V138" s="33"/>
      <c r="W138" s="33"/>
      <c r="X138" s="33"/>
      <c r="Y138" s="33"/>
      <c r="Z138" s="33"/>
      <c r="AA138" s="33"/>
      <c r="AB138" s="33"/>
      <c r="AC138" s="33" t="s">
        <v>699</v>
      </c>
      <c r="AD138" t="str">
        <f>VLOOKUP(AC138,GroupLabels!$E$2:$H$145,3,0)</f>
        <v>United Kingdom - Welsh</v>
      </c>
    </row>
    <row r="139" spans="1:30" x14ac:dyDescent="0.25">
      <c r="A139" t="s">
        <v>2990</v>
      </c>
      <c r="B139" s="73">
        <v>8</v>
      </c>
      <c r="C139" s="73">
        <v>6</v>
      </c>
      <c r="D139" s="73">
        <v>4</v>
      </c>
      <c r="E139" s="73">
        <v>4</v>
      </c>
      <c r="F139" s="73">
        <v>5</v>
      </c>
      <c r="G139" s="73">
        <v>5</v>
      </c>
      <c r="H139" s="73">
        <v>4</v>
      </c>
      <c r="I139" s="73">
        <v>5</v>
      </c>
      <c r="J139" s="73">
        <v>5</v>
      </c>
      <c r="K139" s="33"/>
      <c r="L139" s="73"/>
      <c r="M139" s="73"/>
      <c r="N139" s="73"/>
      <c r="O139" s="73"/>
      <c r="P139" s="73"/>
      <c r="Q139" s="73"/>
      <c r="R139" s="73"/>
      <c r="S139" s="73"/>
      <c r="T139" s="73"/>
      <c r="U139" s="33"/>
      <c r="V139" s="33"/>
      <c r="W139" s="33"/>
      <c r="X139" s="33"/>
      <c r="Y139" s="33"/>
      <c r="Z139" s="33"/>
      <c r="AA139" s="33"/>
      <c r="AB139" s="33"/>
      <c r="AC139" s="33" t="s">
        <v>700</v>
      </c>
      <c r="AD139" t="str">
        <f>VLOOKUP(AC139,GroupLabels!$E$2:$H$145,3,0)</f>
        <v>United Kingdom ex Scotland - English</v>
      </c>
    </row>
    <row r="140" spans="1:30" x14ac:dyDescent="0.25">
      <c r="A140" t="s">
        <v>2989</v>
      </c>
      <c r="B140" s="73">
        <v>8</v>
      </c>
      <c r="C140" s="73">
        <v>6</v>
      </c>
      <c r="D140" s="73">
        <v>4</v>
      </c>
      <c r="E140" s="73">
        <v>4</v>
      </c>
      <c r="F140" s="73">
        <v>5</v>
      </c>
      <c r="G140" s="73">
        <v>5</v>
      </c>
      <c r="H140" s="73">
        <v>4</v>
      </c>
      <c r="I140" s="73">
        <v>5</v>
      </c>
      <c r="J140" s="73">
        <v>5</v>
      </c>
      <c r="K140" s="33"/>
      <c r="L140" s="73"/>
      <c r="M140" s="73"/>
      <c r="N140" s="73"/>
      <c r="O140" s="73"/>
      <c r="P140" s="73"/>
      <c r="Q140" s="73"/>
      <c r="R140" s="73"/>
      <c r="S140" s="73"/>
      <c r="T140" s="73"/>
      <c r="U140" s="33"/>
      <c r="V140" s="33"/>
      <c r="W140" s="33"/>
      <c r="X140" s="33"/>
      <c r="Y140" s="33"/>
      <c r="Z140" s="33"/>
      <c r="AA140" s="33"/>
      <c r="AB140" s="33"/>
      <c r="AC140" s="33" t="s">
        <v>701</v>
      </c>
      <c r="AD140" t="str">
        <f>VLOOKUP(AC140,GroupLabels!$E$2:$H$145,3,0)</f>
        <v>United Kingdom Scotland only - English</v>
      </c>
    </row>
    <row r="141" spans="1:30" x14ac:dyDescent="0.25">
      <c r="A141" t="s">
        <v>764</v>
      </c>
      <c r="B141" s="73">
        <v>8</v>
      </c>
      <c r="C141" s="73">
        <v>6</v>
      </c>
      <c r="D141" s="73">
        <v>4</v>
      </c>
      <c r="E141" s="73">
        <v>4</v>
      </c>
      <c r="F141" s="73">
        <v>5</v>
      </c>
      <c r="G141" s="73">
        <v>5</v>
      </c>
      <c r="H141" s="73">
        <v>4</v>
      </c>
      <c r="I141" s="73" t="s">
        <v>3476</v>
      </c>
      <c r="J141" s="73">
        <v>5</v>
      </c>
      <c r="K141" s="33"/>
      <c r="L141" s="73"/>
      <c r="M141" s="73"/>
      <c r="N141" s="73"/>
      <c r="O141" s="73"/>
      <c r="P141" s="73"/>
      <c r="Q141" s="73"/>
      <c r="R141" s="73"/>
      <c r="S141" s="73"/>
      <c r="T141" s="73"/>
      <c r="U141" s="33"/>
      <c r="V141" s="33"/>
      <c r="W141" s="33"/>
      <c r="X141" s="33"/>
      <c r="Y141" s="33"/>
      <c r="Z141" s="33"/>
      <c r="AA141" s="33"/>
      <c r="AB141" s="33"/>
      <c r="AC141" s="33" t="s">
        <v>702</v>
      </c>
      <c r="AD141" t="str">
        <f>VLOOKUP(AC141,GroupLabels!$E$2:$H$145,3,0)</f>
        <v>United States - English</v>
      </c>
    </row>
    <row r="142" spans="1:30" x14ac:dyDescent="0.25">
      <c r="A142" t="s">
        <v>3065</v>
      </c>
      <c r="B142" s="73">
        <v>8</v>
      </c>
      <c r="C142" s="73">
        <v>6</v>
      </c>
      <c r="D142" s="73">
        <v>4</v>
      </c>
      <c r="E142" s="73">
        <v>4</v>
      </c>
      <c r="F142" s="73">
        <v>5</v>
      </c>
      <c r="G142" s="73">
        <v>5</v>
      </c>
      <c r="H142" s="73">
        <v>4</v>
      </c>
      <c r="I142" s="73">
        <v>5</v>
      </c>
      <c r="J142" s="73">
        <v>5</v>
      </c>
      <c r="K142" s="33"/>
      <c r="L142" s="73"/>
      <c r="M142" s="73"/>
      <c r="N142" s="73"/>
      <c r="O142" s="73"/>
      <c r="P142" s="73"/>
      <c r="Q142" s="73"/>
      <c r="R142" s="73"/>
      <c r="S142" s="73"/>
      <c r="T142" s="73"/>
      <c r="U142" s="33"/>
      <c r="V142" s="33"/>
      <c r="W142" s="33"/>
      <c r="X142" s="33"/>
      <c r="Y142" s="33"/>
      <c r="Z142" s="33"/>
      <c r="AA142" s="33"/>
      <c r="AB142" s="33"/>
      <c r="AC142" s="33" t="s">
        <v>703</v>
      </c>
      <c r="AD142" t="str">
        <f>VLOOKUP(AC142,GroupLabels!$E$2:$H$145,3,0)</f>
        <v>Uruguay - Spanish</v>
      </c>
    </row>
    <row r="143" spans="1:30" x14ac:dyDescent="0.25">
      <c r="A143" t="s">
        <v>3133</v>
      </c>
      <c r="B143" s="73">
        <v>7</v>
      </c>
      <c r="C143" s="73">
        <v>6</v>
      </c>
      <c r="D143" s="73">
        <v>4</v>
      </c>
      <c r="E143" s="73">
        <v>4</v>
      </c>
      <c r="F143" s="73">
        <v>5</v>
      </c>
      <c r="G143" s="73">
        <v>5</v>
      </c>
      <c r="H143" s="73">
        <v>4</v>
      </c>
      <c r="I143" s="73">
        <v>5</v>
      </c>
      <c r="J143" s="73">
        <v>5</v>
      </c>
      <c r="K143" s="33"/>
      <c r="L143" s="73"/>
      <c r="M143" s="73"/>
      <c r="N143" s="73"/>
      <c r="O143" s="73"/>
      <c r="P143" s="73"/>
      <c r="Q143" s="73"/>
      <c r="R143" s="73"/>
      <c r="S143" s="73"/>
      <c r="T143" s="73"/>
      <c r="U143" s="33"/>
      <c r="V143" s="33"/>
      <c r="W143" s="33"/>
      <c r="X143" s="33"/>
      <c r="Y143" s="33"/>
      <c r="Z143" s="33"/>
      <c r="AA143" s="33"/>
      <c r="AB143" s="33"/>
      <c r="AC143" s="33" t="s">
        <v>704</v>
      </c>
      <c r="AD143" t="str">
        <f>VLOOKUP(AC143,GroupLabels!$E$2:$H$145,3,0)</f>
        <v>Uzbekistan - Karakalpak</v>
      </c>
    </row>
    <row r="144" spans="1:30" x14ac:dyDescent="0.25">
      <c r="A144" t="s">
        <v>3219</v>
      </c>
      <c r="B144" s="73">
        <v>8</v>
      </c>
      <c r="C144" s="73">
        <v>6</v>
      </c>
      <c r="D144" s="73">
        <v>4</v>
      </c>
      <c r="E144" s="73">
        <v>4</v>
      </c>
      <c r="F144" s="73">
        <v>5</v>
      </c>
      <c r="G144" s="73">
        <v>5</v>
      </c>
      <c r="H144" s="73">
        <v>4</v>
      </c>
      <c r="I144" s="73">
        <v>5</v>
      </c>
      <c r="J144" s="73">
        <v>5</v>
      </c>
      <c r="K144" s="33"/>
      <c r="L144" s="73"/>
      <c r="M144" s="73"/>
      <c r="N144" s="73"/>
      <c r="O144" s="73"/>
      <c r="P144" s="73"/>
      <c r="Q144" s="73"/>
      <c r="R144" s="73"/>
      <c r="S144" s="73"/>
      <c r="T144" s="73"/>
      <c r="U144" s="33"/>
      <c r="V144" s="33"/>
      <c r="W144" s="33"/>
      <c r="X144" s="33"/>
      <c r="Y144" s="33"/>
      <c r="Z144" s="33"/>
      <c r="AA144" s="33"/>
      <c r="AB144" s="33"/>
      <c r="AC144" s="33" t="s">
        <v>705</v>
      </c>
      <c r="AD144" t="str">
        <f>VLOOKUP(AC144,GroupLabels!$E$2:$H$145,3,0)</f>
        <v>Uzbekistan - Russian</v>
      </c>
    </row>
    <row r="145" spans="1:30" x14ac:dyDescent="0.25">
      <c r="A145" t="s">
        <v>3267</v>
      </c>
      <c r="B145" s="73">
        <v>8</v>
      </c>
      <c r="C145" s="73">
        <v>6</v>
      </c>
      <c r="D145" s="73">
        <v>4</v>
      </c>
      <c r="E145" s="73">
        <v>4</v>
      </c>
      <c r="F145" s="73">
        <v>5</v>
      </c>
      <c r="G145" s="73">
        <v>5</v>
      </c>
      <c r="H145" s="73">
        <v>4</v>
      </c>
      <c r="I145" s="73">
        <v>5</v>
      </c>
      <c r="J145" s="73">
        <v>5</v>
      </c>
      <c r="K145" s="33"/>
      <c r="L145" s="73"/>
      <c r="M145" s="73"/>
      <c r="N145" s="73"/>
      <c r="O145" s="73"/>
      <c r="P145" s="73"/>
      <c r="Q145" s="73"/>
      <c r="R145" s="73"/>
      <c r="S145" s="73"/>
      <c r="T145" s="73"/>
      <c r="U145" s="33"/>
      <c r="V145" s="33"/>
      <c r="W145" s="33"/>
      <c r="X145" s="33"/>
      <c r="Y145" s="33"/>
      <c r="Z145" s="33"/>
      <c r="AA145" s="33"/>
      <c r="AB145" s="33"/>
      <c r="AC145" s="33" t="s">
        <v>706</v>
      </c>
      <c r="AD145" t="str">
        <f>VLOOKUP(AC145,GroupLabels!$E$2:$H$145,3,0)</f>
        <v>Uzbekistan - Uzbekistani</v>
      </c>
    </row>
    <row r="146" spans="1:30" x14ac:dyDescent="0.25">
      <c r="A146" t="s">
        <v>3272</v>
      </c>
      <c r="B146" s="73">
        <v>8</v>
      </c>
      <c r="C146" s="73">
        <v>6</v>
      </c>
      <c r="D146" s="73">
        <v>4</v>
      </c>
      <c r="E146" s="73">
        <v>4</v>
      </c>
      <c r="F146" s="73">
        <v>5</v>
      </c>
      <c r="G146" s="73">
        <v>5</v>
      </c>
      <c r="H146" s="73">
        <v>4</v>
      </c>
      <c r="I146" s="73">
        <v>5</v>
      </c>
      <c r="J146" s="73">
        <v>5</v>
      </c>
      <c r="K146" s="33"/>
      <c r="L146" s="73"/>
      <c r="M146" s="73"/>
      <c r="N146" s="73"/>
      <c r="O146" s="73"/>
      <c r="P146" s="73"/>
      <c r="Q146" s="73"/>
      <c r="R146" s="73"/>
      <c r="S146" s="73"/>
      <c r="T146" s="73"/>
      <c r="U146" s="33"/>
      <c r="V146" s="33"/>
      <c r="W146" s="33"/>
      <c r="X146" s="33"/>
      <c r="Y146" s="33"/>
      <c r="Z146" s="33"/>
      <c r="AA146" s="33"/>
      <c r="AB146" s="33"/>
      <c r="AC146" s="33" t="s">
        <v>707</v>
      </c>
      <c r="AD146" t="str">
        <f>VLOOKUP(AC146,GroupLabels!$E$2:$H$145,3,0)</f>
        <v>Viet Nam - Vietnamese</v>
      </c>
    </row>
    <row r="147" spans="1:30" x14ac:dyDescent="0.25">
      <c r="A147" s="3" t="s">
        <v>759</v>
      </c>
      <c r="B147" s="75">
        <v>8</v>
      </c>
      <c r="C147" s="75">
        <v>6</v>
      </c>
      <c r="D147" s="75">
        <v>4</v>
      </c>
      <c r="E147" s="75">
        <v>4</v>
      </c>
      <c r="F147" s="75" t="s">
        <v>3476</v>
      </c>
      <c r="G147" s="75" t="s">
        <v>3476</v>
      </c>
      <c r="H147" s="75">
        <v>4</v>
      </c>
      <c r="I147" s="75">
        <v>5</v>
      </c>
      <c r="J147" s="75">
        <v>5</v>
      </c>
      <c r="K147" s="33"/>
      <c r="L147" s="73"/>
      <c r="M147" s="73"/>
      <c r="N147" s="73"/>
      <c r="O147" s="73"/>
      <c r="P147" s="73"/>
      <c r="Q147" s="73"/>
      <c r="R147" s="73"/>
      <c r="S147" s="73"/>
      <c r="T147" s="73"/>
      <c r="U147" s="33"/>
      <c r="V147" s="33"/>
      <c r="W147" s="33"/>
      <c r="X147" s="33"/>
      <c r="Y147" s="33"/>
      <c r="Z147" s="33"/>
      <c r="AA147" s="33"/>
      <c r="AB147" s="33"/>
      <c r="AC147" s="40" t="s">
        <v>708</v>
      </c>
      <c r="AD147" t="str">
        <f>VLOOKUP(AC147,GroupLabels!$E$2:$H$145,3,0)</f>
        <v>Zambia - English</v>
      </c>
    </row>
    <row r="148" spans="1:30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spans="1:30" x14ac:dyDescent="0.25">
      <c r="A149" s="33" t="s">
        <v>3477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</sheetData>
  <sheetProtection formatColumns="0" formatRows="0"/>
  <sortState xmlns:xlrd2="http://schemas.microsoft.com/office/spreadsheetml/2017/richdata2" ref="A7:AD147">
    <sortCondition ref="A7:A147"/>
  </sortState>
  <hyperlinks>
    <hyperlink ref="A1" location="TOC!A1" display="Table of Contents" xr:uid="{F0AA4535-C346-46C6-9A5C-8E187D2383F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5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140625" customWidth="1"/>
    <col min="2" max="2" width="31.7109375" customWidth="1"/>
    <col min="3" max="15" width="8.7109375" customWidth="1"/>
    <col min="16" max="16" width="8.7109375" hidden="1" customWidth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34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317</v>
      </c>
      <c r="B6" s="65" t="s">
        <v>709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x14ac:dyDescent="0.25">
      <c r="A7" s="33" t="s">
        <v>320</v>
      </c>
      <c r="B7" s="26" t="s">
        <v>3146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50" t="s">
        <v>710</v>
      </c>
    </row>
    <row r="8" spans="1:16" x14ac:dyDescent="0.25">
      <c r="A8" s="33" t="s">
        <v>320</v>
      </c>
      <c r="B8" s="27" t="s">
        <v>3049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50" t="s">
        <v>711</v>
      </c>
    </row>
    <row r="9" spans="1:16" x14ac:dyDescent="0.25">
      <c r="A9" s="33" t="s">
        <v>320</v>
      </c>
      <c r="B9" s="27" t="s">
        <v>3299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50" t="s">
        <v>712</v>
      </c>
    </row>
    <row r="10" spans="1:16" x14ac:dyDescent="0.25">
      <c r="A10" s="33" t="s">
        <v>320</v>
      </c>
      <c r="B10" s="27" t="s">
        <v>3288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50" t="s">
        <v>713</v>
      </c>
    </row>
    <row r="11" spans="1:16" x14ac:dyDescent="0.25">
      <c r="A11" s="33" t="s">
        <v>320</v>
      </c>
      <c r="B11" s="27" t="s">
        <v>3022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50" t="s">
        <v>714</v>
      </c>
    </row>
    <row r="12" spans="1:16" x14ac:dyDescent="0.25">
      <c r="A12" s="33" t="s">
        <v>320</v>
      </c>
      <c r="B12" s="27" t="s">
        <v>3029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50" t="s">
        <v>715</v>
      </c>
    </row>
    <row r="13" spans="1:16" x14ac:dyDescent="0.25">
      <c r="A13" s="33" t="s">
        <v>370</v>
      </c>
      <c r="B13" s="27" t="s">
        <v>3146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50" t="s">
        <v>710</v>
      </c>
    </row>
    <row r="14" spans="1:16" x14ac:dyDescent="0.25">
      <c r="A14" s="33" t="s">
        <v>371</v>
      </c>
      <c r="B14" s="27" t="s">
        <v>3146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50" t="s">
        <v>710</v>
      </c>
    </row>
    <row r="15" spans="1:16" x14ac:dyDescent="0.25">
      <c r="A15" s="33" t="s">
        <v>376</v>
      </c>
      <c r="B15" s="27" t="s">
        <v>3146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50" t="s">
        <v>710</v>
      </c>
    </row>
    <row r="16" spans="1:16" x14ac:dyDescent="0.25">
      <c r="A16" s="33" t="s">
        <v>326</v>
      </c>
      <c r="B16" s="27" t="s">
        <v>2981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50" t="s">
        <v>716</v>
      </c>
    </row>
    <row r="17" spans="1:16" x14ac:dyDescent="0.25">
      <c r="A17" s="33" t="s">
        <v>326</v>
      </c>
      <c r="B17" s="27" t="s">
        <v>2958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50" t="s">
        <v>717</v>
      </c>
    </row>
    <row r="18" spans="1:16" x14ac:dyDescent="0.25">
      <c r="A18" s="33" t="s">
        <v>326</v>
      </c>
      <c r="B18" s="27" t="s">
        <v>2962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50" t="s">
        <v>718</v>
      </c>
    </row>
    <row r="19" spans="1:16" x14ac:dyDescent="0.25">
      <c r="A19" s="33" t="s">
        <v>326</v>
      </c>
      <c r="B19" s="27" t="s">
        <v>1788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50" t="s">
        <v>719</v>
      </c>
    </row>
    <row r="20" spans="1:16" x14ac:dyDescent="0.25">
      <c r="A20" s="33" t="s">
        <v>326</v>
      </c>
      <c r="B20" s="27" t="s">
        <v>2463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50" t="s">
        <v>720</v>
      </c>
    </row>
    <row r="21" spans="1:16" x14ac:dyDescent="0.25">
      <c r="A21" s="33" t="s">
        <v>326</v>
      </c>
      <c r="B21" s="27" t="s">
        <v>1780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50" t="s">
        <v>721</v>
      </c>
    </row>
    <row r="22" spans="1:16" x14ac:dyDescent="0.25">
      <c r="A22" s="33" t="s">
        <v>326</v>
      </c>
      <c r="B22" s="27" t="s">
        <v>3061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50" t="s">
        <v>722</v>
      </c>
    </row>
    <row r="23" spans="1:16" x14ac:dyDescent="0.25">
      <c r="A23" s="33" t="s">
        <v>326</v>
      </c>
      <c r="B23" s="27" t="s">
        <v>1781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50" t="s">
        <v>723</v>
      </c>
    </row>
    <row r="24" spans="1:16" x14ac:dyDescent="0.25">
      <c r="A24" s="33" t="s">
        <v>326</v>
      </c>
      <c r="B24" s="27" t="s">
        <v>1782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50" t="s">
        <v>724</v>
      </c>
    </row>
    <row r="25" spans="1:16" x14ac:dyDescent="0.25">
      <c r="A25" s="33" t="s">
        <v>326</v>
      </c>
      <c r="B25" s="27" t="s">
        <v>1768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50" t="s">
        <v>725</v>
      </c>
    </row>
    <row r="26" spans="1:16" x14ac:dyDescent="0.25">
      <c r="A26" s="33" t="s">
        <v>326</v>
      </c>
      <c r="B26" s="27" t="s">
        <v>1789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50" t="s">
        <v>726</v>
      </c>
    </row>
    <row r="27" spans="1:16" x14ac:dyDescent="0.25">
      <c r="A27" s="33" t="s">
        <v>326</v>
      </c>
      <c r="B27" s="27" t="s">
        <v>1790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50" t="s">
        <v>727</v>
      </c>
    </row>
    <row r="28" spans="1:16" x14ac:dyDescent="0.25">
      <c r="A28" s="33" t="s">
        <v>326</v>
      </c>
      <c r="B28" s="27" t="s">
        <v>1783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50" t="s">
        <v>728</v>
      </c>
    </row>
    <row r="29" spans="1:16" x14ac:dyDescent="0.25">
      <c r="A29" s="33" t="s">
        <v>326</v>
      </c>
      <c r="B29" s="27" t="s">
        <v>1775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50" t="s">
        <v>729</v>
      </c>
    </row>
    <row r="30" spans="1:16" x14ac:dyDescent="0.25">
      <c r="A30" s="33" t="s">
        <v>326</v>
      </c>
      <c r="B30" s="27" t="s">
        <v>1804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50" t="s">
        <v>730</v>
      </c>
    </row>
    <row r="31" spans="1:16" x14ac:dyDescent="0.25">
      <c r="A31" s="33" t="s">
        <v>326</v>
      </c>
      <c r="B31" s="27" t="s">
        <v>1784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50" t="s">
        <v>731</v>
      </c>
    </row>
    <row r="32" spans="1:16" x14ac:dyDescent="0.25">
      <c r="A32" s="33" t="s">
        <v>326</v>
      </c>
      <c r="B32" s="27" t="s">
        <v>3139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50" t="s">
        <v>732</v>
      </c>
    </row>
    <row r="33" spans="1:16" x14ac:dyDescent="0.25">
      <c r="A33" s="33" t="s">
        <v>326</v>
      </c>
      <c r="B33" s="27" t="s">
        <v>3152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50" t="s">
        <v>733</v>
      </c>
    </row>
    <row r="34" spans="1:16" x14ac:dyDescent="0.25">
      <c r="A34" s="33" t="s">
        <v>326</v>
      </c>
      <c r="B34" s="27" t="s">
        <v>3299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50" t="s">
        <v>712</v>
      </c>
    </row>
    <row r="35" spans="1:16" x14ac:dyDescent="0.25">
      <c r="A35" s="33" t="s">
        <v>326</v>
      </c>
      <c r="B35" s="27" t="s">
        <v>3157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50" t="s">
        <v>734</v>
      </c>
    </row>
    <row r="36" spans="1:16" x14ac:dyDescent="0.25">
      <c r="A36" s="33" t="s">
        <v>326</v>
      </c>
      <c r="B36" s="27" t="s">
        <v>1770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50" t="s">
        <v>735</v>
      </c>
    </row>
    <row r="37" spans="1:16" x14ac:dyDescent="0.25">
      <c r="A37" s="33" t="s">
        <v>326</v>
      </c>
      <c r="B37" s="27" t="s">
        <v>1800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50" t="s">
        <v>736</v>
      </c>
    </row>
    <row r="38" spans="1:16" x14ac:dyDescent="0.25">
      <c r="A38" s="33" t="s">
        <v>326</v>
      </c>
      <c r="B38" s="27" t="s">
        <v>1776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50" t="s">
        <v>737</v>
      </c>
    </row>
    <row r="39" spans="1:16" x14ac:dyDescent="0.25">
      <c r="A39" s="33" t="s">
        <v>326</v>
      </c>
      <c r="B39" s="27" t="s">
        <v>3291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50" t="s">
        <v>738</v>
      </c>
    </row>
    <row r="40" spans="1:16" x14ac:dyDescent="0.25">
      <c r="A40" s="33" t="s">
        <v>326</v>
      </c>
      <c r="B40" s="27" t="s">
        <v>1797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50" t="s">
        <v>739</v>
      </c>
    </row>
    <row r="41" spans="1:16" x14ac:dyDescent="0.25">
      <c r="A41" s="33" t="s">
        <v>326</v>
      </c>
      <c r="B41" s="27" t="s">
        <v>2464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50" t="s">
        <v>740</v>
      </c>
    </row>
    <row r="42" spans="1:16" x14ac:dyDescent="0.25">
      <c r="A42" s="33" t="s">
        <v>326</v>
      </c>
      <c r="B42" s="27" t="s">
        <v>1773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50" t="s">
        <v>741</v>
      </c>
    </row>
    <row r="43" spans="1:16" x14ac:dyDescent="0.25">
      <c r="A43" s="33" t="s">
        <v>326</v>
      </c>
      <c r="B43" s="27" t="s">
        <v>1798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50" t="s">
        <v>742</v>
      </c>
    </row>
    <row r="44" spans="1:16" x14ac:dyDescent="0.25">
      <c r="A44" s="33" t="s">
        <v>326</v>
      </c>
      <c r="B44" s="27" t="s">
        <v>2465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50" t="s">
        <v>743</v>
      </c>
    </row>
    <row r="45" spans="1:16" x14ac:dyDescent="0.25">
      <c r="A45" s="33" t="s">
        <v>326</v>
      </c>
      <c r="B45" s="27" t="s">
        <v>1787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50" t="s">
        <v>744</v>
      </c>
    </row>
    <row r="46" spans="1:16" x14ac:dyDescent="0.25">
      <c r="A46" s="33" t="s">
        <v>326</v>
      </c>
      <c r="B46" s="27" t="s">
        <v>1799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50" t="s">
        <v>745</v>
      </c>
    </row>
    <row r="47" spans="1:16" x14ac:dyDescent="0.25">
      <c r="A47" s="33" t="s">
        <v>326</v>
      </c>
      <c r="B47" s="27" t="s">
        <v>2949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50" t="s">
        <v>746</v>
      </c>
    </row>
    <row r="48" spans="1:16" x14ac:dyDescent="0.25">
      <c r="A48" s="33" t="s">
        <v>379</v>
      </c>
      <c r="B48" s="27" t="s">
        <v>3146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50" t="s">
        <v>710</v>
      </c>
    </row>
    <row r="49" spans="1:16" x14ac:dyDescent="0.25">
      <c r="A49" s="33" t="s">
        <v>380</v>
      </c>
      <c r="B49" s="27" t="s">
        <v>3230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50" t="s">
        <v>747</v>
      </c>
    </row>
    <row r="50" spans="1:16" x14ac:dyDescent="0.25">
      <c r="A50" s="33" t="s">
        <v>380</v>
      </c>
      <c r="B50" s="27" t="s">
        <v>3197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50" t="s">
        <v>748</v>
      </c>
    </row>
    <row r="51" spans="1:16" x14ac:dyDescent="0.25">
      <c r="A51" s="33" t="s">
        <v>380</v>
      </c>
      <c r="B51" s="27" t="s">
        <v>3146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50" t="s">
        <v>710</v>
      </c>
    </row>
    <row r="52" spans="1:16" x14ac:dyDescent="0.25">
      <c r="A52" s="33" t="s">
        <v>380</v>
      </c>
      <c r="B52" s="27" t="s">
        <v>3116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50" t="s">
        <v>749</v>
      </c>
    </row>
    <row r="53" spans="1:16" x14ac:dyDescent="0.25">
      <c r="A53" s="33" t="s">
        <v>380</v>
      </c>
      <c r="B53" s="27" t="s">
        <v>3139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50" t="s">
        <v>732</v>
      </c>
    </row>
    <row r="54" spans="1:16" x14ac:dyDescent="0.25">
      <c r="A54" s="33" t="s">
        <v>380</v>
      </c>
      <c r="B54" s="27" t="s">
        <v>3000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50" t="s">
        <v>750</v>
      </c>
    </row>
    <row r="55" spans="1:16" x14ac:dyDescent="0.25">
      <c r="A55" s="40" t="s">
        <v>380</v>
      </c>
      <c r="B55" s="28" t="s">
        <v>3029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80" t="s">
        <v>715</v>
      </c>
    </row>
  </sheetData>
  <sheetProtection formatColumns="0" formatRows="0"/>
  <sortState xmlns:xlrd2="http://schemas.microsoft.com/office/spreadsheetml/2017/richdata2" ref="A7:P55">
    <sortCondition ref="A7:A55"/>
    <sortCondition ref="B7:B55"/>
  </sortState>
  <hyperlinks>
    <hyperlink ref="A1" location="TOC!A1" display="Table of Contents" xr:uid="{BE1259AD-53AD-4232-9815-0F56987575B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9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47.7109375" customWidth="1"/>
    <col min="5" max="5" width="14.140625" bestFit="1" customWidth="1"/>
  </cols>
  <sheetData>
    <row r="1" spans="1:4" x14ac:dyDescent="0.25">
      <c r="A1" s="141" t="s">
        <v>316</v>
      </c>
      <c r="B1" s="81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30</v>
      </c>
      <c r="B3" s="34"/>
      <c r="C3" s="33"/>
      <c r="D3" s="33"/>
    </row>
    <row r="4" spans="1:4" x14ac:dyDescent="0.25">
      <c r="A4" s="34" t="s">
        <v>31</v>
      </c>
      <c r="B4" s="34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566</v>
      </c>
      <c r="C6" s="33"/>
      <c r="D6" s="33"/>
    </row>
    <row r="7" spans="1:4" x14ac:dyDescent="0.25">
      <c r="A7" s="33" t="s">
        <v>367</v>
      </c>
      <c r="B7" s="59" t="s">
        <v>751</v>
      </c>
      <c r="C7" s="33"/>
      <c r="D7" s="33"/>
    </row>
    <row r="8" spans="1:4" x14ac:dyDescent="0.25">
      <c r="A8" s="33" t="s">
        <v>367</v>
      </c>
      <c r="B8" s="33" t="s">
        <v>752</v>
      </c>
      <c r="C8" s="33"/>
      <c r="D8" s="33"/>
    </row>
    <row r="9" spans="1:4" x14ac:dyDescent="0.25">
      <c r="A9" s="33" t="s">
        <v>367</v>
      </c>
      <c r="B9" s="33" t="s">
        <v>753</v>
      </c>
      <c r="C9" s="33"/>
      <c r="D9" s="33"/>
    </row>
    <row r="10" spans="1:4" x14ac:dyDescent="0.25">
      <c r="A10" s="33" t="s">
        <v>367</v>
      </c>
      <c r="B10" s="33" t="s">
        <v>754</v>
      </c>
      <c r="C10" s="33"/>
      <c r="D10" s="33"/>
    </row>
    <row r="11" spans="1:4" x14ac:dyDescent="0.25">
      <c r="A11" s="33" t="s">
        <v>367</v>
      </c>
      <c r="B11" s="33" t="s">
        <v>755</v>
      </c>
      <c r="C11" s="33"/>
      <c r="D11" s="33"/>
    </row>
    <row r="12" spans="1:4" x14ac:dyDescent="0.25">
      <c r="A12" s="33" t="s">
        <v>367</v>
      </c>
      <c r="B12" s="33" t="s">
        <v>756</v>
      </c>
      <c r="C12" s="33"/>
      <c r="D12" s="33"/>
    </row>
    <row r="13" spans="1:4" x14ac:dyDescent="0.25">
      <c r="A13" s="33" t="s">
        <v>367</v>
      </c>
      <c r="B13" s="33" t="s">
        <v>757</v>
      </c>
      <c r="C13" s="33"/>
      <c r="D13" s="33"/>
    </row>
    <row r="14" spans="1:4" x14ac:dyDescent="0.25">
      <c r="A14" s="33" t="s">
        <v>367</v>
      </c>
      <c r="B14" s="33" t="s">
        <v>758</v>
      </c>
      <c r="C14" s="33"/>
      <c r="D14" s="33"/>
    </row>
    <row r="15" spans="1:4" x14ac:dyDescent="0.25">
      <c r="A15" s="33" t="s">
        <v>367</v>
      </c>
      <c r="B15" s="33" t="s">
        <v>759</v>
      </c>
      <c r="C15" s="33"/>
      <c r="D15" s="33"/>
    </row>
    <row r="16" spans="1:4" x14ac:dyDescent="0.25">
      <c r="A16" s="33" t="s">
        <v>368</v>
      </c>
      <c r="B16" s="33" t="s">
        <v>751</v>
      </c>
      <c r="C16" s="33"/>
      <c r="D16" s="33"/>
    </row>
    <row r="17" spans="1:4" x14ac:dyDescent="0.25">
      <c r="A17" s="33" t="s">
        <v>368</v>
      </c>
      <c r="B17" s="33" t="s">
        <v>752</v>
      </c>
      <c r="C17" s="33"/>
      <c r="D17" s="33"/>
    </row>
    <row r="18" spans="1:4" x14ac:dyDescent="0.25">
      <c r="A18" s="33" t="s">
        <v>368</v>
      </c>
      <c r="B18" s="33" t="s">
        <v>753</v>
      </c>
      <c r="C18" s="33"/>
      <c r="D18" s="33"/>
    </row>
    <row r="19" spans="1:4" x14ac:dyDescent="0.25">
      <c r="A19" s="33" t="s">
        <v>368</v>
      </c>
      <c r="B19" s="33" t="s">
        <v>754</v>
      </c>
      <c r="C19" s="33"/>
      <c r="D19" s="33"/>
    </row>
    <row r="20" spans="1:4" x14ac:dyDescent="0.25">
      <c r="A20" s="33" t="s">
        <v>368</v>
      </c>
      <c r="B20" s="33" t="s">
        <v>755</v>
      </c>
      <c r="C20" s="33"/>
      <c r="D20" s="33"/>
    </row>
    <row r="21" spans="1:4" x14ac:dyDescent="0.25">
      <c r="A21" s="33" t="s">
        <v>368</v>
      </c>
      <c r="B21" s="33" t="s">
        <v>756</v>
      </c>
      <c r="C21" s="33"/>
      <c r="D21" s="33"/>
    </row>
    <row r="22" spans="1:4" x14ac:dyDescent="0.25">
      <c r="A22" s="33" t="s">
        <v>368</v>
      </c>
      <c r="B22" s="33" t="s">
        <v>757</v>
      </c>
      <c r="C22" s="33"/>
      <c r="D22" s="33"/>
    </row>
    <row r="23" spans="1:4" x14ac:dyDescent="0.25">
      <c r="A23" s="33" t="s">
        <v>368</v>
      </c>
      <c r="B23" s="33" t="s">
        <v>760</v>
      </c>
      <c r="C23" s="33"/>
      <c r="D23" s="33"/>
    </row>
    <row r="24" spans="1:4" x14ac:dyDescent="0.25">
      <c r="A24" s="33" t="s">
        <v>368</v>
      </c>
      <c r="B24" s="33" t="s">
        <v>761</v>
      </c>
      <c r="C24" s="33"/>
      <c r="D24" s="33"/>
    </row>
    <row r="25" spans="1:4" x14ac:dyDescent="0.25">
      <c r="A25" s="33" t="s">
        <v>368</v>
      </c>
      <c r="B25" s="33" t="s">
        <v>758</v>
      </c>
      <c r="C25" s="33"/>
      <c r="D25" s="33"/>
    </row>
    <row r="26" spans="1:4" x14ac:dyDescent="0.25">
      <c r="A26" s="33" t="s">
        <v>368</v>
      </c>
      <c r="B26" s="33" t="s">
        <v>762</v>
      </c>
      <c r="C26" s="33"/>
      <c r="D26" s="33"/>
    </row>
    <row r="27" spans="1:4" x14ac:dyDescent="0.25">
      <c r="A27" s="33" t="s">
        <v>368</v>
      </c>
      <c r="B27" s="33" t="s">
        <v>759</v>
      </c>
      <c r="C27" s="33"/>
      <c r="D27" s="33"/>
    </row>
    <row r="28" spans="1:4" x14ac:dyDescent="0.25">
      <c r="A28" s="33" t="s">
        <v>369</v>
      </c>
      <c r="B28" s="33" t="s">
        <v>763</v>
      </c>
      <c r="C28" s="33"/>
      <c r="D28" s="33"/>
    </row>
    <row r="29" spans="1:4" x14ac:dyDescent="0.25">
      <c r="A29" s="33" t="s">
        <v>370</v>
      </c>
      <c r="B29" s="33" t="s">
        <v>764</v>
      </c>
      <c r="C29" s="33"/>
      <c r="D29" s="33"/>
    </row>
    <row r="30" spans="1:4" x14ac:dyDescent="0.25">
      <c r="A30" s="33" t="s">
        <v>371</v>
      </c>
      <c r="B30" s="33" t="s">
        <v>760</v>
      </c>
      <c r="C30" s="33"/>
      <c r="D30" s="33"/>
    </row>
    <row r="31" spans="1:4" x14ac:dyDescent="0.25">
      <c r="A31" s="33" t="s">
        <v>371</v>
      </c>
      <c r="B31" s="33" t="s">
        <v>761</v>
      </c>
      <c r="C31" s="33"/>
      <c r="D31" s="33"/>
    </row>
    <row r="32" spans="1:4" x14ac:dyDescent="0.25">
      <c r="A32" s="33" t="s">
        <v>371</v>
      </c>
      <c r="B32" s="33" t="s">
        <v>762</v>
      </c>
      <c r="C32" s="33"/>
      <c r="D32" s="33"/>
    </row>
    <row r="33" spans="1:4" x14ac:dyDescent="0.25">
      <c r="A33" s="33" t="s">
        <v>371</v>
      </c>
      <c r="B33" s="33" t="s">
        <v>764</v>
      </c>
      <c r="C33" s="33"/>
      <c r="D33" s="33"/>
    </row>
    <row r="34" spans="1:4" x14ac:dyDescent="0.25">
      <c r="A34" s="33" t="s">
        <v>322</v>
      </c>
      <c r="B34" s="33" t="s">
        <v>751</v>
      </c>
      <c r="C34" s="33"/>
      <c r="D34" s="33"/>
    </row>
    <row r="35" spans="1:4" x14ac:dyDescent="0.25">
      <c r="A35" s="33" t="s">
        <v>322</v>
      </c>
      <c r="B35" s="33" t="s">
        <v>752</v>
      </c>
      <c r="C35" s="33"/>
      <c r="D35" s="33"/>
    </row>
    <row r="36" spans="1:4" x14ac:dyDescent="0.25">
      <c r="A36" s="33" t="s">
        <v>322</v>
      </c>
      <c r="B36" s="33" t="s">
        <v>753</v>
      </c>
      <c r="C36" s="33"/>
      <c r="D36" s="33"/>
    </row>
    <row r="37" spans="1:4" x14ac:dyDescent="0.25">
      <c r="A37" s="33" t="s">
        <v>322</v>
      </c>
      <c r="B37" s="33" t="s">
        <v>754</v>
      </c>
      <c r="C37" s="33"/>
      <c r="D37" s="33"/>
    </row>
    <row r="38" spans="1:4" x14ac:dyDescent="0.25">
      <c r="A38" s="33" t="s">
        <v>322</v>
      </c>
      <c r="B38" s="33" t="s">
        <v>755</v>
      </c>
      <c r="C38" s="33"/>
      <c r="D38" s="33"/>
    </row>
    <row r="39" spans="1:4" x14ac:dyDescent="0.25">
      <c r="A39" s="33" t="s">
        <v>322</v>
      </c>
      <c r="B39" s="33" t="s">
        <v>756</v>
      </c>
      <c r="C39" s="33"/>
      <c r="D39" s="33"/>
    </row>
    <row r="40" spans="1:4" x14ac:dyDescent="0.25">
      <c r="A40" s="33" t="s">
        <v>322</v>
      </c>
      <c r="B40" s="33" t="s">
        <v>757</v>
      </c>
      <c r="C40" s="33"/>
      <c r="D40" s="33"/>
    </row>
    <row r="41" spans="1:4" x14ac:dyDescent="0.25">
      <c r="A41" s="33" t="s">
        <v>322</v>
      </c>
      <c r="B41" s="33" t="s">
        <v>758</v>
      </c>
      <c r="C41" s="33"/>
      <c r="D41" s="33"/>
    </row>
    <row r="42" spans="1:4" x14ac:dyDescent="0.25">
      <c r="A42" s="33" t="s">
        <v>322</v>
      </c>
      <c r="B42" s="33" t="s">
        <v>759</v>
      </c>
      <c r="C42" s="33"/>
      <c r="D42" s="33"/>
    </row>
    <row r="43" spans="1:4" x14ac:dyDescent="0.25">
      <c r="A43" s="33" t="s">
        <v>372</v>
      </c>
      <c r="B43" s="33" t="s">
        <v>764</v>
      </c>
      <c r="C43" s="33"/>
      <c r="D43" s="33"/>
    </row>
    <row r="44" spans="1:4" x14ac:dyDescent="0.25">
      <c r="A44" s="33" t="s">
        <v>373</v>
      </c>
      <c r="B44" s="33" t="s">
        <v>762</v>
      </c>
      <c r="C44" s="33"/>
      <c r="D44" s="33"/>
    </row>
    <row r="45" spans="1:4" x14ac:dyDescent="0.25">
      <c r="A45" s="33" t="s">
        <v>374</v>
      </c>
      <c r="B45" s="33" t="s">
        <v>751</v>
      </c>
      <c r="C45" s="33"/>
      <c r="D45" s="33"/>
    </row>
    <row r="46" spans="1:4" x14ac:dyDescent="0.25">
      <c r="A46" s="33" t="s">
        <v>374</v>
      </c>
      <c r="B46" s="33" t="s">
        <v>752</v>
      </c>
      <c r="C46" s="33"/>
      <c r="D46" s="33"/>
    </row>
    <row r="47" spans="1:4" x14ac:dyDescent="0.25">
      <c r="A47" s="33" t="s">
        <v>374</v>
      </c>
      <c r="B47" s="33" t="s">
        <v>753</v>
      </c>
      <c r="C47" s="33"/>
      <c r="D47" s="33"/>
    </row>
    <row r="48" spans="1:4" x14ac:dyDescent="0.25">
      <c r="A48" s="33" t="s">
        <v>374</v>
      </c>
      <c r="B48" s="33" t="s">
        <v>754</v>
      </c>
      <c r="C48" s="33"/>
      <c r="D48" s="33"/>
    </row>
    <row r="49" spans="1:4" x14ac:dyDescent="0.25">
      <c r="A49" s="33" t="s">
        <v>374</v>
      </c>
      <c r="B49" s="33" t="s">
        <v>755</v>
      </c>
      <c r="C49" s="33"/>
      <c r="D49" s="33"/>
    </row>
    <row r="50" spans="1:4" x14ac:dyDescent="0.25">
      <c r="A50" s="33" t="s">
        <v>374</v>
      </c>
      <c r="B50" s="33" t="s">
        <v>756</v>
      </c>
      <c r="C50" s="33"/>
      <c r="D50" s="33"/>
    </row>
    <row r="51" spans="1:4" x14ac:dyDescent="0.25">
      <c r="A51" s="33" t="s">
        <v>374</v>
      </c>
      <c r="B51" s="33" t="s">
        <v>757</v>
      </c>
      <c r="C51" s="33"/>
      <c r="D51" s="33"/>
    </row>
    <row r="52" spans="1:4" x14ac:dyDescent="0.25">
      <c r="A52" s="33" t="s">
        <v>374</v>
      </c>
      <c r="B52" s="33" t="s">
        <v>758</v>
      </c>
      <c r="C52" s="33"/>
      <c r="D52" s="33"/>
    </row>
    <row r="53" spans="1:4" x14ac:dyDescent="0.25">
      <c r="A53" s="33" t="s">
        <v>374</v>
      </c>
      <c r="B53" s="33" t="s">
        <v>759</v>
      </c>
      <c r="C53" s="33"/>
      <c r="D53" s="33"/>
    </row>
    <row r="54" spans="1:4" x14ac:dyDescent="0.25">
      <c r="A54" s="33" t="s">
        <v>375</v>
      </c>
      <c r="B54" s="33" t="s">
        <v>764</v>
      </c>
      <c r="C54" s="33"/>
      <c r="D54" s="33"/>
    </row>
    <row r="55" spans="1:4" x14ac:dyDescent="0.25">
      <c r="A55" s="33" t="s">
        <v>323</v>
      </c>
      <c r="B55" s="33" t="s">
        <v>764</v>
      </c>
      <c r="C55" s="33"/>
      <c r="D55" s="33"/>
    </row>
    <row r="56" spans="1:4" x14ac:dyDescent="0.25">
      <c r="A56" s="33" t="s">
        <v>376</v>
      </c>
      <c r="B56" s="33" t="s">
        <v>764</v>
      </c>
      <c r="C56" s="33"/>
      <c r="D56" s="33"/>
    </row>
    <row r="57" spans="1:4" x14ac:dyDescent="0.25">
      <c r="A57" s="33" t="s">
        <v>324</v>
      </c>
      <c r="B57" s="33" t="s">
        <v>763</v>
      </c>
      <c r="C57" s="33"/>
      <c r="D57" s="33"/>
    </row>
    <row r="58" spans="1:4" x14ac:dyDescent="0.25">
      <c r="A58" s="33" t="s">
        <v>325</v>
      </c>
      <c r="B58" s="33" t="s">
        <v>765</v>
      </c>
      <c r="C58" s="33"/>
      <c r="D58" s="33"/>
    </row>
    <row r="59" spans="1:4" x14ac:dyDescent="0.25">
      <c r="A59" s="33" t="s">
        <v>325</v>
      </c>
      <c r="B59" s="33" t="s">
        <v>766</v>
      </c>
      <c r="C59" s="33"/>
      <c r="D59" s="33"/>
    </row>
    <row r="60" spans="1:4" x14ac:dyDescent="0.25">
      <c r="A60" s="33" t="s">
        <v>325</v>
      </c>
      <c r="B60" s="33" t="s">
        <v>767</v>
      </c>
      <c r="C60" s="33"/>
      <c r="D60" s="33"/>
    </row>
    <row r="61" spans="1:4" x14ac:dyDescent="0.25">
      <c r="A61" s="33" t="s">
        <v>325</v>
      </c>
      <c r="B61" s="33" t="s">
        <v>768</v>
      </c>
      <c r="C61" s="33"/>
      <c r="D61" s="33"/>
    </row>
    <row r="62" spans="1:4" x14ac:dyDescent="0.25">
      <c r="A62" s="33" t="s">
        <v>377</v>
      </c>
      <c r="B62" s="33" t="s">
        <v>751</v>
      </c>
      <c r="C62" s="33"/>
      <c r="D62" s="33"/>
    </row>
    <row r="63" spans="1:4" x14ac:dyDescent="0.25">
      <c r="A63" s="33" t="s">
        <v>377</v>
      </c>
      <c r="B63" s="33" t="s">
        <v>752</v>
      </c>
      <c r="C63" s="33"/>
      <c r="D63" s="33"/>
    </row>
    <row r="64" spans="1:4" x14ac:dyDescent="0.25">
      <c r="A64" s="33" t="s">
        <v>377</v>
      </c>
      <c r="B64" s="33" t="s">
        <v>753</v>
      </c>
      <c r="C64" s="33"/>
      <c r="D64" s="33"/>
    </row>
    <row r="65" spans="1:4" x14ac:dyDescent="0.25">
      <c r="A65" s="33" t="s">
        <v>377</v>
      </c>
      <c r="B65" s="33" t="s">
        <v>754</v>
      </c>
      <c r="C65" s="33"/>
      <c r="D65" s="33"/>
    </row>
    <row r="66" spans="1:4" x14ac:dyDescent="0.25">
      <c r="A66" s="33" t="s">
        <v>377</v>
      </c>
      <c r="B66" s="33" t="s">
        <v>755</v>
      </c>
      <c r="C66" s="33"/>
      <c r="D66" s="33"/>
    </row>
    <row r="67" spans="1:4" x14ac:dyDescent="0.25">
      <c r="A67" s="33" t="s">
        <v>377</v>
      </c>
      <c r="B67" s="33" t="s">
        <v>756</v>
      </c>
      <c r="C67" s="33"/>
      <c r="D67" s="33"/>
    </row>
    <row r="68" spans="1:4" x14ac:dyDescent="0.25">
      <c r="A68" s="33" t="s">
        <v>377</v>
      </c>
      <c r="B68" s="33" t="s">
        <v>757</v>
      </c>
      <c r="C68" s="33"/>
      <c r="D68" s="33"/>
    </row>
    <row r="69" spans="1:4" x14ac:dyDescent="0.25">
      <c r="A69" s="33" t="s">
        <v>377</v>
      </c>
      <c r="B69" s="33" t="s">
        <v>758</v>
      </c>
      <c r="C69" s="33"/>
      <c r="D69" s="33"/>
    </row>
    <row r="70" spans="1:4" x14ac:dyDescent="0.25">
      <c r="A70" s="33" t="s">
        <v>377</v>
      </c>
      <c r="B70" s="33" t="s">
        <v>759</v>
      </c>
      <c r="C70" s="33"/>
      <c r="D70" s="33"/>
    </row>
    <row r="71" spans="1:4" x14ac:dyDescent="0.25">
      <c r="A71" s="33" t="s">
        <v>326</v>
      </c>
      <c r="B71" s="33" t="s">
        <v>763</v>
      </c>
      <c r="C71" s="33"/>
      <c r="D71" s="33"/>
    </row>
    <row r="72" spans="1:4" x14ac:dyDescent="0.25">
      <c r="A72" s="33" t="s">
        <v>379</v>
      </c>
      <c r="B72" s="33" t="s">
        <v>764</v>
      </c>
      <c r="C72" s="33"/>
      <c r="D72" s="33"/>
    </row>
    <row r="73" spans="1:4" x14ac:dyDescent="0.25">
      <c r="A73" s="33" t="s">
        <v>380</v>
      </c>
      <c r="B73" s="33" t="s">
        <v>762</v>
      </c>
      <c r="C73" s="33"/>
      <c r="D73" s="33"/>
    </row>
    <row r="74" spans="1:4" x14ac:dyDescent="0.25">
      <c r="A74" s="33" t="s">
        <v>380</v>
      </c>
      <c r="B74" s="33" t="s">
        <v>764</v>
      </c>
      <c r="C74" s="33"/>
      <c r="D74" s="33"/>
    </row>
    <row r="75" spans="1:4" x14ac:dyDescent="0.25">
      <c r="A75" s="33" t="s">
        <v>382</v>
      </c>
      <c r="B75" s="33" t="s">
        <v>751</v>
      </c>
      <c r="C75" s="33"/>
      <c r="D75" s="33"/>
    </row>
    <row r="76" spans="1:4" x14ac:dyDescent="0.25">
      <c r="A76" s="33" t="s">
        <v>382</v>
      </c>
      <c r="B76" s="33" t="s">
        <v>752</v>
      </c>
      <c r="C76" s="33"/>
      <c r="D76" s="33"/>
    </row>
    <row r="77" spans="1:4" x14ac:dyDescent="0.25">
      <c r="A77" s="33" t="s">
        <v>382</v>
      </c>
      <c r="B77" s="33" t="s">
        <v>753</v>
      </c>
      <c r="C77" s="33"/>
      <c r="D77" s="33"/>
    </row>
    <row r="78" spans="1:4" x14ac:dyDescent="0.25">
      <c r="A78" s="33" t="s">
        <v>382</v>
      </c>
      <c r="B78" s="33" t="s">
        <v>754</v>
      </c>
      <c r="C78" s="33"/>
      <c r="D78" s="33"/>
    </row>
    <row r="79" spans="1:4" x14ac:dyDescent="0.25">
      <c r="A79" s="33" t="s">
        <v>382</v>
      </c>
      <c r="B79" s="33" t="s">
        <v>755</v>
      </c>
      <c r="C79" s="33"/>
      <c r="D79" s="33"/>
    </row>
    <row r="80" spans="1:4" x14ac:dyDescent="0.25">
      <c r="A80" s="33" t="s">
        <v>382</v>
      </c>
      <c r="B80" s="33" t="s">
        <v>756</v>
      </c>
      <c r="C80" s="33"/>
      <c r="D80" s="33"/>
    </row>
    <row r="81" spans="1:4" x14ac:dyDescent="0.25">
      <c r="A81" s="33" t="s">
        <v>382</v>
      </c>
      <c r="B81" s="33" t="s">
        <v>757</v>
      </c>
      <c r="C81" s="33"/>
      <c r="D81" s="33"/>
    </row>
    <row r="82" spans="1:4" x14ac:dyDescent="0.25">
      <c r="A82" s="33" t="s">
        <v>382</v>
      </c>
      <c r="B82" s="33" t="s">
        <v>758</v>
      </c>
      <c r="C82" s="33"/>
      <c r="D82" s="33"/>
    </row>
    <row r="83" spans="1:4" x14ac:dyDescent="0.25">
      <c r="A83" s="33" t="s">
        <v>382</v>
      </c>
      <c r="B83" s="33" t="s">
        <v>759</v>
      </c>
      <c r="C83" s="33"/>
      <c r="D83" s="33"/>
    </row>
    <row r="84" spans="1:4" x14ac:dyDescent="0.25">
      <c r="A84" s="33" t="s">
        <v>328</v>
      </c>
      <c r="B84" s="33" t="s">
        <v>751</v>
      </c>
      <c r="C84" s="33"/>
      <c r="D84" s="33"/>
    </row>
    <row r="85" spans="1:4" x14ac:dyDescent="0.25">
      <c r="A85" s="33" t="s">
        <v>328</v>
      </c>
      <c r="B85" s="33" t="s">
        <v>769</v>
      </c>
      <c r="C85" s="33"/>
      <c r="D85" s="33"/>
    </row>
    <row r="86" spans="1:4" x14ac:dyDescent="0.25">
      <c r="A86" s="33" t="s">
        <v>328</v>
      </c>
      <c r="B86" s="33" t="s">
        <v>770</v>
      </c>
      <c r="C86" s="33"/>
      <c r="D86" s="33"/>
    </row>
    <row r="87" spans="1:4" x14ac:dyDescent="0.25">
      <c r="A87" s="33" t="s">
        <v>328</v>
      </c>
      <c r="B87" s="33" t="s">
        <v>752</v>
      </c>
      <c r="C87" s="33"/>
      <c r="D87" s="33"/>
    </row>
    <row r="88" spans="1:4" x14ac:dyDescent="0.25">
      <c r="A88" s="33" t="s">
        <v>328</v>
      </c>
      <c r="B88" s="33" t="s">
        <v>753</v>
      </c>
      <c r="C88" s="33"/>
      <c r="D88" s="33"/>
    </row>
    <row r="89" spans="1:4" x14ac:dyDescent="0.25">
      <c r="A89" s="33" t="s">
        <v>328</v>
      </c>
      <c r="B89" s="33" t="s">
        <v>754</v>
      </c>
      <c r="C89" s="33"/>
      <c r="D89" s="33"/>
    </row>
    <row r="90" spans="1:4" x14ac:dyDescent="0.25">
      <c r="A90" s="33" t="s">
        <v>328</v>
      </c>
      <c r="B90" s="33" t="s">
        <v>755</v>
      </c>
      <c r="C90" s="33"/>
      <c r="D90" s="33"/>
    </row>
    <row r="91" spans="1:4" x14ac:dyDescent="0.25">
      <c r="A91" s="33" t="s">
        <v>328</v>
      </c>
      <c r="B91" s="33" t="s">
        <v>756</v>
      </c>
      <c r="C91" s="33"/>
      <c r="D91" s="33"/>
    </row>
    <row r="92" spans="1:4" x14ac:dyDescent="0.25">
      <c r="A92" s="33" t="s">
        <v>328</v>
      </c>
      <c r="B92" s="33" t="s">
        <v>757</v>
      </c>
      <c r="C92" s="33"/>
      <c r="D92" s="33"/>
    </row>
    <row r="93" spans="1:4" x14ac:dyDescent="0.25">
      <c r="A93" s="33" t="s">
        <v>328</v>
      </c>
      <c r="B93" s="33" t="s">
        <v>758</v>
      </c>
      <c r="C93" s="33"/>
      <c r="D93" s="33"/>
    </row>
    <row r="94" spans="1:4" x14ac:dyDescent="0.25">
      <c r="A94" s="40" t="s">
        <v>328</v>
      </c>
      <c r="B94" s="40" t="s">
        <v>759</v>
      </c>
      <c r="C94" s="33"/>
      <c r="D94" s="33"/>
    </row>
  </sheetData>
  <sheetProtection formatColumns="0" formatRows="0" autoFilter="0"/>
  <hyperlinks>
    <hyperlink ref="A1" location="TOC!A1" display="Table of Contents" xr:uid="{F3069E3D-CE51-4F55-B31F-67A1A6411BB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26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9.7109375" customWidth="1"/>
    <col min="2" max="2" width="14.7109375" customWidth="1"/>
    <col min="3" max="3" width="86.7109375" customWidth="1"/>
    <col min="4" max="4" width="19.42578125" style="19" bestFit="1" customWidth="1"/>
    <col min="15" max="15" width="0" hidden="1" customWidth="1"/>
    <col min="16" max="17" width="8.7109375" hidden="1" customWidth="1"/>
    <col min="18" max="18" width="0" hidden="1" customWidth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32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34" t="s">
        <v>33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771</v>
      </c>
      <c r="B6" s="65" t="s">
        <v>772</v>
      </c>
      <c r="C6" s="65" t="s">
        <v>773</v>
      </c>
      <c r="D6" s="82" t="s">
        <v>774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  <c r="K6" s="65" t="s">
        <v>781</v>
      </c>
      <c r="L6" s="33"/>
      <c r="M6" s="33"/>
      <c r="N6" s="33"/>
      <c r="O6" s="33"/>
      <c r="P6" s="33"/>
    </row>
    <row r="7" spans="1:16" x14ac:dyDescent="0.25">
      <c r="A7" s="53" t="s">
        <v>782</v>
      </c>
      <c r="B7" s="53" t="s">
        <v>783</v>
      </c>
      <c r="C7" s="53" t="s">
        <v>784</v>
      </c>
      <c r="D7" s="83">
        <v>2</v>
      </c>
      <c r="E7" s="53">
        <v>0.61661999999999995</v>
      </c>
      <c r="F7" s="53">
        <v>-2.3352900000000001</v>
      </c>
      <c r="G7" s="53"/>
      <c r="H7" s="53"/>
      <c r="I7" s="53"/>
      <c r="J7" s="53"/>
      <c r="K7" s="53"/>
      <c r="L7" s="33"/>
      <c r="M7" s="33"/>
      <c r="N7" s="33"/>
      <c r="O7" s="33"/>
      <c r="P7" s="33"/>
    </row>
    <row r="8" spans="1:16" x14ac:dyDescent="0.25">
      <c r="A8" s="53" t="s">
        <v>782</v>
      </c>
      <c r="B8" s="53" t="s">
        <v>785</v>
      </c>
      <c r="C8" s="53" t="s">
        <v>786</v>
      </c>
      <c r="D8" s="83">
        <v>2</v>
      </c>
      <c r="E8" s="53">
        <v>1.4285399999999999</v>
      </c>
      <c r="F8" s="53">
        <v>-3.5450300000000001</v>
      </c>
      <c r="G8" s="53"/>
      <c r="H8" s="53"/>
      <c r="I8" s="53"/>
      <c r="J8" s="53"/>
      <c r="K8" s="53"/>
      <c r="L8" s="33"/>
      <c r="M8" s="33"/>
      <c r="N8" s="33"/>
      <c r="O8" s="33"/>
      <c r="P8" s="33"/>
    </row>
    <row r="9" spans="1:16" x14ac:dyDescent="0.25">
      <c r="A9" s="53" t="s">
        <v>782</v>
      </c>
      <c r="B9" s="53" t="s">
        <v>787</v>
      </c>
      <c r="C9" s="53" t="s">
        <v>788</v>
      </c>
      <c r="D9" s="83">
        <v>2</v>
      </c>
      <c r="E9" s="53">
        <v>0.72987000000000002</v>
      </c>
      <c r="F9" s="53">
        <v>-1.9890300000000001</v>
      </c>
      <c r="G9" s="53"/>
      <c r="H9" s="53"/>
      <c r="I9" s="53"/>
      <c r="J9" s="53"/>
      <c r="K9" s="53"/>
      <c r="L9" s="33"/>
      <c r="M9" s="33"/>
      <c r="N9" s="33"/>
      <c r="O9" s="33"/>
      <c r="P9" s="33"/>
    </row>
    <row r="10" spans="1:16" x14ac:dyDescent="0.25">
      <c r="A10" s="53" t="s">
        <v>782</v>
      </c>
      <c r="B10" s="53" t="s">
        <v>789</v>
      </c>
      <c r="C10" s="53" t="s">
        <v>790</v>
      </c>
      <c r="D10" s="83">
        <v>2</v>
      </c>
      <c r="E10" s="53">
        <v>0.83435000000000004</v>
      </c>
      <c r="F10" s="53">
        <v>-4.3236999999999997</v>
      </c>
      <c r="G10" s="53"/>
      <c r="H10" s="53"/>
      <c r="I10" s="53"/>
      <c r="J10" s="53"/>
      <c r="K10" s="53"/>
      <c r="L10" s="33"/>
      <c r="M10" s="33"/>
      <c r="N10" s="33"/>
      <c r="O10" s="33"/>
      <c r="P10" s="33"/>
    </row>
    <row r="11" spans="1:16" x14ac:dyDescent="0.25">
      <c r="A11" s="53" t="s">
        <v>782</v>
      </c>
      <c r="B11" s="53" t="s">
        <v>791</v>
      </c>
      <c r="C11" s="53" t="s">
        <v>792</v>
      </c>
      <c r="D11" s="83">
        <v>2</v>
      </c>
      <c r="E11" s="53">
        <v>1.26</v>
      </c>
      <c r="F11" s="53">
        <v>-4.4979699999999996</v>
      </c>
      <c r="G11" s="53"/>
      <c r="H11" s="53"/>
      <c r="I11" s="53"/>
      <c r="J11" s="53"/>
      <c r="K11" s="53"/>
      <c r="L11" s="33"/>
      <c r="M11" s="33"/>
      <c r="N11" s="33"/>
      <c r="O11" s="33"/>
      <c r="P11" s="33"/>
    </row>
    <row r="12" spans="1:16" x14ac:dyDescent="0.25">
      <c r="A12" s="53" t="s">
        <v>782</v>
      </c>
      <c r="B12" s="53" t="s">
        <v>793</v>
      </c>
      <c r="C12" s="53" t="s">
        <v>794</v>
      </c>
      <c r="D12" s="83">
        <v>2</v>
      </c>
      <c r="E12" s="53">
        <v>0.90124000000000004</v>
      </c>
      <c r="F12" s="53">
        <v>-4.6666100000000004</v>
      </c>
      <c r="G12" s="53"/>
      <c r="H12" s="53"/>
      <c r="I12" s="53"/>
      <c r="J12" s="53"/>
      <c r="K12" s="53"/>
      <c r="L12" s="33"/>
      <c r="M12" s="33"/>
      <c r="N12" s="33"/>
      <c r="O12" s="33"/>
      <c r="P12" s="33"/>
    </row>
    <row r="13" spans="1:16" x14ac:dyDescent="0.25">
      <c r="A13" s="53" t="s">
        <v>782</v>
      </c>
      <c r="B13" s="53" t="s">
        <v>795</v>
      </c>
      <c r="C13" s="53" t="s">
        <v>796</v>
      </c>
      <c r="D13" s="83">
        <v>2</v>
      </c>
      <c r="E13" s="53">
        <v>0.95186000000000004</v>
      </c>
      <c r="F13" s="53">
        <v>-4.0778800000000004</v>
      </c>
      <c r="G13" s="53"/>
      <c r="H13" s="53"/>
      <c r="I13" s="53"/>
      <c r="J13" s="53"/>
      <c r="K13" s="53"/>
      <c r="L13" s="33"/>
      <c r="M13" s="33"/>
      <c r="N13" s="33"/>
      <c r="O13" s="33"/>
      <c r="P13" s="33"/>
    </row>
    <row r="14" spans="1:16" x14ac:dyDescent="0.25">
      <c r="A14" s="53" t="s">
        <v>782</v>
      </c>
      <c r="B14" s="53" t="s">
        <v>797</v>
      </c>
      <c r="C14" s="53" t="s">
        <v>798</v>
      </c>
      <c r="D14" s="83">
        <v>2</v>
      </c>
      <c r="E14" s="53">
        <v>0.88109000000000004</v>
      </c>
      <c r="F14" s="53">
        <v>-1.53295</v>
      </c>
      <c r="G14" s="53"/>
      <c r="H14" s="53"/>
      <c r="I14" s="53"/>
      <c r="J14" s="53"/>
      <c r="K14" s="53"/>
      <c r="L14" s="33"/>
      <c r="M14" s="33"/>
      <c r="N14" s="33"/>
      <c r="O14" s="33"/>
      <c r="P14" s="33"/>
    </row>
    <row r="15" spans="1:16" x14ac:dyDescent="0.25">
      <c r="A15" s="53" t="s">
        <v>782</v>
      </c>
      <c r="B15" s="53" t="s">
        <v>799</v>
      </c>
      <c r="C15" s="53" t="s">
        <v>800</v>
      </c>
      <c r="D15" s="83">
        <v>2</v>
      </c>
      <c r="E15" s="53">
        <v>0.63941999999999999</v>
      </c>
      <c r="F15" s="53">
        <v>-2.16873</v>
      </c>
      <c r="G15" s="53"/>
      <c r="H15" s="53"/>
      <c r="I15" s="53"/>
      <c r="J15" s="53"/>
      <c r="K15" s="53"/>
      <c r="L15" s="33"/>
      <c r="M15" s="33"/>
      <c r="N15" s="33"/>
      <c r="O15" s="33"/>
      <c r="P15" s="33"/>
    </row>
    <row r="16" spans="1:16" x14ac:dyDescent="0.25">
      <c r="A16" s="53" t="s">
        <v>782</v>
      </c>
      <c r="B16" s="53" t="s">
        <v>801</v>
      </c>
      <c r="C16" s="53" t="s">
        <v>802</v>
      </c>
      <c r="D16" s="83">
        <v>2</v>
      </c>
      <c r="E16" s="53">
        <v>1.24013</v>
      </c>
      <c r="F16" s="53">
        <v>-5.5560299999999998</v>
      </c>
      <c r="G16" s="53"/>
      <c r="H16" s="53"/>
      <c r="I16" s="53"/>
      <c r="J16" s="53"/>
      <c r="K16" s="53"/>
      <c r="L16" s="33"/>
      <c r="M16" s="33"/>
      <c r="N16" s="33"/>
      <c r="O16" s="33"/>
      <c r="P16" s="33"/>
    </row>
    <row r="17" spans="1:16" x14ac:dyDescent="0.25">
      <c r="A17" s="53" t="s">
        <v>782</v>
      </c>
      <c r="B17" s="53" t="s">
        <v>803</v>
      </c>
      <c r="C17" s="53" t="s">
        <v>804</v>
      </c>
      <c r="D17" s="83">
        <v>2</v>
      </c>
      <c r="E17" s="53">
        <v>0.80356000000000005</v>
      </c>
      <c r="F17" s="53">
        <v>-3.9281999999999999</v>
      </c>
      <c r="G17" s="53"/>
      <c r="H17" s="53"/>
      <c r="I17" s="53"/>
      <c r="J17" s="53"/>
      <c r="K17" s="53"/>
      <c r="L17" s="33"/>
      <c r="M17" s="33"/>
      <c r="N17" s="33"/>
      <c r="O17" s="33"/>
      <c r="P17" s="33"/>
    </row>
    <row r="18" spans="1:16" x14ac:dyDescent="0.25">
      <c r="A18" s="53" t="s">
        <v>782</v>
      </c>
      <c r="B18" s="53" t="s">
        <v>805</v>
      </c>
      <c r="C18" s="53" t="s">
        <v>806</v>
      </c>
      <c r="D18" s="83">
        <v>2</v>
      </c>
      <c r="E18" s="53">
        <v>0.86151999999999995</v>
      </c>
      <c r="F18" s="53">
        <v>-3.98529</v>
      </c>
      <c r="G18" s="53"/>
      <c r="H18" s="53"/>
      <c r="I18" s="53"/>
      <c r="J18" s="53"/>
      <c r="K18" s="53"/>
      <c r="L18" s="33"/>
      <c r="M18" s="33"/>
      <c r="N18" s="33"/>
      <c r="O18" s="33"/>
      <c r="P18" s="33"/>
    </row>
    <row r="19" spans="1:16" x14ac:dyDescent="0.25">
      <c r="A19" s="53" t="s">
        <v>782</v>
      </c>
      <c r="B19" s="53" t="s">
        <v>807</v>
      </c>
      <c r="C19" s="53" t="s">
        <v>808</v>
      </c>
      <c r="D19" s="83">
        <v>2</v>
      </c>
      <c r="E19" s="53">
        <v>1.4324699999999999</v>
      </c>
      <c r="F19" s="53">
        <v>-5.9948100000000002</v>
      </c>
      <c r="G19" s="53"/>
      <c r="H19" s="53"/>
      <c r="I19" s="53"/>
      <c r="J19" s="53"/>
      <c r="K19" s="53"/>
      <c r="L19" s="33"/>
      <c r="M19" s="33"/>
      <c r="N19" s="33"/>
      <c r="O19" s="33"/>
      <c r="P19" s="33"/>
    </row>
    <row r="20" spans="1:16" x14ac:dyDescent="0.25">
      <c r="A20" s="53" t="s">
        <v>782</v>
      </c>
      <c r="B20" s="53" t="s">
        <v>809</v>
      </c>
      <c r="C20" s="53" t="s">
        <v>810</v>
      </c>
      <c r="D20" s="83">
        <v>2</v>
      </c>
      <c r="E20" s="53">
        <v>0.81738999999999995</v>
      </c>
      <c r="F20" s="53">
        <v>-3.0874600000000001</v>
      </c>
      <c r="G20" s="53"/>
      <c r="H20" s="53"/>
      <c r="I20" s="53"/>
      <c r="J20" s="53"/>
      <c r="K20" s="53"/>
      <c r="L20" s="33"/>
      <c r="M20" s="33"/>
      <c r="N20" s="33"/>
      <c r="O20" s="33"/>
      <c r="P20" s="33"/>
    </row>
    <row r="21" spans="1:16" x14ac:dyDescent="0.25">
      <c r="A21" s="53" t="s">
        <v>782</v>
      </c>
      <c r="B21" s="53" t="s">
        <v>811</v>
      </c>
      <c r="C21" s="53" t="s">
        <v>812</v>
      </c>
      <c r="D21" s="83">
        <v>2</v>
      </c>
      <c r="E21" s="53">
        <v>1.2718100000000001</v>
      </c>
      <c r="F21" s="53">
        <v>-3.74335</v>
      </c>
      <c r="G21" s="53"/>
      <c r="H21" s="53"/>
      <c r="I21" s="53"/>
      <c r="J21" s="53"/>
      <c r="K21" s="53"/>
      <c r="L21" s="33"/>
      <c r="M21" s="33"/>
      <c r="N21" s="33"/>
      <c r="O21" s="33"/>
      <c r="P21" s="33"/>
    </row>
    <row r="22" spans="1:16" x14ac:dyDescent="0.25">
      <c r="A22" s="53" t="s">
        <v>782</v>
      </c>
      <c r="B22" s="53" t="s">
        <v>813</v>
      </c>
      <c r="C22" s="53" t="s">
        <v>814</v>
      </c>
      <c r="D22" s="83">
        <v>2</v>
      </c>
      <c r="E22" s="53">
        <v>0.65046999999999999</v>
      </c>
      <c r="F22" s="53">
        <v>0.14695</v>
      </c>
      <c r="G22" s="53"/>
      <c r="H22" s="53"/>
      <c r="I22" s="53"/>
      <c r="J22" s="53"/>
      <c r="K22" s="53"/>
      <c r="L22" s="33"/>
      <c r="M22" s="33"/>
      <c r="N22" s="33"/>
      <c r="O22" s="33"/>
      <c r="P22" s="33"/>
    </row>
    <row r="23" spans="1:16" x14ac:dyDescent="0.25">
      <c r="A23" s="53" t="s">
        <v>782</v>
      </c>
      <c r="B23" s="53" t="s">
        <v>815</v>
      </c>
      <c r="C23" s="53" t="s">
        <v>816</v>
      </c>
      <c r="D23" s="83">
        <v>2</v>
      </c>
      <c r="E23" s="53">
        <v>0.64283999999999997</v>
      </c>
      <c r="F23" s="53">
        <v>-2.4102600000000001</v>
      </c>
      <c r="G23" s="53"/>
      <c r="H23" s="53"/>
      <c r="I23" s="53"/>
      <c r="J23" s="53"/>
      <c r="K23" s="53"/>
      <c r="L23" s="33"/>
      <c r="M23" s="33"/>
      <c r="N23" s="33"/>
      <c r="O23" s="33"/>
      <c r="P23" s="33"/>
    </row>
    <row r="24" spans="1:16" x14ac:dyDescent="0.25">
      <c r="A24" s="53" t="s">
        <v>782</v>
      </c>
      <c r="B24" s="53" t="s">
        <v>817</v>
      </c>
      <c r="C24" s="53" t="s">
        <v>818</v>
      </c>
      <c r="D24" s="83">
        <v>2</v>
      </c>
      <c r="E24" s="53">
        <v>0.71487000000000001</v>
      </c>
      <c r="F24" s="53">
        <v>0.67457999999999996</v>
      </c>
      <c r="G24" s="53"/>
      <c r="H24" s="53"/>
      <c r="I24" s="53"/>
      <c r="J24" s="53"/>
      <c r="K24" s="53"/>
      <c r="L24" s="33"/>
      <c r="M24" s="33"/>
      <c r="N24" s="33"/>
      <c r="O24" s="33"/>
      <c r="P24" s="33"/>
    </row>
    <row r="25" spans="1:16" x14ac:dyDescent="0.25">
      <c r="A25" s="53" t="s">
        <v>782</v>
      </c>
      <c r="B25" s="53" t="s">
        <v>819</v>
      </c>
      <c r="C25" s="53" t="s">
        <v>820</v>
      </c>
      <c r="D25" s="83">
        <v>2</v>
      </c>
      <c r="E25" s="53">
        <v>0.71606000000000003</v>
      </c>
      <c r="F25" s="53">
        <v>-0.39379999999999998</v>
      </c>
      <c r="G25" s="53"/>
      <c r="H25" s="53"/>
      <c r="I25" s="53"/>
      <c r="J25" s="53"/>
      <c r="K25" s="53"/>
      <c r="L25" s="33"/>
      <c r="M25" s="33"/>
      <c r="N25" s="33"/>
      <c r="O25" s="33"/>
      <c r="P25" s="33"/>
    </row>
    <row r="26" spans="1:16" x14ac:dyDescent="0.25">
      <c r="A26" s="53" t="s">
        <v>782</v>
      </c>
      <c r="B26" s="53" t="s">
        <v>821</v>
      </c>
      <c r="C26" s="53" t="s">
        <v>822</v>
      </c>
      <c r="D26" s="83">
        <v>2</v>
      </c>
      <c r="E26" s="53">
        <v>0.90022999999999997</v>
      </c>
      <c r="F26" s="53">
        <v>-3.02013</v>
      </c>
      <c r="G26" s="53"/>
      <c r="H26" s="53"/>
      <c r="I26" s="53"/>
      <c r="J26" s="53"/>
      <c r="K26" s="53"/>
      <c r="L26" s="33"/>
      <c r="M26" s="33"/>
      <c r="N26" s="33"/>
      <c r="O26" s="33"/>
      <c r="P26" s="33"/>
    </row>
    <row r="27" spans="1:16" x14ac:dyDescent="0.25">
      <c r="A27" s="53" t="s">
        <v>782</v>
      </c>
      <c r="B27" s="53" t="s">
        <v>823</v>
      </c>
      <c r="C27" s="53" t="s">
        <v>824</v>
      </c>
      <c r="D27" s="83">
        <v>2</v>
      </c>
      <c r="E27" s="53">
        <v>1.1671899999999999</v>
      </c>
      <c r="F27" s="53">
        <v>-2.0337399999999999</v>
      </c>
      <c r="G27" s="53"/>
      <c r="H27" s="53"/>
      <c r="I27" s="53"/>
      <c r="J27" s="53"/>
      <c r="K27" s="53"/>
      <c r="L27" s="33"/>
      <c r="M27" s="33"/>
      <c r="N27" s="33"/>
      <c r="O27" s="33"/>
      <c r="P27" s="33"/>
    </row>
    <row r="28" spans="1:16" x14ac:dyDescent="0.25">
      <c r="A28" s="53" t="s">
        <v>782</v>
      </c>
      <c r="B28" s="53" t="s">
        <v>825</v>
      </c>
      <c r="C28" s="53" t="s">
        <v>826</v>
      </c>
      <c r="D28" s="83">
        <v>2</v>
      </c>
      <c r="E28" s="53">
        <v>0.72660000000000002</v>
      </c>
      <c r="F28" s="53">
        <v>-0.47765000000000002</v>
      </c>
      <c r="G28" s="53"/>
      <c r="H28" s="53"/>
      <c r="I28" s="53"/>
      <c r="J28" s="53"/>
      <c r="K28" s="53"/>
      <c r="L28" s="33"/>
      <c r="M28" s="33"/>
      <c r="N28" s="33"/>
      <c r="O28" s="33"/>
      <c r="P28" s="33"/>
    </row>
    <row r="29" spans="1:16" x14ac:dyDescent="0.25">
      <c r="A29" s="53" t="s">
        <v>782</v>
      </c>
      <c r="B29" s="53" t="s">
        <v>827</v>
      </c>
      <c r="C29" s="53" t="s">
        <v>828</v>
      </c>
      <c r="D29" s="83">
        <v>2</v>
      </c>
      <c r="E29" s="53">
        <v>0.97211999999999998</v>
      </c>
      <c r="F29" s="53">
        <v>-2.7842899999999999</v>
      </c>
      <c r="G29" s="53"/>
      <c r="H29" s="53"/>
      <c r="I29" s="53"/>
      <c r="J29" s="53"/>
      <c r="K29" s="53"/>
      <c r="L29" s="33"/>
      <c r="M29" s="33"/>
      <c r="N29" s="33"/>
      <c r="O29" s="33"/>
      <c r="P29" s="33"/>
    </row>
    <row r="30" spans="1:16" x14ac:dyDescent="0.25">
      <c r="A30" s="53" t="s">
        <v>782</v>
      </c>
      <c r="B30" s="53" t="s">
        <v>829</v>
      </c>
      <c r="C30" s="53" t="s">
        <v>830</v>
      </c>
      <c r="D30" s="83">
        <v>2</v>
      </c>
      <c r="E30" s="53">
        <v>0.62102000000000002</v>
      </c>
      <c r="F30" s="53">
        <v>0.94121999999999995</v>
      </c>
      <c r="G30" s="53"/>
      <c r="H30" s="53"/>
      <c r="I30" s="53"/>
      <c r="J30" s="53"/>
      <c r="K30" s="53"/>
      <c r="L30" s="33"/>
      <c r="M30" s="33"/>
      <c r="N30" s="33"/>
      <c r="O30" s="33"/>
      <c r="P30" s="33"/>
    </row>
    <row r="31" spans="1:16" x14ac:dyDescent="0.25">
      <c r="A31" s="53" t="s">
        <v>782</v>
      </c>
      <c r="B31" s="53" t="s">
        <v>831</v>
      </c>
      <c r="C31" s="53" t="s">
        <v>832</v>
      </c>
      <c r="D31" s="83">
        <v>2</v>
      </c>
      <c r="E31" s="53">
        <v>0.84563999999999995</v>
      </c>
      <c r="F31" s="53">
        <v>0.86567000000000005</v>
      </c>
      <c r="G31" s="53"/>
      <c r="H31" s="53"/>
      <c r="I31" s="53"/>
      <c r="J31" s="53"/>
      <c r="K31" s="53"/>
      <c r="L31" s="33"/>
      <c r="M31" s="33"/>
      <c r="N31" s="33"/>
      <c r="O31" s="33"/>
      <c r="P31" s="33"/>
    </row>
    <row r="32" spans="1:16" x14ac:dyDescent="0.25">
      <c r="A32" s="53" t="s">
        <v>782</v>
      </c>
      <c r="B32" s="53" t="s">
        <v>833</v>
      </c>
      <c r="C32" s="53" t="s">
        <v>834</v>
      </c>
      <c r="D32" s="83">
        <v>4</v>
      </c>
      <c r="E32" s="53">
        <v>0.71526000000000001</v>
      </c>
      <c r="F32" s="53">
        <v>-0.63216000000000006</v>
      </c>
      <c r="G32" s="53">
        <v>-1.0987800000000001</v>
      </c>
      <c r="H32" s="53">
        <v>0.11112</v>
      </c>
      <c r="I32" s="53">
        <v>0.98765999999999998</v>
      </c>
      <c r="J32" s="53"/>
      <c r="K32" s="53"/>
      <c r="L32" s="33"/>
      <c r="M32" s="33"/>
      <c r="N32" s="33"/>
      <c r="O32" s="33"/>
      <c r="P32" s="33"/>
    </row>
    <row r="33" spans="1:17" x14ac:dyDescent="0.25">
      <c r="A33" s="53" t="s">
        <v>782</v>
      </c>
      <c r="B33" s="53" t="s">
        <v>835</v>
      </c>
      <c r="C33" s="53" t="s">
        <v>836</v>
      </c>
      <c r="D33" s="83">
        <v>4</v>
      </c>
      <c r="E33" s="53">
        <v>0.83106999999999998</v>
      </c>
      <c r="F33" s="53">
        <v>-0.93010000000000004</v>
      </c>
      <c r="G33" s="53">
        <v>-2.32565</v>
      </c>
      <c r="H33" s="53">
        <v>0.62899000000000005</v>
      </c>
      <c r="I33" s="53">
        <v>1.6966600000000001</v>
      </c>
      <c r="J33" s="53"/>
      <c r="K33" s="53"/>
      <c r="L33" s="33"/>
      <c r="M33" s="33"/>
      <c r="N33" s="33"/>
      <c r="O33" s="33"/>
      <c r="P33" s="33"/>
    </row>
    <row r="34" spans="1:17" x14ac:dyDescent="0.25">
      <c r="A34" s="53" t="s">
        <v>782</v>
      </c>
      <c r="B34" s="53" t="s">
        <v>837</v>
      </c>
      <c r="C34" s="53" t="s">
        <v>838</v>
      </c>
      <c r="D34" s="83">
        <v>4</v>
      </c>
      <c r="E34" s="53">
        <v>0.90290000000000004</v>
      </c>
      <c r="F34" s="53">
        <v>-1.02441</v>
      </c>
      <c r="G34" s="53">
        <v>-1.91242</v>
      </c>
      <c r="H34" s="53">
        <v>0.35633999999999999</v>
      </c>
      <c r="I34" s="53">
        <v>1.5560799999999999</v>
      </c>
      <c r="J34" s="53"/>
      <c r="K34" s="53"/>
      <c r="L34" s="33"/>
      <c r="M34" s="33"/>
      <c r="N34" s="33"/>
      <c r="O34" s="33"/>
      <c r="P34" s="33"/>
    </row>
    <row r="35" spans="1:17" x14ac:dyDescent="0.25">
      <c r="A35" s="53" t="s">
        <v>782</v>
      </c>
      <c r="B35" s="53" t="s">
        <v>839</v>
      </c>
      <c r="C35" s="53" t="s">
        <v>840</v>
      </c>
      <c r="D35" s="83">
        <v>4</v>
      </c>
      <c r="E35" s="53">
        <v>0.39101000000000002</v>
      </c>
      <c r="F35" s="53">
        <v>0.14968999999999999</v>
      </c>
      <c r="G35" s="53">
        <v>7.9219999999999999E-2</v>
      </c>
      <c r="H35" s="53">
        <v>0.31663000000000002</v>
      </c>
      <c r="I35" s="53">
        <v>-0.39584999999999998</v>
      </c>
      <c r="J35" s="53"/>
      <c r="K35" s="53"/>
      <c r="L35" s="33"/>
      <c r="M35" s="33"/>
      <c r="N35" s="33"/>
      <c r="O35" s="33"/>
      <c r="P35" s="33"/>
    </row>
    <row r="36" spans="1:17" x14ac:dyDescent="0.25">
      <c r="A36" s="53" t="s">
        <v>782</v>
      </c>
      <c r="B36" s="53" t="s">
        <v>841</v>
      </c>
      <c r="C36" s="53" t="s">
        <v>842</v>
      </c>
      <c r="D36" s="83">
        <v>2</v>
      </c>
      <c r="E36" s="53">
        <v>0.75217000000000001</v>
      </c>
      <c r="F36" s="53">
        <v>-1.3996900000000001</v>
      </c>
      <c r="G36" s="53"/>
      <c r="H36" s="53"/>
      <c r="I36" s="53"/>
      <c r="J36" s="53"/>
      <c r="K36" s="53"/>
      <c r="L36" s="33"/>
      <c r="M36" s="33"/>
      <c r="N36" s="33"/>
      <c r="O36" s="33"/>
      <c r="P36" s="33"/>
    </row>
    <row r="37" spans="1:17" x14ac:dyDescent="0.25">
      <c r="A37" s="53" t="s">
        <v>782</v>
      </c>
      <c r="B37" s="53" t="s">
        <v>843</v>
      </c>
      <c r="C37" s="53" t="s">
        <v>844</v>
      </c>
      <c r="D37" s="83">
        <v>3</v>
      </c>
      <c r="E37" s="53">
        <v>0.86133000000000004</v>
      </c>
      <c r="F37" s="53">
        <v>-2.1266600000000002</v>
      </c>
      <c r="G37" s="53">
        <v>-2.1086399999999998</v>
      </c>
      <c r="H37" s="53">
        <v>2.1086399999999998</v>
      </c>
      <c r="I37" s="53"/>
      <c r="J37" s="53"/>
      <c r="K37" s="53"/>
      <c r="L37" s="33"/>
      <c r="M37" s="33"/>
      <c r="N37" s="33"/>
      <c r="O37" s="33"/>
      <c r="P37" s="33"/>
    </row>
    <row r="38" spans="1:17" x14ac:dyDescent="0.25">
      <c r="A38" s="53" t="s">
        <v>782</v>
      </c>
      <c r="B38" s="53" t="s">
        <v>845</v>
      </c>
      <c r="C38" s="53" t="s">
        <v>846</v>
      </c>
      <c r="D38" s="83">
        <v>4</v>
      </c>
      <c r="E38" s="53">
        <v>0.86985000000000001</v>
      </c>
      <c r="F38" s="53">
        <v>0.69504999999999995</v>
      </c>
      <c r="G38" s="53">
        <v>-1.90503</v>
      </c>
      <c r="H38" s="53">
        <v>0.72772000000000003</v>
      </c>
      <c r="I38" s="53">
        <v>1.1773100000000001</v>
      </c>
      <c r="J38" s="53"/>
      <c r="K38" s="53"/>
      <c r="L38" s="33"/>
      <c r="M38" s="33"/>
      <c r="N38" s="33"/>
      <c r="O38" s="33"/>
      <c r="P38" s="33"/>
    </row>
    <row r="39" spans="1:17" x14ac:dyDescent="0.25">
      <c r="A39" s="53" t="s">
        <v>782</v>
      </c>
      <c r="B39" s="53" t="s">
        <v>847</v>
      </c>
      <c r="C39" s="53" t="s">
        <v>848</v>
      </c>
      <c r="D39" s="83">
        <v>4</v>
      </c>
      <c r="E39" s="53">
        <v>1.2382</v>
      </c>
      <c r="F39" s="53">
        <v>-0.32452999999999999</v>
      </c>
      <c r="G39" s="53">
        <v>-2.6381299999999999</v>
      </c>
      <c r="H39" s="53">
        <v>0.48165999999999998</v>
      </c>
      <c r="I39" s="53">
        <v>2.1564700000000001</v>
      </c>
      <c r="J39" s="53"/>
      <c r="K39" s="53"/>
      <c r="L39" s="33"/>
      <c r="M39" s="33"/>
      <c r="N39" s="33"/>
      <c r="O39" s="33"/>
      <c r="P39" s="33"/>
    </row>
    <row r="40" spans="1:17" x14ac:dyDescent="0.25">
      <c r="A40" s="53" t="s">
        <v>782</v>
      </c>
      <c r="B40" s="53" t="s">
        <v>849</v>
      </c>
      <c r="C40" s="53" t="s">
        <v>850</v>
      </c>
      <c r="D40" s="83">
        <v>3</v>
      </c>
      <c r="E40" s="53">
        <v>0.93861000000000006</v>
      </c>
      <c r="F40" s="53">
        <v>-0.38601000000000002</v>
      </c>
      <c r="G40" s="53">
        <v>-1.0388999999999999</v>
      </c>
      <c r="H40" s="53">
        <v>1.0388999999999999</v>
      </c>
      <c r="I40" s="53"/>
      <c r="J40" s="53"/>
      <c r="K40" s="53"/>
      <c r="L40" s="33"/>
      <c r="M40" s="33"/>
      <c r="N40" s="33"/>
      <c r="O40" s="33"/>
      <c r="P40" s="33"/>
    </row>
    <row r="41" spans="1:17" x14ac:dyDescent="0.25">
      <c r="A41" s="53" t="s">
        <v>782</v>
      </c>
      <c r="B41" s="53" t="s">
        <v>851</v>
      </c>
      <c r="C41" s="53" t="s">
        <v>852</v>
      </c>
      <c r="D41" s="83">
        <v>3</v>
      </c>
      <c r="E41" s="53">
        <v>0.47086</v>
      </c>
      <c r="F41" s="53">
        <v>1.1279399999999999</v>
      </c>
      <c r="G41" s="53">
        <v>-0.23954</v>
      </c>
      <c r="H41" s="53">
        <v>0.23954</v>
      </c>
      <c r="I41" s="53"/>
      <c r="J41" s="53"/>
      <c r="K41" s="53"/>
      <c r="L41" s="33"/>
      <c r="M41" s="33"/>
      <c r="N41" s="33"/>
      <c r="O41" s="33"/>
      <c r="P41" s="33"/>
    </row>
    <row r="42" spans="1:17" x14ac:dyDescent="0.25">
      <c r="A42" s="53" t="s">
        <v>782</v>
      </c>
      <c r="B42" s="53" t="s">
        <v>853</v>
      </c>
      <c r="C42" s="53" t="s">
        <v>854</v>
      </c>
      <c r="D42" s="83">
        <v>6</v>
      </c>
      <c r="E42" s="53">
        <v>0.32240999999999997</v>
      </c>
      <c r="F42" s="53">
        <v>0.1479</v>
      </c>
      <c r="G42" s="53">
        <v>-0.2213</v>
      </c>
      <c r="H42" s="53">
        <v>-0.71458999999999995</v>
      </c>
      <c r="I42" s="53">
        <v>0.39655000000000001</v>
      </c>
      <c r="J42" s="53">
        <v>0.15498000000000001</v>
      </c>
      <c r="K42" s="53">
        <v>0.38435999999999998</v>
      </c>
      <c r="L42" s="33"/>
      <c r="M42" s="33"/>
      <c r="N42" s="33"/>
      <c r="O42" s="33"/>
      <c r="P42" s="33"/>
    </row>
    <row r="43" spans="1:17" x14ac:dyDescent="0.25">
      <c r="A43" s="65" t="s">
        <v>855</v>
      </c>
      <c r="B43" s="65" t="s">
        <v>772</v>
      </c>
      <c r="C43" s="65" t="s">
        <v>773</v>
      </c>
      <c r="D43" s="82" t="s">
        <v>774</v>
      </c>
      <c r="E43" s="65" t="s">
        <v>775</v>
      </c>
      <c r="F43" s="65" t="s">
        <v>776</v>
      </c>
      <c r="G43" s="65" t="s">
        <v>777</v>
      </c>
      <c r="H43" s="65" t="s">
        <v>778</v>
      </c>
      <c r="I43" s="65" t="s">
        <v>779</v>
      </c>
      <c r="J43" s="65" t="s">
        <v>780</v>
      </c>
      <c r="K43" s="65" t="s">
        <v>781</v>
      </c>
      <c r="L43" s="33"/>
      <c r="M43" s="33"/>
      <c r="N43" s="33"/>
      <c r="O43" s="33"/>
      <c r="P43" s="33"/>
    </row>
    <row r="44" spans="1:17" x14ac:dyDescent="0.25">
      <c r="A44" s="2" t="s">
        <v>3230</v>
      </c>
      <c r="B44" s="53" t="s">
        <v>856</v>
      </c>
      <c r="C44" s="53" t="s">
        <v>857</v>
      </c>
      <c r="D44" s="83">
        <v>4</v>
      </c>
      <c r="E44" s="53">
        <v>2.1265200000000002</v>
      </c>
      <c r="F44" s="53">
        <v>-1.6812800000000001</v>
      </c>
      <c r="G44" s="53">
        <v>-2.7715700000000001</v>
      </c>
      <c r="H44" s="53">
        <v>0.58516000000000001</v>
      </c>
      <c r="I44" s="53">
        <v>2.18641</v>
      </c>
      <c r="J44" s="53"/>
      <c r="K44" s="53"/>
      <c r="L44" s="33"/>
      <c r="M44" s="33"/>
      <c r="N44" s="33"/>
      <c r="O44" s="33"/>
      <c r="P44" s="53" t="s">
        <v>747</v>
      </c>
      <c r="Q44">
        <f>VLOOKUP(P44,GroupLabels!$J:$K,2,FALSE)</f>
        <v>0</v>
      </c>
    </row>
    <row r="45" spans="1:17" x14ac:dyDescent="0.25">
      <c r="A45" s="2" t="s">
        <v>3230</v>
      </c>
      <c r="B45" s="53" t="s">
        <v>858</v>
      </c>
      <c r="C45" s="53" t="s">
        <v>857</v>
      </c>
      <c r="D45" s="83">
        <v>4</v>
      </c>
      <c r="E45" s="53">
        <v>0.83421000000000001</v>
      </c>
      <c r="F45" s="53">
        <v>-1.58823</v>
      </c>
      <c r="G45" s="53">
        <v>-2.2630300000000001</v>
      </c>
      <c r="H45" s="53">
        <v>0.63910999999999996</v>
      </c>
      <c r="I45" s="53">
        <v>1.62392</v>
      </c>
      <c r="J45" s="53"/>
      <c r="K45" s="53"/>
      <c r="L45" s="33"/>
      <c r="M45" s="33"/>
      <c r="N45" s="33"/>
      <c r="O45" s="33"/>
      <c r="P45" s="53" t="s">
        <v>747</v>
      </c>
      <c r="Q45">
        <f>VLOOKUP(P45,GroupLabels!$J:$K,2,FALSE)</f>
        <v>0</v>
      </c>
    </row>
    <row r="46" spans="1:17" x14ac:dyDescent="0.25">
      <c r="A46" s="2" t="s">
        <v>2981</v>
      </c>
      <c r="B46" s="53" t="s">
        <v>856</v>
      </c>
      <c r="C46" s="53" t="s">
        <v>857</v>
      </c>
      <c r="D46" s="83">
        <v>4</v>
      </c>
      <c r="E46" s="53">
        <v>0.60618000000000005</v>
      </c>
      <c r="F46" s="53">
        <v>-0.59213000000000005</v>
      </c>
      <c r="G46" s="53">
        <v>-1.12663</v>
      </c>
      <c r="H46" s="53">
        <v>0.95035000000000003</v>
      </c>
      <c r="I46" s="53">
        <v>0.17627999999999999</v>
      </c>
      <c r="J46" s="53"/>
      <c r="K46" s="53"/>
      <c r="L46" s="33"/>
      <c r="M46" s="33"/>
      <c r="N46" s="33"/>
      <c r="O46" s="33"/>
      <c r="P46" s="53" t="s">
        <v>716</v>
      </c>
      <c r="Q46">
        <f>VLOOKUP(P46,GroupLabels!$J:$K,2,FALSE)</f>
        <v>1</v>
      </c>
    </row>
    <row r="47" spans="1:17" x14ac:dyDescent="0.25">
      <c r="A47" s="2" t="s">
        <v>2981</v>
      </c>
      <c r="B47" s="53" t="s">
        <v>858</v>
      </c>
      <c r="C47" s="53" t="s">
        <v>857</v>
      </c>
      <c r="D47" s="83">
        <v>4</v>
      </c>
      <c r="E47" s="53">
        <v>0.32689000000000001</v>
      </c>
      <c r="F47" s="53">
        <v>0.10886</v>
      </c>
      <c r="G47" s="53">
        <v>1.9467000000000001</v>
      </c>
      <c r="H47" s="53">
        <v>-0.25178</v>
      </c>
      <c r="I47" s="53">
        <v>-1.69492</v>
      </c>
      <c r="J47" s="53"/>
      <c r="K47" s="53"/>
      <c r="L47" s="33"/>
      <c r="M47" s="33"/>
      <c r="N47" s="33"/>
      <c r="O47" s="33"/>
      <c r="P47" s="53" t="s">
        <v>716</v>
      </c>
      <c r="Q47">
        <f>VLOOKUP(P47,GroupLabels!$J:$K,2,FALSE)</f>
        <v>1</v>
      </c>
    </row>
    <row r="48" spans="1:17" x14ac:dyDescent="0.25">
      <c r="A48" s="2" t="s">
        <v>2922</v>
      </c>
      <c r="B48" s="53" t="s">
        <v>856</v>
      </c>
      <c r="C48" s="53" t="s">
        <v>857</v>
      </c>
      <c r="D48" s="83">
        <v>4</v>
      </c>
      <c r="E48" s="53">
        <v>0.439</v>
      </c>
      <c r="F48" s="53">
        <v>-1.9191800000000001</v>
      </c>
      <c r="G48" s="53">
        <v>-0.59580999999999995</v>
      </c>
      <c r="H48" s="53">
        <v>1.7520000000000001E-2</v>
      </c>
      <c r="I48" s="53">
        <v>0.57828999999999997</v>
      </c>
      <c r="J48" s="53"/>
      <c r="K48" s="53"/>
      <c r="L48" s="33"/>
      <c r="M48" s="33"/>
      <c r="N48" s="33"/>
      <c r="O48" s="33"/>
      <c r="P48" s="53" t="s">
        <v>859</v>
      </c>
      <c r="Q48">
        <f>VLOOKUP(P48,GroupLabels!$J:$K,2,FALSE)</f>
        <v>0</v>
      </c>
    </row>
    <row r="49" spans="1:17" x14ac:dyDescent="0.25">
      <c r="A49" s="2" t="s">
        <v>3296</v>
      </c>
      <c r="B49" s="53" t="s">
        <v>856</v>
      </c>
      <c r="C49" s="53" t="s">
        <v>857</v>
      </c>
      <c r="D49" s="83">
        <v>4</v>
      </c>
      <c r="E49" s="53">
        <v>0.66264000000000001</v>
      </c>
      <c r="F49" s="53">
        <v>-0.67274999999999996</v>
      </c>
      <c r="G49" s="53">
        <v>-3.4104800000000002</v>
      </c>
      <c r="H49" s="53">
        <v>1.41353</v>
      </c>
      <c r="I49" s="53">
        <v>1.99695</v>
      </c>
      <c r="J49" s="53"/>
      <c r="K49" s="53"/>
      <c r="L49" s="33"/>
      <c r="M49" s="33"/>
      <c r="N49" s="33"/>
      <c r="O49" s="33"/>
      <c r="P49" s="53" t="s">
        <v>860</v>
      </c>
      <c r="Q49">
        <f>VLOOKUP(P49,GroupLabels!$J:$K,2,FALSE)</f>
        <v>0</v>
      </c>
    </row>
    <row r="50" spans="1:17" x14ac:dyDescent="0.25">
      <c r="A50" s="2" t="s">
        <v>3296</v>
      </c>
      <c r="B50" s="53" t="s">
        <v>858</v>
      </c>
      <c r="C50" s="53" t="s">
        <v>857</v>
      </c>
      <c r="D50" s="83">
        <v>4</v>
      </c>
      <c r="E50" s="53">
        <v>0.80845999999999996</v>
      </c>
      <c r="F50" s="53">
        <v>-2.7869999999999999</v>
      </c>
      <c r="G50" s="53">
        <v>-0.85899000000000003</v>
      </c>
      <c r="H50" s="53">
        <v>0.16866999999999999</v>
      </c>
      <c r="I50" s="53">
        <v>0.69032000000000004</v>
      </c>
      <c r="J50" s="53"/>
      <c r="K50" s="53"/>
      <c r="L50" s="33"/>
      <c r="M50" s="33"/>
      <c r="N50" s="33"/>
      <c r="O50" s="33"/>
      <c r="P50" s="53" t="s">
        <v>860</v>
      </c>
      <c r="Q50">
        <f>VLOOKUP(P50,GroupLabels!$J:$K,2,FALSE)</f>
        <v>0</v>
      </c>
    </row>
    <row r="51" spans="1:17" x14ac:dyDescent="0.25">
      <c r="A51" s="2" t="s">
        <v>3294</v>
      </c>
      <c r="B51" s="53" t="s">
        <v>856</v>
      </c>
      <c r="C51" s="53" t="s">
        <v>857</v>
      </c>
      <c r="D51" s="83">
        <v>4</v>
      </c>
      <c r="E51" s="53">
        <v>0.44140000000000001</v>
      </c>
      <c r="F51" s="53">
        <v>-4.8199999999999996E-3</v>
      </c>
      <c r="G51" s="53">
        <v>0.75183999999999995</v>
      </c>
      <c r="H51" s="53">
        <v>0.20174</v>
      </c>
      <c r="I51" s="53">
        <v>-0.95357999999999998</v>
      </c>
      <c r="J51" s="53"/>
      <c r="K51" s="53"/>
      <c r="L51" s="33"/>
      <c r="M51" s="33"/>
      <c r="N51" s="33"/>
      <c r="O51" s="33"/>
      <c r="P51" s="53" t="s">
        <v>861</v>
      </c>
      <c r="Q51">
        <f>VLOOKUP(P51,GroupLabels!$J:$K,2,FALSE)</f>
        <v>1</v>
      </c>
    </row>
    <row r="52" spans="1:17" x14ac:dyDescent="0.25">
      <c r="A52" s="2" t="s">
        <v>3295</v>
      </c>
      <c r="B52" s="53" t="s">
        <v>856</v>
      </c>
      <c r="C52" s="53" t="s">
        <v>857</v>
      </c>
      <c r="D52" s="83">
        <v>4</v>
      </c>
      <c r="E52" s="53">
        <v>0.27268999999999999</v>
      </c>
      <c r="F52" s="53">
        <v>-0.48059000000000002</v>
      </c>
      <c r="G52" s="53">
        <v>1.1595800000000001</v>
      </c>
      <c r="H52" s="53">
        <v>0.78049000000000002</v>
      </c>
      <c r="I52" s="53">
        <v>-1.94007</v>
      </c>
      <c r="J52" s="53"/>
      <c r="K52" s="53"/>
      <c r="L52" s="33"/>
      <c r="M52" s="33"/>
      <c r="N52" s="33"/>
      <c r="O52" s="33"/>
      <c r="P52" s="53" t="s">
        <v>862</v>
      </c>
      <c r="Q52">
        <f>VLOOKUP(P52,GroupLabels!$J:$K,2,FALSE)</f>
        <v>1</v>
      </c>
    </row>
    <row r="53" spans="1:17" x14ac:dyDescent="0.25">
      <c r="A53" s="2" t="s">
        <v>1778</v>
      </c>
      <c r="B53" s="53" t="s">
        <v>856</v>
      </c>
      <c r="C53" s="53" t="s">
        <v>857</v>
      </c>
      <c r="D53" s="83">
        <v>4</v>
      </c>
      <c r="E53" s="53">
        <v>0.27810000000000001</v>
      </c>
      <c r="F53" s="53">
        <v>0.37457000000000001</v>
      </c>
      <c r="G53" s="53">
        <v>1.0749500000000001</v>
      </c>
      <c r="H53" s="53">
        <v>0.15842000000000001</v>
      </c>
      <c r="I53" s="53">
        <v>-1.2333700000000001</v>
      </c>
      <c r="J53" s="53"/>
      <c r="K53" s="53"/>
      <c r="L53" s="33"/>
      <c r="M53" s="33"/>
      <c r="N53" s="33"/>
      <c r="O53" s="33"/>
      <c r="P53" s="53" t="s">
        <v>863</v>
      </c>
      <c r="Q53">
        <f>VLOOKUP(P53,GroupLabels!$J:$K,2,FALSE)</f>
        <v>0</v>
      </c>
    </row>
    <row r="54" spans="1:17" x14ac:dyDescent="0.25">
      <c r="A54" s="2" t="s">
        <v>1778</v>
      </c>
      <c r="B54" s="53" t="s">
        <v>858</v>
      </c>
      <c r="C54" s="53" t="s">
        <v>857</v>
      </c>
      <c r="D54" s="83">
        <v>4</v>
      </c>
      <c r="E54" s="53">
        <v>0.48744999999999999</v>
      </c>
      <c r="F54" s="53">
        <v>0.23153000000000001</v>
      </c>
      <c r="G54" s="53">
        <v>0.95784000000000002</v>
      </c>
      <c r="H54" s="53">
        <v>3.3000000000000002E-2</v>
      </c>
      <c r="I54" s="53">
        <v>-0.99084000000000005</v>
      </c>
      <c r="J54" s="53"/>
      <c r="K54" s="53"/>
      <c r="L54" s="33"/>
      <c r="M54" s="33"/>
      <c r="N54" s="33"/>
      <c r="O54" s="33"/>
      <c r="P54" s="53" t="s">
        <v>863</v>
      </c>
      <c r="Q54">
        <f>VLOOKUP(P54,GroupLabels!$J:$K,2,FALSE)</f>
        <v>0</v>
      </c>
    </row>
    <row r="55" spans="1:17" x14ac:dyDescent="0.25">
      <c r="A55" s="2" t="s">
        <v>3146</v>
      </c>
      <c r="B55" s="53" t="s">
        <v>856</v>
      </c>
      <c r="C55" s="53" t="s">
        <v>857</v>
      </c>
      <c r="D55" s="83">
        <v>4</v>
      </c>
      <c r="E55" s="53">
        <v>0.64105000000000001</v>
      </c>
      <c r="F55" s="53">
        <v>-0.92490000000000006</v>
      </c>
      <c r="G55" s="53">
        <v>-0.43887999999999999</v>
      </c>
      <c r="H55" s="53">
        <v>1.19472</v>
      </c>
      <c r="I55" s="53">
        <v>-0.75583999999999996</v>
      </c>
      <c r="J55" s="53"/>
      <c r="K55" s="53"/>
      <c r="L55" s="33"/>
      <c r="M55" s="33"/>
      <c r="N55" s="33"/>
      <c r="O55" s="33"/>
      <c r="P55" s="53" t="s">
        <v>710</v>
      </c>
      <c r="Q55">
        <f>VLOOKUP(P55,GroupLabels!$J:$K,2,FALSE)</f>
        <v>0</v>
      </c>
    </row>
    <row r="56" spans="1:17" x14ac:dyDescent="0.25">
      <c r="A56" s="2" t="s">
        <v>3146</v>
      </c>
      <c r="B56" s="53" t="s">
        <v>858</v>
      </c>
      <c r="C56" s="53" t="s">
        <v>857</v>
      </c>
      <c r="D56" s="83">
        <v>4</v>
      </c>
      <c r="E56" s="53">
        <v>0.96835000000000004</v>
      </c>
      <c r="F56" s="53">
        <v>-1.1537599999999999</v>
      </c>
      <c r="G56" s="53">
        <v>-2.5988500000000001</v>
      </c>
      <c r="H56" s="53">
        <v>0.93005000000000004</v>
      </c>
      <c r="I56" s="53">
        <v>1.6688000000000001</v>
      </c>
      <c r="J56" s="53"/>
      <c r="K56" s="53"/>
      <c r="L56" s="33"/>
      <c r="M56" s="33"/>
      <c r="N56" s="33"/>
      <c r="O56" s="33"/>
      <c r="P56" s="53" t="s">
        <v>710</v>
      </c>
      <c r="Q56">
        <f>VLOOKUP(P56,GroupLabels!$J:$K,2,FALSE)</f>
        <v>0</v>
      </c>
    </row>
    <row r="57" spans="1:17" x14ac:dyDescent="0.25">
      <c r="A57" s="2" t="s">
        <v>2987</v>
      </c>
      <c r="B57" s="53" t="s">
        <v>856</v>
      </c>
      <c r="C57" s="53" t="s">
        <v>857</v>
      </c>
      <c r="D57" s="83">
        <v>4</v>
      </c>
      <c r="E57" s="53">
        <v>0.52817999999999998</v>
      </c>
      <c r="F57" s="53">
        <v>-0.19814000000000001</v>
      </c>
      <c r="G57" s="53">
        <v>0.11183999999999999</v>
      </c>
      <c r="H57" s="53">
        <v>0.50163999999999997</v>
      </c>
      <c r="I57" s="53">
        <v>-0.61348000000000003</v>
      </c>
      <c r="J57" s="53"/>
      <c r="K57" s="53"/>
      <c r="L57" s="33"/>
      <c r="M57" s="33"/>
      <c r="N57" s="33"/>
      <c r="O57" s="33"/>
      <c r="P57" s="53" t="s">
        <v>864</v>
      </c>
      <c r="Q57">
        <f>VLOOKUP(P57,GroupLabels!$J:$K,2,FALSE)</f>
        <v>1</v>
      </c>
    </row>
    <row r="58" spans="1:17" x14ac:dyDescent="0.25">
      <c r="A58" s="2" t="s">
        <v>2987</v>
      </c>
      <c r="B58" s="53" t="s">
        <v>858</v>
      </c>
      <c r="C58" s="53" t="s">
        <v>857</v>
      </c>
      <c r="D58" s="83">
        <v>4</v>
      </c>
      <c r="E58" s="53">
        <v>0.72936999999999996</v>
      </c>
      <c r="F58" s="53">
        <v>-1.16873</v>
      </c>
      <c r="G58" s="53">
        <v>-0.54466000000000003</v>
      </c>
      <c r="H58" s="53">
        <v>0.49108000000000002</v>
      </c>
      <c r="I58" s="53">
        <v>5.3580000000000003E-2</v>
      </c>
      <c r="J58" s="53"/>
      <c r="K58" s="53"/>
      <c r="L58" s="33"/>
      <c r="M58" s="33"/>
      <c r="N58" s="33"/>
      <c r="O58" s="33"/>
      <c r="P58" s="53" t="s">
        <v>864</v>
      </c>
      <c r="Q58">
        <f>VLOOKUP(P58,GroupLabels!$J:$K,2,FALSE)</f>
        <v>1</v>
      </c>
    </row>
    <row r="59" spans="1:17" x14ac:dyDescent="0.25">
      <c r="A59" s="2" t="s">
        <v>3036</v>
      </c>
      <c r="B59" s="53" t="s">
        <v>856</v>
      </c>
      <c r="C59" s="53" t="s">
        <v>857</v>
      </c>
      <c r="D59" s="83">
        <v>4</v>
      </c>
      <c r="E59" s="53">
        <v>0.78549000000000002</v>
      </c>
      <c r="F59" s="53">
        <v>0.16339999999999999</v>
      </c>
      <c r="G59" s="53">
        <v>-0.48470000000000002</v>
      </c>
      <c r="H59" s="53">
        <v>0.59113000000000004</v>
      </c>
      <c r="I59" s="53">
        <v>-0.10643</v>
      </c>
      <c r="J59" s="53"/>
      <c r="K59" s="53"/>
      <c r="L59" s="33"/>
      <c r="M59" s="33"/>
      <c r="N59" s="33"/>
      <c r="O59" s="33"/>
      <c r="P59" s="53" t="s">
        <v>865</v>
      </c>
      <c r="Q59">
        <f>VLOOKUP(P59,GroupLabels!$J:$K,2,FALSE)</f>
        <v>1</v>
      </c>
    </row>
    <row r="60" spans="1:17" x14ac:dyDescent="0.25">
      <c r="A60" s="2" t="s">
        <v>3036</v>
      </c>
      <c r="B60" s="53" t="s">
        <v>858</v>
      </c>
      <c r="C60" s="53" t="s">
        <v>857</v>
      </c>
      <c r="D60" s="83">
        <v>4</v>
      </c>
      <c r="E60" s="53">
        <v>0.55781999999999998</v>
      </c>
      <c r="F60" s="53">
        <v>6.0400000000000002E-2</v>
      </c>
      <c r="G60" s="53">
        <v>-4.8689999999999997E-2</v>
      </c>
      <c r="H60" s="53">
        <v>0.22291</v>
      </c>
      <c r="I60" s="53">
        <v>-0.17422000000000001</v>
      </c>
      <c r="J60" s="53"/>
      <c r="K60" s="53"/>
      <c r="L60" s="33"/>
      <c r="M60" s="33"/>
      <c r="N60" s="33"/>
      <c r="O60" s="33"/>
      <c r="P60" s="53" t="s">
        <v>865</v>
      </c>
      <c r="Q60">
        <f>VLOOKUP(P60,GroupLabels!$J:$K,2,FALSE)</f>
        <v>1</v>
      </c>
    </row>
    <row r="61" spans="1:17" x14ac:dyDescent="0.25">
      <c r="A61" s="2" t="s">
        <v>3039</v>
      </c>
      <c r="B61" s="53" t="s">
        <v>856</v>
      </c>
      <c r="C61" s="53" t="s">
        <v>857</v>
      </c>
      <c r="D61" s="83">
        <v>4</v>
      </c>
      <c r="E61" s="53">
        <v>0.82203999999999999</v>
      </c>
      <c r="F61" s="53">
        <v>-0.24063000000000001</v>
      </c>
      <c r="G61" s="53">
        <v>-0.65190000000000003</v>
      </c>
      <c r="H61" s="53">
        <v>0.39300000000000002</v>
      </c>
      <c r="I61" s="53">
        <v>0.25890000000000002</v>
      </c>
      <c r="J61" s="53"/>
      <c r="K61" s="53"/>
      <c r="L61" s="33"/>
      <c r="M61" s="33"/>
      <c r="N61" s="33"/>
      <c r="O61" s="33"/>
      <c r="P61" s="53" t="s">
        <v>866</v>
      </c>
      <c r="Q61">
        <f>VLOOKUP(P61,GroupLabels!$J:$K,2,FALSE)</f>
        <v>1</v>
      </c>
    </row>
    <row r="62" spans="1:17" x14ac:dyDescent="0.25">
      <c r="A62" s="2" t="s">
        <v>1779</v>
      </c>
      <c r="B62" s="53" t="s">
        <v>856</v>
      </c>
      <c r="C62" s="53" t="s">
        <v>857</v>
      </c>
      <c r="D62" s="83">
        <v>4</v>
      </c>
      <c r="E62" s="53">
        <v>0.80610999999999999</v>
      </c>
      <c r="F62" s="53">
        <v>-0.97616999999999998</v>
      </c>
      <c r="G62" s="53">
        <v>-1.23577</v>
      </c>
      <c r="H62" s="53">
        <v>0.55076000000000003</v>
      </c>
      <c r="I62" s="53">
        <v>0.68501000000000001</v>
      </c>
      <c r="J62" s="53"/>
      <c r="K62" s="53"/>
      <c r="L62" s="33"/>
      <c r="M62" s="33"/>
      <c r="N62" s="33"/>
      <c r="O62" s="33"/>
      <c r="P62" s="53" t="s">
        <v>867</v>
      </c>
      <c r="Q62" t="e">
        <f>VLOOKUP(P62,GroupLabels!$J:$K,2,FALSE)</f>
        <v>#N/A</v>
      </c>
    </row>
    <row r="63" spans="1:17" x14ac:dyDescent="0.25">
      <c r="A63" s="2" t="s">
        <v>1779</v>
      </c>
      <c r="B63" s="53" t="s">
        <v>858</v>
      </c>
      <c r="C63" s="53" t="s">
        <v>857</v>
      </c>
      <c r="D63" s="83">
        <v>4</v>
      </c>
      <c r="E63" s="53">
        <v>0.51778999999999997</v>
      </c>
      <c r="F63" s="53">
        <v>-0.12293999999999999</v>
      </c>
      <c r="G63" s="53">
        <v>-0.54883999999999999</v>
      </c>
      <c r="H63" s="53">
        <v>0.46577000000000002</v>
      </c>
      <c r="I63" s="53">
        <v>8.3070000000000005E-2</v>
      </c>
      <c r="J63" s="53"/>
      <c r="K63" s="53"/>
      <c r="L63" s="33"/>
      <c r="M63" s="33"/>
      <c r="N63" s="33"/>
      <c r="O63" s="33"/>
      <c r="P63" s="53" t="s">
        <v>867</v>
      </c>
      <c r="Q63" t="e">
        <f>VLOOKUP(P63,GroupLabels!$J:$K,2,FALSE)</f>
        <v>#N/A</v>
      </c>
    </row>
    <row r="64" spans="1:17" x14ac:dyDescent="0.25">
      <c r="A64" s="2" t="s">
        <v>1780</v>
      </c>
      <c r="B64" s="53" t="s">
        <v>856</v>
      </c>
      <c r="C64" s="53" t="s">
        <v>857</v>
      </c>
      <c r="D64" s="83">
        <v>4</v>
      </c>
      <c r="E64" s="53">
        <v>0.50122</v>
      </c>
      <c r="F64" s="53">
        <v>1.32203</v>
      </c>
      <c r="G64" s="53">
        <v>0.46464</v>
      </c>
      <c r="H64" s="53">
        <v>0.10421</v>
      </c>
      <c r="I64" s="53">
        <v>-0.56884999999999997</v>
      </c>
      <c r="J64" s="53"/>
      <c r="K64" s="53"/>
      <c r="L64" s="33"/>
      <c r="M64" s="33"/>
      <c r="N64" s="33"/>
      <c r="O64" s="33"/>
      <c r="P64" s="53" t="s">
        <v>721</v>
      </c>
      <c r="Q64">
        <f>VLOOKUP(P64,GroupLabels!$J:$K,2,FALSE)</f>
        <v>1</v>
      </c>
    </row>
    <row r="65" spans="1:17" x14ac:dyDescent="0.25">
      <c r="A65" s="2" t="s">
        <v>3043</v>
      </c>
      <c r="B65" s="53" t="s">
        <v>856</v>
      </c>
      <c r="C65" s="53" t="s">
        <v>857</v>
      </c>
      <c r="D65" s="83">
        <v>4</v>
      </c>
      <c r="E65" s="53">
        <v>0.51036999999999999</v>
      </c>
      <c r="F65" s="53">
        <v>0.73053000000000001</v>
      </c>
      <c r="G65" s="53">
        <v>0.84055000000000002</v>
      </c>
      <c r="H65" s="53">
        <v>6.4600000000000005E-2</v>
      </c>
      <c r="I65" s="53">
        <v>-0.90515000000000001</v>
      </c>
      <c r="J65" s="53"/>
      <c r="K65" s="53"/>
      <c r="L65" s="33"/>
      <c r="M65" s="33"/>
      <c r="N65" s="33"/>
      <c r="O65" s="33"/>
      <c r="P65" s="53" t="s">
        <v>868</v>
      </c>
      <c r="Q65">
        <f>VLOOKUP(P65,GroupLabels!$J:$K,2,FALSE)</f>
        <v>0</v>
      </c>
    </row>
    <row r="66" spans="1:17" x14ac:dyDescent="0.25">
      <c r="A66" s="2" t="s">
        <v>3301</v>
      </c>
      <c r="B66" s="53" t="s">
        <v>856</v>
      </c>
      <c r="C66" s="53" t="s">
        <v>857</v>
      </c>
      <c r="D66" s="83">
        <v>4</v>
      </c>
      <c r="E66" s="53">
        <v>0.31502999999999998</v>
      </c>
      <c r="F66" s="53">
        <v>0.12371</v>
      </c>
      <c r="G66" s="53">
        <v>-0.58274999999999999</v>
      </c>
      <c r="H66" s="53">
        <v>0.89331000000000005</v>
      </c>
      <c r="I66" s="53">
        <v>-0.31056</v>
      </c>
      <c r="J66" s="53"/>
      <c r="K66" s="53"/>
      <c r="L66" s="33"/>
      <c r="M66" s="33"/>
      <c r="N66" s="33"/>
      <c r="O66" s="33"/>
      <c r="P66" s="53" t="s">
        <v>869</v>
      </c>
      <c r="Q66">
        <f>VLOOKUP(P66,GroupLabels!$J:$K,2,FALSE)</f>
        <v>0</v>
      </c>
    </row>
    <row r="67" spans="1:17" x14ac:dyDescent="0.25">
      <c r="A67" s="2" t="s">
        <v>1802</v>
      </c>
      <c r="B67" s="53" t="s">
        <v>856</v>
      </c>
      <c r="C67" s="53" t="s">
        <v>857</v>
      </c>
      <c r="D67" s="83">
        <v>4</v>
      </c>
      <c r="E67" s="53">
        <v>0.56859000000000004</v>
      </c>
      <c r="F67" s="53">
        <v>-0.50714000000000004</v>
      </c>
      <c r="G67" s="53">
        <v>-0.27693000000000001</v>
      </c>
      <c r="H67" s="53">
        <v>0.81589999999999996</v>
      </c>
      <c r="I67" s="53">
        <v>-0.53896999999999995</v>
      </c>
      <c r="J67" s="53"/>
      <c r="K67" s="53"/>
      <c r="L67" s="33"/>
      <c r="M67" s="33"/>
      <c r="N67" s="33"/>
      <c r="O67" s="33"/>
      <c r="P67" s="53" t="s">
        <v>870</v>
      </c>
      <c r="Q67">
        <f>VLOOKUP(P67,GroupLabels!$J:$K,2,FALSE)</f>
        <v>0</v>
      </c>
    </row>
    <row r="68" spans="1:17" x14ac:dyDescent="0.25">
      <c r="A68" s="2" t="s">
        <v>1802</v>
      </c>
      <c r="B68" s="53" t="s">
        <v>858</v>
      </c>
      <c r="C68" s="53" t="s">
        <v>857</v>
      </c>
      <c r="D68" s="83">
        <v>4</v>
      </c>
      <c r="E68" s="53">
        <v>0.70804</v>
      </c>
      <c r="F68" s="53">
        <v>-0.57311000000000001</v>
      </c>
      <c r="G68" s="53">
        <v>-0.49021999999999999</v>
      </c>
      <c r="H68" s="53">
        <v>0.88339999999999996</v>
      </c>
      <c r="I68" s="53">
        <v>-0.39317999999999997</v>
      </c>
      <c r="J68" s="53"/>
      <c r="K68" s="53"/>
      <c r="L68" s="33"/>
      <c r="M68" s="33"/>
      <c r="N68" s="33"/>
      <c r="O68" s="33"/>
      <c r="P68" s="53" t="s">
        <v>870</v>
      </c>
      <c r="Q68">
        <f>VLOOKUP(P68,GroupLabels!$J:$K,2,FALSE)</f>
        <v>0</v>
      </c>
    </row>
    <row r="69" spans="1:17" x14ac:dyDescent="0.25">
      <c r="A69" s="2" t="s">
        <v>1790</v>
      </c>
      <c r="B69" s="53" t="s">
        <v>856</v>
      </c>
      <c r="C69" s="53" t="s">
        <v>857</v>
      </c>
      <c r="D69" s="83">
        <v>4</v>
      </c>
      <c r="E69" s="53">
        <v>0.63361000000000001</v>
      </c>
      <c r="F69" s="53">
        <v>-0.20573</v>
      </c>
      <c r="G69" s="53">
        <v>-1.8399700000000001</v>
      </c>
      <c r="H69" s="53">
        <v>1.2222999999999999</v>
      </c>
      <c r="I69" s="53">
        <v>0.61767000000000005</v>
      </c>
      <c r="J69" s="53"/>
      <c r="K69" s="53"/>
      <c r="L69" s="33"/>
      <c r="M69" s="33"/>
      <c r="N69" s="33"/>
      <c r="O69" s="33"/>
      <c r="P69" s="53" t="s">
        <v>727</v>
      </c>
      <c r="Q69">
        <f>VLOOKUP(P69,GroupLabels!$J:$K,2,FALSE)</f>
        <v>1</v>
      </c>
    </row>
    <row r="70" spans="1:17" x14ac:dyDescent="0.25">
      <c r="A70" s="2" t="s">
        <v>1790</v>
      </c>
      <c r="B70" s="53" t="s">
        <v>858</v>
      </c>
      <c r="C70" s="53" t="s">
        <v>857</v>
      </c>
      <c r="D70" s="83">
        <v>4</v>
      </c>
      <c r="E70" s="53">
        <v>0.68813000000000002</v>
      </c>
      <c r="F70" s="53">
        <v>-0.99229000000000001</v>
      </c>
      <c r="G70" s="53">
        <v>-1.3751800000000001</v>
      </c>
      <c r="H70" s="53">
        <v>0.46063999999999999</v>
      </c>
      <c r="I70" s="53">
        <v>0.91454000000000002</v>
      </c>
      <c r="J70" s="53"/>
      <c r="K70" s="53"/>
      <c r="L70" s="33"/>
      <c r="M70" s="33"/>
      <c r="N70" s="33"/>
      <c r="O70" s="33"/>
      <c r="P70" s="53" t="s">
        <v>727</v>
      </c>
      <c r="Q70">
        <f>VLOOKUP(P70,GroupLabels!$J:$K,2,FALSE)</f>
        <v>1</v>
      </c>
    </row>
    <row r="71" spans="1:17" x14ac:dyDescent="0.25">
      <c r="A71" s="2" t="s">
        <v>3049</v>
      </c>
      <c r="B71" s="53" t="s">
        <v>856</v>
      </c>
      <c r="C71" s="53" t="s">
        <v>857</v>
      </c>
      <c r="D71" s="83">
        <v>4</v>
      </c>
      <c r="E71" s="53">
        <v>0.69384999999999997</v>
      </c>
      <c r="F71" s="53">
        <v>1.0833600000000001</v>
      </c>
      <c r="G71" s="53">
        <v>0.48930000000000001</v>
      </c>
      <c r="H71" s="53">
        <v>1.545E-2</v>
      </c>
      <c r="I71" s="53">
        <v>-0.50475000000000003</v>
      </c>
      <c r="J71" s="53"/>
      <c r="K71" s="53"/>
      <c r="L71" s="33"/>
      <c r="M71" s="33"/>
      <c r="N71" s="33"/>
      <c r="O71" s="33"/>
      <c r="P71" s="53" t="s">
        <v>711</v>
      </c>
      <c r="Q71">
        <f>VLOOKUP(P71,GroupLabels!$J:$K,2,FALSE)</f>
        <v>0</v>
      </c>
    </row>
    <row r="72" spans="1:17" x14ac:dyDescent="0.25">
      <c r="A72" s="2" t="s">
        <v>1769</v>
      </c>
      <c r="B72" s="53" t="s">
        <v>856</v>
      </c>
      <c r="C72" s="53" t="s">
        <v>857</v>
      </c>
      <c r="D72" s="83">
        <v>4</v>
      </c>
      <c r="E72" s="53">
        <v>1.01464</v>
      </c>
      <c r="F72" s="53">
        <v>1.20146</v>
      </c>
      <c r="G72" s="53">
        <v>-1.1290899999999999</v>
      </c>
      <c r="H72" s="53">
        <v>0.88851999999999998</v>
      </c>
      <c r="I72" s="53">
        <v>0.24057000000000001</v>
      </c>
      <c r="J72" s="53"/>
      <c r="K72" s="53"/>
      <c r="L72" s="33"/>
      <c r="M72" s="33"/>
      <c r="N72" s="33"/>
      <c r="O72" s="33"/>
      <c r="P72" s="53" t="s">
        <v>871</v>
      </c>
      <c r="Q72">
        <f>VLOOKUP(P72,GroupLabels!$J:$K,2,FALSE)</f>
        <v>0</v>
      </c>
    </row>
    <row r="73" spans="1:17" x14ac:dyDescent="0.25">
      <c r="A73" s="2" t="s">
        <v>1769</v>
      </c>
      <c r="B73" s="53" t="s">
        <v>858</v>
      </c>
      <c r="C73" s="53" t="s">
        <v>857</v>
      </c>
      <c r="D73" s="83">
        <v>4</v>
      </c>
      <c r="E73" s="53">
        <v>0.68862000000000001</v>
      </c>
      <c r="F73" s="53">
        <v>-2.2511999999999999</v>
      </c>
      <c r="G73" s="53">
        <v>-1.3839600000000001</v>
      </c>
      <c r="H73" s="53">
        <v>1.4560500000000001</v>
      </c>
      <c r="I73" s="53">
        <v>-7.2090000000000001E-2</v>
      </c>
      <c r="J73" s="53"/>
      <c r="K73" s="53"/>
      <c r="L73" s="33"/>
      <c r="M73" s="33"/>
      <c r="N73" s="33"/>
      <c r="O73" s="33"/>
      <c r="P73" s="53" t="s">
        <v>871</v>
      </c>
      <c r="Q73">
        <f>VLOOKUP(P73,GroupLabels!$J:$K,2,FALSE)</f>
        <v>0</v>
      </c>
    </row>
    <row r="74" spans="1:17" x14ac:dyDescent="0.25">
      <c r="A74" s="2" t="s">
        <v>3101</v>
      </c>
      <c r="B74" s="53" t="s">
        <v>856</v>
      </c>
      <c r="C74" s="53" t="s">
        <v>857</v>
      </c>
      <c r="D74" s="83">
        <v>4</v>
      </c>
      <c r="E74" s="53">
        <v>0.51773999999999998</v>
      </c>
      <c r="F74" s="53">
        <v>5.6030000000000003E-2</v>
      </c>
      <c r="G74" s="53">
        <v>-0.79990000000000006</v>
      </c>
      <c r="H74" s="53">
        <v>0.35598000000000002</v>
      </c>
      <c r="I74" s="53">
        <v>0.44391999999999998</v>
      </c>
      <c r="J74" s="53"/>
      <c r="K74" s="53"/>
      <c r="L74" s="33"/>
      <c r="M74" s="33"/>
      <c r="N74" s="33"/>
      <c r="O74" s="33"/>
      <c r="P74" s="53" t="s">
        <v>872</v>
      </c>
      <c r="Q74">
        <f>VLOOKUP(P74,GroupLabels!$J:$K,2,FALSE)</f>
        <v>1</v>
      </c>
    </row>
    <row r="75" spans="1:17" x14ac:dyDescent="0.25">
      <c r="A75" s="2" t="s">
        <v>3101</v>
      </c>
      <c r="B75" s="53" t="s">
        <v>858</v>
      </c>
      <c r="C75" s="53" t="s">
        <v>857</v>
      </c>
      <c r="D75" s="83">
        <v>4</v>
      </c>
      <c r="E75" s="53">
        <v>0.89432999999999996</v>
      </c>
      <c r="F75" s="53">
        <v>0.23626</v>
      </c>
      <c r="G75" s="53">
        <v>-1.0078100000000001</v>
      </c>
      <c r="H75" s="53">
        <v>0.50161</v>
      </c>
      <c r="I75" s="53">
        <v>0.50619999999999998</v>
      </c>
      <c r="J75" s="53"/>
      <c r="K75" s="53"/>
      <c r="L75" s="33"/>
      <c r="M75" s="33"/>
      <c r="N75" s="33"/>
      <c r="O75" s="33"/>
      <c r="P75" s="53" t="s">
        <v>872</v>
      </c>
      <c r="Q75">
        <f>VLOOKUP(P75,GroupLabels!$J:$K,2,FALSE)</f>
        <v>1</v>
      </c>
    </row>
    <row r="76" spans="1:17" x14ac:dyDescent="0.25">
      <c r="A76" s="2" t="s">
        <v>1783</v>
      </c>
      <c r="B76" s="53" t="s">
        <v>856</v>
      </c>
      <c r="C76" s="53" t="s">
        <v>857</v>
      </c>
      <c r="D76" s="83">
        <v>4</v>
      </c>
      <c r="E76" s="53">
        <v>1.1534599999999999</v>
      </c>
      <c r="F76" s="53">
        <v>1.3717999999999999</v>
      </c>
      <c r="G76" s="53">
        <v>-1.59538</v>
      </c>
      <c r="H76" s="53">
        <v>0.78469999999999995</v>
      </c>
      <c r="I76" s="53">
        <v>0.81067999999999996</v>
      </c>
      <c r="J76" s="53"/>
      <c r="K76" s="53"/>
      <c r="L76" s="33"/>
      <c r="M76" s="33"/>
      <c r="N76" s="33"/>
      <c r="O76" s="33"/>
      <c r="P76" s="53" t="s">
        <v>728</v>
      </c>
      <c r="Q76">
        <f>VLOOKUP(P76,GroupLabels!$J:$K,2,FALSE)</f>
        <v>1</v>
      </c>
    </row>
    <row r="77" spans="1:17" x14ac:dyDescent="0.25">
      <c r="A77" s="2" t="s">
        <v>1783</v>
      </c>
      <c r="B77" s="53" t="s">
        <v>858</v>
      </c>
      <c r="C77" s="53" t="s">
        <v>857</v>
      </c>
      <c r="D77" s="83">
        <v>4</v>
      </c>
      <c r="E77" s="53">
        <v>0.65919000000000005</v>
      </c>
      <c r="F77" s="53">
        <v>-0.92967</v>
      </c>
      <c r="G77" s="53">
        <v>-0.18747</v>
      </c>
      <c r="H77" s="53">
        <v>0.53205000000000002</v>
      </c>
      <c r="I77" s="53">
        <v>-0.34458</v>
      </c>
      <c r="J77" s="53"/>
      <c r="K77" s="53"/>
      <c r="L77" s="33"/>
      <c r="M77" s="33"/>
      <c r="N77" s="33"/>
      <c r="O77" s="33"/>
      <c r="P77" s="53" t="s">
        <v>728</v>
      </c>
      <c r="Q77">
        <f>VLOOKUP(P77,GroupLabels!$J:$K,2,FALSE)</f>
        <v>1</v>
      </c>
    </row>
    <row r="78" spans="1:17" x14ac:dyDescent="0.25">
      <c r="A78" s="2" t="s">
        <v>3116</v>
      </c>
      <c r="B78" s="53" t="s">
        <v>856</v>
      </c>
      <c r="C78" s="53" t="s">
        <v>857</v>
      </c>
      <c r="D78" s="83">
        <v>4</v>
      </c>
      <c r="E78" s="53">
        <v>0.86028000000000004</v>
      </c>
      <c r="F78" s="53">
        <v>-1.38947</v>
      </c>
      <c r="G78" s="53">
        <v>-2.9642499999999998</v>
      </c>
      <c r="H78" s="53">
        <v>1.24627</v>
      </c>
      <c r="I78" s="53">
        <v>1.7179800000000001</v>
      </c>
      <c r="J78" s="53"/>
      <c r="K78" s="53"/>
      <c r="L78" s="33"/>
      <c r="M78" s="33"/>
      <c r="N78" s="33"/>
      <c r="O78" s="33"/>
      <c r="P78" s="53" t="s">
        <v>749</v>
      </c>
      <c r="Q78">
        <f>VLOOKUP(P78,GroupLabels!$J:$K,2,FALSE)</f>
        <v>0</v>
      </c>
    </row>
    <row r="79" spans="1:17" x14ac:dyDescent="0.25">
      <c r="A79" s="2" t="s">
        <v>3116</v>
      </c>
      <c r="B79" s="53" t="s">
        <v>858</v>
      </c>
      <c r="C79" s="53" t="s">
        <v>857</v>
      </c>
      <c r="D79" s="83">
        <v>4</v>
      </c>
      <c r="E79" s="53">
        <v>0.67703999999999998</v>
      </c>
      <c r="F79" s="53">
        <v>5.6299999999999996E-3</v>
      </c>
      <c r="G79" s="53">
        <v>-1.4379599999999999</v>
      </c>
      <c r="H79" s="53">
        <v>0.84460999999999997</v>
      </c>
      <c r="I79" s="53">
        <v>0.59335000000000004</v>
      </c>
      <c r="J79" s="53"/>
      <c r="K79" s="53"/>
      <c r="L79" s="33"/>
      <c r="M79" s="33"/>
      <c r="N79" s="33"/>
      <c r="O79" s="33"/>
      <c r="P79" s="53" t="s">
        <v>749</v>
      </c>
      <c r="Q79">
        <f>VLOOKUP(P79,GroupLabels!$J:$K,2,FALSE)</f>
        <v>0</v>
      </c>
    </row>
    <row r="80" spans="1:17" x14ac:dyDescent="0.25">
      <c r="A80" s="2" t="s">
        <v>1775</v>
      </c>
      <c r="B80" s="53" t="s">
        <v>856</v>
      </c>
      <c r="C80" s="53" t="s">
        <v>857</v>
      </c>
      <c r="D80" s="83">
        <v>4</v>
      </c>
      <c r="E80" s="53">
        <v>0.57769999999999999</v>
      </c>
      <c r="F80" s="53">
        <v>-1.10991</v>
      </c>
      <c r="G80" s="53">
        <v>-0.68640999999999996</v>
      </c>
      <c r="H80" s="53">
        <v>0.37781999999999999</v>
      </c>
      <c r="I80" s="53">
        <v>0.30858999999999998</v>
      </c>
      <c r="J80" s="53"/>
      <c r="K80" s="53"/>
      <c r="L80" s="33"/>
      <c r="M80" s="33"/>
      <c r="N80" s="33"/>
      <c r="O80" s="33"/>
      <c r="P80" s="53" t="s">
        <v>729</v>
      </c>
      <c r="Q80">
        <f>VLOOKUP(P80,GroupLabels!$J:$K,2,FALSE)</f>
        <v>1</v>
      </c>
    </row>
    <row r="81" spans="1:17" x14ac:dyDescent="0.25">
      <c r="A81" s="2" t="s">
        <v>1784</v>
      </c>
      <c r="B81" s="53" t="s">
        <v>856</v>
      </c>
      <c r="C81" s="53" t="s">
        <v>857</v>
      </c>
      <c r="D81" s="83">
        <v>4</v>
      </c>
      <c r="E81" s="53">
        <v>0.80274999999999996</v>
      </c>
      <c r="F81" s="53">
        <v>-2.2642199999999999</v>
      </c>
      <c r="G81" s="53">
        <v>-0.9093</v>
      </c>
      <c r="H81" s="53">
        <v>0.98114000000000001</v>
      </c>
      <c r="I81" s="53">
        <v>-7.1840000000000001E-2</v>
      </c>
      <c r="J81" s="53"/>
      <c r="K81" s="53"/>
      <c r="L81" s="33"/>
      <c r="M81" s="33"/>
      <c r="N81" s="33"/>
      <c r="O81" s="33"/>
      <c r="P81" s="53" t="s">
        <v>731</v>
      </c>
      <c r="Q81">
        <f>VLOOKUP(P81,GroupLabels!$J:$K,2,FALSE)</f>
        <v>1</v>
      </c>
    </row>
    <row r="82" spans="1:17" x14ac:dyDescent="0.25">
      <c r="A82" s="2" t="s">
        <v>1784</v>
      </c>
      <c r="B82" s="53" t="s">
        <v>858</v>
      </c>
      <c r="C82" s="53" t="s">
        <v>857</v>
      </c>
      <c r="D82" s="83">
        <v>4</v>
      </c>
      <c r="E82" s="53">
        <v>1.0557099999999999</v>
      </c>
      <c r="F82" s="53">
        <v>0.9909</v>
      </c>
      <c r="G82" s="53">
        <v>-0.79596</v>
      </c>
      <c r="H82" s="53">
        <v>0.54679999999999995</v>
      </c>
      <c r="I82" s="53">
        <v>0.24915999999999999</v>
      </c>
      <c r="J82" s="53"/>
      <c r="K82" s="53"/>
      <c r="L82" s="33"/>
      <c r="M82" s="33"/>
      <c r="N82" s="33"/>
      <c r="O82" s="33"/>
      <c r="P82" s="53" t="s">
        <v>731</v>
      </c>
      <c r="Q82">
        <f>VLOOKUP(P82,GroupLabels!$J:$K,2,FALSE)</f>
        <v>1</v>
      </c>
    </row>
    <row r="83" spans="1:17" x14ac:dyDescent="0.25">
      <c r="A83" s="2" t="s">
        <v>1791</v>
      </c>
      <c r="B83" s="53" t="s">
        <v>856</v>
      </c>
      <c r="C83" s="53" t="s">
        <v>857</v>
      </c>
      <c r="D83" s="83">
        <v>4</v>
      </c>
      <c r="E83" s="53">
        <v>0.45261000000000001</v>
      </c>
      <c r="F83" s="53">
        <v>-0.31218000000000001</v>
      </c>
      <c r="G83" s="53">
        <v>0.58631999999999995</v>
      </c>
      <c r="H83" s="53">
        <v>0.37991999999999998</v>
      </c>
      <c r="I83" s="53">
        <v>-0.96623999999999999</v>
      </c>
      <c r="J83" s="53"/>
      <c r="K83" s="53"/>
      <c r="L83" s="33"/>
      <c r="M83" s="33"/>
      <c r="N83" s="33"/>
      <c r="O83" s="33"/>
      <c r="P83" s="53" t="s">
        <v>873</v>
      </c>
      <c r="Q83">
        <f>VLOOKUP(P83,GroupLabels!$J:$K,2,FALSE)</f>
        <v>0</v>
      </c>
    </row>
    <row r="84" spans="1:17" x14ac:dyDescent="0.25">
      <c r="A84" s="2" t="s">
        <v>1791</v>
      </c>
      <c r="B84" s="53" t="s">
        <v>858</v>
      </c>
      <c r="C84" s="53" t="s">
        <v>857</v>
      </c>
      <c r="D84" s="83">
        <v>4</v>
      </c>
      <c r="E84" s="53">
        <v>0.81469999999999998</v>
      </c>
      <c r="F84" s="53">
        <v>0.14248</v>
      </c>
      <c r="G84" s="53">
        <v>-0.52617000000000003</v>
      </c>
      <c r="H84" s="53">
        <v>0.49391000000000002</v>
      </c>
      <c r="I84" s="53">
        <v>3.2259999999999997E-2</v>
      </c>
      <c r="J84" s="53"/>
      <c r="K84" s="53"/>
      <c r="L84" s="33"/>
      <c r="M84" s="33"/>
      <c r="N84" s="33"/>
      <c r="O84" s="33"/>
      <c r="P84" s="53" t="s">
        <v>873</v>
      </c>
      <c r="Q84">
        <f>VLOOKUP(P84,GroupLabels!$J:$K,2,FALSE)</f>
        <v>0</v>
      </c>
    </row>
    <row r="85" spans="1:17" x14ac:dyDescent="0.25">
      <c r="A85" s="2" t="s">
        <v>3139</v>
      </c>
      <c r="B85" s="53" t="s">
        <v>856</v>
      </c>
      <c r="C85" s="53" t="s">
        <v>857</v>
      </c>
      <c r="D85" s="83">
        <v>4</v>
      </c>
      <c r="E85" s="53">
        <v>0.45112999999999998</v>
      </c>
      <c r="F85" s="53">
        <v>-0.63712000000000002</v>
      </c>
      <c r="G85" s="53">
        <v>-0.77895999999999999</v>
      </c>
      <c r="H85" s="53">
        <v>0.35393999999999998</v>
      </c>
      <c r="I85" s="53">
        <v>0.42502000000000001</v>
      </c>
      <c r="J85" s="53"/>
      <c r="K85" s="53"/>
      <c r="L85" s="33"/>
      <c r="M85" s="33"/>
      <c r="N85" s="33"/>
      <c r="O85" s="33"/>
      <c r="P85" s="53" t="s">
        <v>732</v>
      </c>
      <c r="Q85">
        <f>VLOOKUP(P85,GroupLabels!$J:$K,2,FALSE)</f>
        <v>0</v>
      </c>
    </row>
    <row r="86" spans="1:17" x14ac:dyDescent="0.25">
      <c r="A86" s="2" t="s">
        <v>3000</v>
      </c>
      <c r="B86" s="53" t="s">
        <v>856</v>
      </c>
      <c r="C86" s="53" t="s">
        <v>857</v>
      </c>
      <c r="D86" s="83">
        <v>4</v>
      </c>
      <c r="E86" s="53">
        <v>0.16986000000000001</v>
      </c>
      <c r="F86" s="53">
        <v>-1.08517</v>
      </c>
      <c r="G86" s="53">
        <v>0.19453999999999999</v>
      </c>
      <c r="H86" s="53">
        <v>0.58177999999999996</v>
      </c>
      <c r="I86" s="53">
        <v>-0.77632000000000001</v>
      </c>
      <c r="J86" s="53"/>
      <c r="K86" s="53"/>
      <c r="L86" s="33"/>
      <c r="M86" s="33"/>
      <c r="N86" s="33"/>
      <c r="O86" s="33"/>
      <c r="P86" s="53" t="s">
        <v>750</v>
      </c>
      <c r="Q86">
        <f>VLOOKUP(P86,GroupLabels!$J:$K,2,FALSE)</f>
        <v>0</v>
      </c>
    </row>
    <row r="87" spans="1:17" x14ac:dyDescent="0.25">
      <c r="A87" s="2" t="s">
        <v>3000</v>
      </c>
      <c r="B87" s="53" t="s">
        <v>858</v>
      </c>
      <c r="C87" s="53" t="s">
        <v>857</v>
      </c>
      <c r="D87" s="83">
        <v>4</v>
      </c>
      <c r="E87" s="53">
        <v>0.78410000000000002</v>
      </c>
      <c r="F87" s="53">
        <v>-1.3402000000000001</v>
      </c>
      <c r="G87" s="53">
        <v>-4.922E-2</v>
      </c>
      <c r="H87" s="53">
        <v>0.31890000000000002</v>
      </c>
      <c r="I87" s="53">
        <v>-0.26967999999999998</v>
      </c>
      <c r="J87" s="53"/>
      <c r="K87" s="53"/>
      <c r="L87" s="33"/>
      <c r="M87" s="33"/>
      <c r="N87" s="33"/>
      <c r="O87" s="33"/>
      <c r="P87" s="53" t="s">
        <v>750</v>
      </c>
      <c r="Q87">
        <f>VLOOKUP(P87,GroupLabels!$J:$K,2,FALSE)</f>
        <v>0</v>
      </c>
    </row>
    <row r="88" spans="1:17" x14ac:dyDescent="0.25">
      <c r="A88" s="2" t="s">
        <v>3152</v>
      </c>
      <c r="B88" s="53" t="s">
        <v>856</v>
      </c>
      <c r="C88" s="53" t="s">
        <v>857</v>
      </c>
      <c r="D88" s="83">
        <v>4</v>
      </c>
      <c r="E88" s="53">
        <v>0.97246999999999995</v>
      </c>
      <c r="F88" s="53">
        <v>-1.71811</v>
      </c>
      <c r="G88" s="53">
        <v>-2.24417</v>
      </c>
      <c r="H88" s="53">
        <v>0.64629999999999999</v>
      </c>
      <c r="I88" s="53">
        <v>1.5978699999999999</v>
      </c>
      <c r="J88" s="53"/>
      <c r="K88" s="53"/>
      <c r="L88" s="33"/>
      <c r="M88" s="33"/>
      <c r="N88" s="33"/>
      <c r="O88" s="33"/>
      <c r="P88" s="53" t="s">
        <v>733</v>
      </c>
      <c r="Q88">
        <f>VLOOKUP(P88,GroupLabels!$J:$K,2,FALSE)</f>
        <v>1</v>
      </c>
    </row>
    <row r="89" spans="1:17" x14ac:dyDescent="0.25">
      <c r="A89" s="2" t="s">
        <v>3152</v>
      </c>
      <c r="B89" s="53" t="s">
        <v>858</v>
      </c>
      <c r="C89" s="53" t="s">
        <v>857</v>
      </c>
      <c r="D89" s="83">
        <v>4</v>
      </c>
      <c r="E89" s="53">
        <v>0.92720999999999998</v>
      </c>
      <c r="F89" s="53">
        <v>-0.36360999999999999</v>
      </c>
      <c r="G89" s="53">
        <v>-1.5575399999999999</v>
      </c>
      <c r="H89" s="53">
        <v>0.62312999999999996</v>
      </c>
      <c r="I89" s="53">
        <v>0.93440999999999996</v>
      </c>
      <c r="J89" s="53"/>
      <c r="K89" s="53"/>
      <c r="L89" s="33"/>
      <c r="M89" s="33"/>
      <c r="N89" s="33"/>
      <c r="O89" s="33"/>
      <c r="P89" s="53" t="s">
        <v>733</v>
      </c>
      <c r="Q89">
        <f>VLOOKUP(P89,GroupLabels!$J:$K,2,FALSE)</f>
        <v>1</v>
      </c>
    </row>
    <row r="90" spans="1:17" x14ac:dyDescent="0.25">
      <c r="A90" s="2" t="s">
        <v>3299</v>
      </c>
      <c r="B90" s="53" t="s">
        <v>856</v>
      </c>
      <c r="C90" s="53" t="s">
        <v>857</v>
      </c>
      <c r="D90" s="83">
        <v>4</v>
      </c>
      <c r="E90" s="53">
        <v>0.32157999999999998</v>
      </c>
      <c r="F90" s="53">
        <v>9.69E-2</v>
      </c>
      <c r="G90" s="53">
        <v>0.30812</v>
      </c>
      <c r="H90" s="53">
        <v>0.68030999999999997</v>
      </c>
      <c r="I90" s="53">
        <v>-0.98843000000000003</v>
      </c>
      <c r="J90" s="53"/>
      <c r="K90" s="53"/>
      <c r="L90" s="33"/>
      <c r="M90" s="33"/>
      <c r="N90" s="33"/>
      <c r="O90" s="33"/>
      <c r="P90" s="53" t="s">
        <v>712</v>
      </c>
      <c r="Q90">
        <f>VLOOKUP(P90,GroupLabels!$J:$K,2,FALSE)</f>
        <v>0</v>
      </c>
    </row>
    <row r="91" spans="1:17" x14ac:dyDescent="0.25">
      <c r="A91" s="2" t="s">
        <v>3299</v>
      </c>
      <c r="B91" s="53" t="s">
        <v>858</v>
      </c>
      <c r="C91" s="53" t="s">
        <v>857</v>
      </c>
      <c r="D91" s="83">
        <v>4</v>
      </c>
      <c r="E91" s="53">
        <v>0.26012000000000002</v>
      </c>
      <c r="F91" s="53">
        <v>0.53390000000000004</v>
      </c>
      <c r="G91" s="53">
        <v>-1.25911</v>
      </c>
      <c r="H91" s="53">
        <v>1.4811700000000001</v>
      </c>
      <c r="I91" s="53">
        <v>-0.22206000000000001</v>
      </c>
      <c r="J91" s="53"/>
      <c r="K91" s="53"/>
      <c r="L91" s="33"/>
      <c r="M91" s="33"/>
      <c r="N91" s="33"/>
      <c r="O91" s="33"/>
      <c r="P91" s="53" t="s">
        <v>712</v>
      </c>
      <c r="Q91">
        <f>VLOOKUP(P91,GroupLabels!$J:$K,2,FALSE)</f>
        <v>0</v>
      </c>
    </row>
    <row r="92" spans="1:17" x14ac:dyDescent="0.25">
      <c r="A92" s="2" t="s">
        <v>3157</v>
      </c>
      <c r="B92" s="53" t="s">
        <v>856</v>
      </c>
      <c r="C92" s="53" t="s">
        <v>857</v>
      </c>
      <c r="D92" s="83">
        <v>4</v>
      </c>
      <c r="E92" s="53">
        <v>-4.045E-2</v>
      </c>
      <c r="F92" s="53">
        <v>0.35750999999999999</v>
      </c>
      <c r="G92" s="53">
        <v>1.51938</v>
      </c>
      <c r="H92" s="53">
        <v>0.27439999999999998</v>
      </c>
      <c r="I92" s="53">
        <v>-1.7937799999999999</v>
      </c>
      <c r="J92" s="53"/>
      <c r="K92" s="53"/>
      <c r="L92" s="33"/>
      <c r="M92" s="33"/>
      <c r="N92" s="33"/>
      <c r="O92" s="33"/>
      <c r="P92" s="53" t="s">
        <v>734</v>
      </c>
      <c r="Q92">
        <f>VLOOKUP(P92,GroupLabels!$J:$K,2,FALSE)</f>
        <v>0</v>
      </c>
    </row>
    <row r="93" spans="1:17" x14ac:dyDescent="0.25">
      <c r="A93" s="2" t="s">
        <v>3157</v>
      </c>
      <c r="B93" s="53" t="s">
        <v>858</v>
      </c>
      <c r="C93" s="53" t="s">
        <v>857</v>
      </c>
      <c r="D93" s="83">
        <v>4</v>
      </c>
      <c r="E93" s="53">
        <v>-4.1660000000000003E-2</v>
      </c>
      <c r="F93" s="53">
        <v>0.38214999999999999</v>
      </c>
      <c r="G93" s="53">
        <v>1.48946</v>
      </c>
      <c r="H93" s="53">
        <v>0.14813999999999999</v>
      </c>
      <c r="I93" s="53">
        <v>-1.6375999999999999</v>
      </c>
      <c r="J93" s="53"/>
      <c r="K93" s="53"/>
      <c r="L93" s="33"/>
      <c r="M93" s="33"/>
      <c r="N93" s="33"/>
      <c r="O93" s="33"/>
      <c r="P93" s="53" t="s">
        <v>734</v>
      </c>
      <c r="Q93">
        <f>VLOOKUP(P93,GroupLabels!$J:$K,2,FALSE)</f>
        <v>0</v>
      </c>
    </row>
    <row r="94" spans="1:17" x14ac:dyDescent="0.25">
      <c r="A94" s="2" t="s">
        <v>1770</v>
      </c>
      <c r="B94" s="53" t="s">
        <v>856</v>
      </c>
      <c r="C94" s="53" t="s">
        <v>857</v>
      </c>
      <c r="D94" s="83">
        <v>4</v>
      </c>
      <c r="E94" s="53">
        <v>0.36910999999999999</v>
      </c>
      <c r="F94" s="53">
        <v>-0.17498</v>
      </c>
      <c r="G94" s="53">
        <v>0.48019000000000001</v>
      </c>
      <c r="H94" s="53">
        <v>0.52556000000000003</v>
      </c>
      <c r="I94" s="53">
        <v>-1.0057499999999999</v>
      </c>
      <c r="J94" s="53"/>
      <c r="K94" s="53"/>
      <c r="L94" s="33"/>
      <c r="M94" s="33"/>
      <c r="N94" s="33"/>
      <c r="O94" s="33"/>
      <c r="P94" s="53" t="s">
        <v>735</v>
      </c>
      <c r="Q94">
        <f>VLOOKUP(P94,GroupLabels!$J:$K,2,FALSE)</f>
        <v>1</v>
      </c>
    </row>
    <row r="95" spans="1:17" x14ac:dyDescent="0.25">
      <c r="A95" s="2" t="s">
        <v>1770</v>
      </c>
      <c r="B95" s="53" t="s">
        <v>858</v>
      </c>
      <c r="C95" s="53" t="s">
        <v>857</v>
      </c>
      <c r="D95" s="83">
        <v>4</v>
      </c>
      <c r="E95" s="53">
        <v>0.42382999999999998</v>
      </c>
      <c r="F95" s="53">
        <v>-1.065E-2</v>
      </c>
      <c r="G95" s="53">
        <v>0.30501</v>
      </c>
      <c r="H95" s="53">
        <v>0.45791999999999999</v>
      </c>
      <c r="I95" s="53">
        <v>-0.76293</v>
      </c>
      <c r="J95" s="53"/>
      <c r="K95" s="53"/>
      <c r="L95" s="33"/>
      <c r="M95" s="33"/>
      <c r="N95" s="33"/>
      <c r="O95" s="33"/>
      <c r="P95" s="53" t="s">
        <v>735</v>
      </c>
      <c r="Q95">
        <f>VLOOKUP(P95,GroupLabels!$J:$K,2,FALSE)</f>
        <v>1</v>
      </c>
    </row>
    <row r="96" spans="1:17" x14ac:dyDescent="0.25">
      <c r="A96" s="2" t="s">
        <v>3288</v>
      </c>
      <c r="B96" s="53" t="s">
        <v>856</v>
      </c>
      <c r="C96" s="53" t="s">
        <v>857</v>
      </c>
      <c r="D96" s="83">
        <v>4</v>
      </c>
      <c r="E96" s="53">
        <v>0.56091000000000002</v>
      </c>
      <c r="F96" s="53">
        <v>-0.54162999999999994</v>
      </c>
      <c r="G96" s="53">
        <v>-0.31236000000000003</v>
      </c>
      <c r="H96" s="53">
        <v>0.46870000000000001</v>
      </c>
      <c r="I96" s="53">
        <v>-0.15634000000000001</v>
      </c>
      <c r="J96" s="53"/>
      <c r="K96" s="53"/>
      <c r="L96" s="33"/>
      <c r="M96" s="33"/>
      <c r="N96" s="33"/>
      <c r="O96" s="33"/>
      <c r="P96" s="53" t="s">
        <v>713</v>
      </c>
      <c r="Q96" t="e">
        <f>VLOOKUP(P96,GroupLabels!$J:$K,2,FALSE)</f>
        <v>#N/A</v>
      </c>
    </row>
    <row r="97" spans="1:17" x14ac:dyDescent="0.25">
      <c r="A97" s="2" t="s">
        <v>1793</v>
      </c>
      <c r="B97" s="53" t="s">
        <v>856</v>
      </c>
      <c r="C97" s="53" t="s">
        <v>857</v>
      </c>
      <c r="D97" s="83">
        <v>4</v>
      </c>
      <c r="E97" s="53">
        <v>0.37658000000000003</v>
      </c>
      <c r="F97" s="53">
        <v>0.99712999999999996</v>
      </c>
      <c r="G97" s="53">
        <v>0.28794999999999998</v>
      </c>
      <c r="H97" s="53">
        <v>-6.565E-2</v>
      </c>
      <c r="I97" s="53">
        <v>-0.2223</v>
      </c>
      <c r="J97" s="53"/>
      <c r="K97" s="53"/>
      <c r="L97" s="33"/>
      <c r="M97" s="33"/>
      <c r="N97" s="33"/>
      <c r="O97" s="33"/>
      <c r="P97" s="53" t="s">
        <v>874</v>
      </c>
      <c r="Q97">
        <f>VLOOKUP(P97,GroupLabels!$J:$K,2,FALSE)</f>
        <v>1</v>
      </c>
    </row>
    <row r="98" spans="1:17" x14ac:dyDescent="0.25">
      <c r="A98" s="2" t="s">
        <v>1793</v>
      </c>
      <c r="B98" s="53" t="s">
        <v>858</v>
      </c>
      <c r="C98" s="53" t="s">
        <v>857</v>
      </c>
      <c r="D98" s="83">
        <v>4</v>
      </c>
      <c r="E98" s="53">
        <v>0.48620000000000002</v>
      </c>
      <c r="F98" s="53">
        <v>0.15418999999999999</v>
      </c>
      <c r="G98" s="53">
        <v>-0.1522</v>
      </c>
      <c r="H98" s="53">
        <v>0.47665000000000002</v>
      </c>
      <c r="I98" s="53">
        <v>-0.32445000000000002</v>
      </c>
      <c r="J98" s="53"/>
      <c r="K98" s="53"/>
      <c r="L98" s="33"/>
      <c r="M98" s="33"/>
      <c r="N98" s="33"/>
      <c r="O98" s="33"/>
      <c r="P98" s="53" t="s">
        <v>874</v>
      </c>
      <c r="Q98">
        <f>VLOOKUP(P98,GroupLabels!$J:$K,2,FALSE)</f>
        <v>1</v>
      </c>
    </row>
    <row r="99" spans="1:17" x14ac:dyDescent="0.25">
      <c r="A99" s="2" t="s">
        <v>3289</v>
      </c>
      <c r="B99" s="53" t="s">
        <v>856</v>
      </c>
      <c r="C99" s="53" t="s">
        <v>857</v>
      </c>
      <c r="D99" s="83">
        <v>4</v>
      </c>
      <c r="E99" s="53">
        <v>0.97680999999999996</v>
      </c>
      <c r="F99" s="53">
        <v>-0.14591999999999999</v>
      </c>
      <c r="G99" s="53">
        <v>-1.3176399999999999</v>
      </c>
      <c r="H99" s="53">
        <v>0.70211999999999997</v>
      </c>
      <c r="I99" s="53">
        <v>0.61551999999999996</v>
      </c>
      <c r="J99" s="53"/>
      <c r="K99" s="53"/>
      <c r="L99" s="33"/>
      <c r="M99" s="33"/>
      <c r="N99" s="33"/>
      <c r="O99" s="33"/>
      <c r="P99" s="53" t="s">
        <v>875</v>
      </c>
      <c r="Q99">
        <f>VLOOKUP(P99,GroupLabels!$J:$K,2,FALSE)</f>
        <v>0</v>
      </c>
    </row>
    <row r="100" spans="1:17" x14ac:dyDescent="0.25">
      <c r="A100" s="2" t="s">
        <v>3289</v>
      </c>
      <c r="B100" s="53" t="s">
        <v>858</v>
      </c>
      <c r="C100" s="53" t="s">
        <v>857</v>
      </c>
      <c r="D100" s="83">
        <v>4</v>
      </c>
      <c r="E100" s="53">
        <v>0.70643</v>
      </c>
      <c r="F100" s="53">
        <v>2.1260000000000001E-2</v>
      </c>
      <c r="G100" s="53">
        <v>-0.53556999999999999</v>
      </c>
      <c r="H100" s="53">
        <v>0.53295000000000003</v>
      </c>
      <c r="I100" s="53">
        <v>2.61999999999996E-3</v>
      </c>
      <c r="J100" s="53"/>
      <c r="K100" s="53"/>
      <c r="L100" s="33"/>
      <c r="M100" s="33"/>
      <c r="N100" s="33"/>
      <c r="O100" s="33"/>
      <c r="P100" s="53" t="s">
        <v>875</v>
      </c>
      <c r="Q100">
        <f>VLOOKUP(P100,GroupLabels!$J:$K,2,FALSE)</f>
        <v>0</v>
      </c>
    </row>
    <row r="101" spans="1:17" x14ac:dyDescent="0.25">
      <c r="A101" s="2" t="s">
        <v>1803</v>
      </c>
      <c r="B101" s="53" t="s">
        <v>856</v>
      </c>
      <c r="C101" s="53" t="s">
        <v>857</v>
      </c>
      <c r="D101" s="83">
        <v>4</v>
      </c>
      <c r="E101" s="53">
        <v>0.28805999999999998</v>
      </c>
      <c r="F101" s="53">
        <v>-0.28915999999999997</v>
      </c>
      <c r="G101" s="53">
        <v>-1.2430399999999999</v>
      </c>
      <c r="H101" s="53">
        <v>0.80066000000000004</v>
      </c>
      <c r="I101" s="53">
        <v>0.44238</v>
      </c>
      <c r="J101" s="53"/>
      <c r="K101" s="53"/>
      <c r="L101" s="33"/>
      <c r="M101" s="33"/>
      <c r="N101" s="33"/>
      <c r="O101" s="33"/>
      <c r="P101" s="53" t="s">
        <v>876</v>
      </c>
      <c r="Q101">
        <f>VLOOKUP(P101,GroupLabels!$J:$K,2,FALSE)</f>
        <v>0</v>
      </c>
    </row>
    <row r="102" spans="1:17" x14ac:dyDescent="0.25">
      <c r="A102" s="2" t="s">
        <v>1803</v>
      </c>
      <c r="B102" s="53" t="s">
        <v>858</v>
      </c>
      <c r="C102" s="53" t="s">
        <v>857</v>
      </c>
      <c r="D102" s="83">
        <v>4</v>
      </c>
      <c r="E102" s="53">
        <v>0.76099000000000006</v>
      </c>
      <c r="F102" s="53">
        <v>-1.2855000000000001</v>
      </c>
      <c r="G102" s="53">
        <v>-0.10525</v>
      </c>
      <c r="H102" s="53">
        <v>0.41275000000000001</v>
      </c>
      <c r="I102" s="53">
        <v>-0.3075</v>
      </c>
      <c r="J102" s="53"/>
      <c r="K102" s="53"/>
      <c r="L102" s="33"/>
      <c r="M102" s="33"/>
      <c r="N102" s="33"/>
      <c r="O102" s="33"/>
      <c r="P102" s="53" t="s">
        <v>876</v>
      </c>
      <c r="Q102">
        <f>VLOOKUP(P102,GroupLabels!$J:$K,2,FALSE)</f>
        <v>0</v>
      </c>
    </row>
    <row r="103" spans="1:17" x14ac:dyDescent="0.25">
      <c r="A103" s="2" t="s">
        <v>1771</v>
      </c>
      <c r="B103" s="53" t="s">
        <v>856</v>
      </c>
      <c r="C103" s="53" t="s">
        <v>857</v>
      </c>
      <c r="D103" s="83">
        <v>4</v>
      </c>
      <c r="E103" s="53">
        <v>0.64756000000000002</v>
      </c>
      <c r="F103" s="53">
        <v>-0.91264999999999996</v>
      </c>
      <c r="G103" s="53">
        <v>-0.94145000000000001</v>
      </c>
      <c r="H103" s="53">
        <v>0.53059999999999996</v>
      </c>
      <c r="I103" s="53">
        <v>0.41084999999999999</v>
      </c>
      <c r="J103" s="53"/>
      <c r="K103" s="53"/>
      <c r="L103" s="33"/>
      <c r="M103" s="33"/>
      <c r="N103" s="33"/>
      <c r="O103" s="33"/>
      <c r="P103" s="53" t="s">
        <v>877</v>
      </c>
      <c r="Q103">
        <f>VLOOKUP(P103,GroupLabels!$J:$K,2,FALSE)</f>
        <v>0</v>
      </c>
    </row>
    <row r="104" spans="1:17" x14ac:dyDescent="0.25">
      <c r="A104" s="2" t="s">
        <v>3011</v>
      </c>
      <c r="B104" s="53" t="s">
        <v>856</v>
      </c>
      <c r="C104" s="53" t="s">
        <v>857</v>
      </c>
      <c r="D104" s="83">
        <v>4</v>
      </c>
      <c r="E104" s="53">
        <v>0.61231000000000002</v>
      </c>
      <c r="F104" s="53">
        <v>-4.07E-2</v>
      </c>
      <c r="G104" s="53">
        <v>-1.2771699999999999</v>
      </c>
      <c r="H104" s="53">
        <v>0.92374000000000001</v>
      </c>
      <c r="I104" s="53">
        <v>0.35343000000000002</v>
      </c>
      <c r="J104" s="53"/>
      <c r="K104" s="53"/>
      <c r="L104" s="33"/>
      <c r="M104" s="33"/>
      <c r="N104" s="33"/>
      <c r="O104" s="33"/>
      <c r="P104" s="53" t="s">
        <v>878</v>
      </c>
      <c r="Q104">
        <f>VLOOKUP(P104,GroupLabels!$J:$K,2,FALSE)</f>
        <v>0</v>
      </c>
    </row>
    <row r="105" spans="1:17" x14ac:dyDescent="0.25">
      <c r="A105" s="2" t="s">
        <v>3011</v>
      </c>
      <c r="B105" s="53" t="s">
        <v>858</v>
      </c>
      <c r="C105" s="53" t="s">
        <v>857</v>
      </c>
      <c r="D105" s="83">
        <v>4</v>
      </c>
      <c r="E105" s="53">
        <v>0.55506999999999995</v>
      </c>
      <c r="F105" s="53">
        <v>0.54059000000000001</v>
      </c>
      <c r="G105" s="53">
        <v>-0.78615000000000002</v>
      </c>
      <c r="H105" s="53">
        <v>0.9546</v>
      </c>
      <c r="I105" s="53">
        <v>-0.16844999999999999</v>
      </c>
      <c r="J105" s="53"/>
      <c r="K105" s="53"/>
      <c r="L105" s="33"/>
      <c r="M105" s="33"/>
      <c r="N105" s="33"/>
      <c r="O105" s="33"/>
      <c r="P105" s="53" t="s">
        <v>878</v>
      </c>
      <c r="Q105">
        <f>VLOOKUP(P105,GroupLabels!$J:$K,2,FALSE)</f>
        <v>0</v>
      </c>
    </row>
    <row r="106" spans="1:17" x14ac:dyDescent="0.25">
      <c r="A106" s="2" t="s">
        <v>1794</v>
      </c>
      <c r="B106" s="53" t="s">
        <v>856</v>
      </c>
      <c r="C106" s="53" t="s">
        <v>857</v>
      </c>
      <c r="D106" s="83">
        <v>4</v>
      </c>
      <c r="E106" s="53">
        <v>0.33438000000000001</v>
      </c>
      <c r="F106" s="53">
        <v>-1.13903</v>
      </c>
      <c r="G106" s="53">
        <v>0.12488</v>
      </c>
      <c r="H106" s="53">
        <v>0.65749999999999997</v>
      </c>
      <c r="I106" s="53">
        <v>-0.78237999999999996</v>
      </c>
      <c r="J106" s="53"/>
      <c r="K106" s="53"/>
      <c r="L106" s="33"/>
      <c r="M106" s="33"/>
      <c r="N106" s="33"/>
      <c r="O106" s="33"/>
      <c r="P106" s="53" t="s">
        <v>879</v>
      </c>
      <c r="Q106">
        <f>VLOOKUP(P106,GroupLabels!$J:$K,2,FALSE)</f>
        <v>0</v>
      </c>
    </row>
    <row r="107" spans="1:17" x14ac:dyDescent="0.25">
      <c r="A107" s="2" t="s">
        <v>1794</v>
      </c>
      <c r="B107" s="53" t="s">
        <v>858</v>
      </c>
      <c r="C107" s="53" t="s">
        <v>857</v>
      </c>
      <c r="D107" s="83">
        <v>4</v>
      </c>
      <c r="E107" s="53">
        <v>8.7999999999999995E-2</v>
      </c>
      <c r="F107" s="53">
        <v>-0.64761000000000002</v>
      </c>
      <c r="G107" s="53">
        <v>-0.30379</v>
      </c>
      <c r="H107" s="53">
        <v>0.41849999999999998</v>
      </c>
      <c r="I107" s="53">
        <v>-0.11471000000000001</v>
      </c>
      <c r="J107" s="53"/>
      <c r="K107" s="53"/>
      <c r="L107" s="33"/>
      <c r="M107" s="33"/>
      <c r="N107" s="33"/>
      <c r="O107" s="33"/>
      <c r="P107" s="53" t="s">
        <v>879</v>
      </c>
      <c r="Q107">
        <f>VLOOKUP(P107,GroupLabels!$J:$K,2,FALSE)</f>
        <v>0</v>
      </c>
    </row>
    <row r="108" spans="1:17" x14ac:dyDescent="0.25">
      <c r="A108" s="2" t="s">
        <v>2905</v>
      </c>
      <c r="B108" s="53" t="s">
        <v>856</v>
      </c>
      <c r="C108" s="53" t="s">
        <v>857</v>
      </c>
      <c r="D108" s="83">
        <v>4</v>
      </c>
      <c r="E108" s="53">
        <v>0.53030999999999995</v>
      </c>
      <c r="F108" s="53">
        <v>-1.04714</v>
      </c>
      <c r="G108" s="53">
        <v>0.36908000000000002</v>
      </c>
      <c r="H108" s="53">
        <v>0.84562999999999999</v>
      </c>
      <c r="I108" s="53">
        <v>-1.21471</v>
      </c>
      <c r="J108" s="53"/>
      <c r="K108" s="53"/>
      <c r="L108" s="33"/>
      <c r="M108" s="33"/>
      <c r="N108" s="33"/>
      <c r="O108" s="33"/>
      <c r="P108" s="53" t="s">
        <v>880</v>
      </c>
      <c r="Q108">
        <f>VLOOKUP(P108,GroupLabels!$J:$K,2,FALSE)</f>
        <v>0</v>
      </c>
    </row>
    <row r="109" spans="1:17" x14ac:dyDescent="0.25">
      <c r="A109" s="2" t="s">
        <v>2905</v>
      </c>
      <c r="B109" s="53" t="s">
        <v>858</v>
      </c>
      <c r="C109" s="53" t="s">
        <v>857</v>
      </c>
      <c r="D109" s="83">
        <v>4</v>
      </c>
      <c r="E109" s="53">
        <v>0.48320000000000002</v>
      </c>
      <c r="F109" s="53">
        <v>-0.67434000000000005</v>
      </c>
      <c r="G109" s="53">
        <v>0.50456999999999996</v>
      </c>
      <c r="H109" s="53">
        <v>0.68118000000000001</v>
      </c>
      <c r="I109" s="53">
        <v>-1.1857500000000001</v>
      </c>
      <c r="J109" s="53"/>
      <c r="K109" s="53"/>
      <c r="L109" s="33"/>
      <c r="M109" s="33"/>
      <c r="N109" s="33"/>
      <c r="O109" s="33"/>
      <c r="P109" s="53" t="s">
        <v>880</v>
      </c>
      <c r="Q109">
        <f>VLOOKUP(P109,GroupLabels!$J:$K,2,FALSE)</f>
        <v>0</v>
      </c>
    </row>
    <row r="110" spans="1:17" x14ac:dyDescent="0.25">
      <c r="A110" s="2" t="s">
        <v>1776</v>
      </c>
      <c r="B110" s="53" t="s">
        <v>856</v>
      </c>
      <c r="C110" s="53" t="s">
        <v>857</v>
      </c>
      <c r="D110" s="83">
        <v>4</v>
      </c>
      <c r="E110" s="53">
        <v>0.78373999999999999</v>
      </c>
      <c r="F110" s="53">
        <v>1.0455000000000001</v>
      </c>
      <c r="G110" s="53">
        <v>-0.61519000000000001</v>
      </c>
      <c r="H110" s="53">
        <v>0.30831999999999998</v>
      </c>
      <c r="I110" s="53">
        <v>0.30686999999999998</v>
      </c>
      <c r="J110" s="53"/>
      <c r="K110" s="53"/>
      <c r="L110" s="33"/>
      <c r="M110" s="33"/>
      <c r="N110" s="33"/>
      <c r="O110" s="33"/>
      <c r="P110" s="53" t="s">
        <v>737</v>
      </c>
      <c r="Q110">
        <f>VLOOKUP(P110,GroupLabels!$J:$K,2,FALSE)</f>
        <v>1</v>
      </c>
    </row>
    <row r="111" spans="1:17" x14ac:dyDescent="0.25">
      <c r="A111" s="2" t="s">
        <v>1776</v>
      </c>
      <c r="B111" s="53" t="s">
        <v>858</v>
      </c>
      <c r="C111" s="53" t="s">
        <v>857</v>
      </c>
      <c r="D111" s="83">
        <v>4</v>
      </c>
      <c r="E111" s="53">
        <v>0.78771000000000002</v>
      </c>
      <c r="F111" s="53">
        <v>1.9641299999999999</v>
      </c>
      <c r="G111" s="53">
        <v>-0.87829000000000002</v>
      </c>
      <c r="H111" s="53">
        <v>0.32203999999999999</v>
      </c>
      <c r="I111" s="53">
        <v>0.55625000000000002</v>
      </c>
      <c r="J111" s="53"/>
      <c r="K111" s="53"/>
      <c r="L111" s="33"/>
      <c r="M111" s="33"/>
      <c r="N111" s="33"/>
      <c r="O111" s="33"/>
      <c r="P111" s="53" t="s">
        <v>737</v>
      </c>
      <c r="Q111">
        <f>VLOOKUP(P111,GroupLabels!$J:$K,2,FALSE)</f>
        <v>1</v>
      </c>
    </row>
    <row r="112" spans="1:17" x14ac:dyDescent="0.25">
      <c r="A112" s="2" t="s">
        <v>3015</v>
      </c>
      <c r="B112" s="53" t="s">
        <v>856</v>
      </c>
      <c r="C112" s="53" t="s">
        <v>857</v>
      </c>
      <c r="D112" s="83">
        <v>4</v>
      </c>
      <c r="E112" s="53">
        <v>0.61041000000000001</v>
      </c>
      <c r="F112" s="53">
        <v>-0.23965</v>
      </c>
      <c r="G112" s="53">
        <v>-1.13212</v>
      </c>
      <c r="H112" s="53">
        <v>0.71935000000000004</v>
      </c>
      <c r="I112" s="53">
        <v>0.41277000000000003</v>
      </c>
      <c r="J112" s="53"/>
      <c r="K112" s="53"/>
      <c r="L112" s="33"/>
      <c r="M112" s="33"/>
      <c r="N112" s="33"/>
      <c r="O112" s="33"/>
      <c r="P112" s="53" t="s">
        <v>881</v>
      </c>
      <c r="Q112">
        <f>VLOOKUP(P112,GroupLabels!$J:$K,2,FALSE)</f>
        <v>1</v>
      </c>
    </row>
    <row r="113" spans="1:17" x14ac:dyDescent="0.25">
      <c r="A113" s="2" t="s">
        <v>3015</v>
      </c>
      <c r="B113" s="53" t="s">
        <v>858</v>
      </c>
      <c r="C113" s="53" t="s">
        <v>857</v>
      </c>
      <c r="D113" s="83">
        <v>4</v>
      </c>
      <c r="E113" s="53">
        <v>0.55996000000000001</v>
      </c>
      <c r="F113" s="53">
        <v>-0.40016000000000002</v>
      </c>
      <c r="G113" s="53">
        <v>0.40157999999999999</v>
      </c>
      <c r="H113" s="53">
        <v>0.46750000000000003</v>
      </c>
      <c r="I113" s="53">
        <v>-0.86907999999999996</v>
      </c>
      <c r="J113" s="53"/>
      <c r="K113" s="53"/>
      <c r="L113" s="33"/>
      <c r="M113" s="33"/>
      <c r="N113" s="33"/>
      <c r="O113" s="33"/>
      <c r="P113" s="53" t="s">
        <v>881</v>
      </c>
      <c r="Q113">
        <f>VLOOKUP(P113,GroupLabels!$J:$K,2,FALSE)</f>
        <v>1</v>
      </c>
    </row>
    <row r="114" spans="1:17" x14ac:dyDescent="0.25">
      <c r="A114" s="2" t="s">
        <v>3291</v>
      </c>
      <c r="B114" s="53" t="s">
        <v>856</v>
      </c>
      <c r="C114" s="53" t="s">
        <v>857</v>
      </c>
      <c r="D114" s="83">
        <v>4</v>
      </c>
      <c r="E114" s="53">
        <v>0.87041999999999997</v>
      </c>
      <c r="F114" s="53">
        <v>-1.0069399999999999</v>
      </c>
      <c r="G114" s="53">
        <v>-2.9335100000000001</v>
      </c>
      <c r="H114" s="53">
        <v>1.2259899999999999</v>
      </c>
      <c r="I114" s="53">
        <v>1.7075199999999999</v>
      </c>
      <c r="J114" s="53"/>
      <c r="K114" s="53"/>
      <c r="L114" s="33"/>
      <c r="M114" s="33"/>
      <c r="N114" s="33"/>
      <c r="O114" s="33"/>
      <c r="P114" s="53" t="s">
        <v>738</v>
      </c>
      <c r="Q114">
        <f>VLOOKUP(P114,GroupLabels!$J:$K,2,FALSE)</f>
        <v>0</v>
      </c>
    </row>
    <row r="115" spans="1:17" x14ac:dyDescent="0.25">
      <c r="A115" s="2" t="s">
        <v>3291</v>
      </c>
      <c r="B115" s="53" t="s">
        <v>858</v>
      </c>
      <c r="C115" s="53" t="s">
        <v>857</v>
      </c>
      <c r="D115" s="83">
        <v>4</v>
      </c>
      <c r="E115" s="53">
        <v>0.49107000000000001</v>
      </c>
      <c r="F115" s="53">
        <v>-0.40254000000000001</v>
      </c>
      <c r="G115" s="53">
        <v>-1.9308399999999999</v>
      </c>
      <c r="H115" s="53">
        <v>1.8120499999999999</v>
      </c>
      <c r="I115" s="53">
        <v>0.11879000000000001</v>
      </c>
      <c r="J115" s="53"/>
      <c r="K115" s="53"/>
      <c r="L115" s="33"/>
      <c r="M115" s="33"/>
      <c r="N115" s="33"/>
      <c r="O115" s="33"/>
      <c r="P115" s="53" t="s">
        <v>738</v>
      </c>
      <c r="Q115">
        <f>VLOOKUP(P115,GroupLabels!$J:$K,2,FALSE)</f>
        <v>0</v>
      </c>
    </row>
    <row r="116" spans="1:17" x14ac:dyDescent="0.25">
      <c r="A116" s="2" t="s">
        <v>1796</v>
      </c>
      <c r="B116" s="53" t="s">
        <v>856</v>
      </c>
      <c r="C116" s="53" t="s">
        <v>857</v>
      </c>
      <c r="D116" s="83">
        <v>4</v>
      </c>
      <c r="E116" s="53">
        <v>0.49408999999999997</v>
      </c>
      <c r="F116" s="53">
        <v>0.80939000000000005</v>
      </c>
      <c r="G116" s="53">
        <v>-0.20072000000000001</v>
      </c>
      <c r="H116" s="53">
        <v>-8.0629999999999993E-2</v>
      </c>
      <c r="I116" s="53">
        <v>0.28134999999999999</v>
      </c>
      <c r="J116" s="53"/>
      <c r="K116" s="53"/>
      <c r="L116" s="33"/>
      <c r="M116" s="33"/>
      <c r="N116" s="33"/>
      <c r="O116" s="33"/>
      <c r="P116" s="53" t="s">
        <v>882</v>
      </c>
      <c r="Q116">
        <f>VLOOKUP(P116,GroupLabels!$J:$K,2,FALSE)</f>
        <v>1</v>
      </c>
    </row>
    <row r="117" spans="1:17" x14ac:dyDescent="0.25">
      <c r="A117" s="2" t="s">
        <v>3293</v>
      </c>
      <c r="B117" s="53" t="s">
        <v>856</v>
      </c>
      <c r="C117" s="53" t="s">
        <v>857</v>
      </c>
      <c r="D117" s="83">
        <v>4</v>
      </c>
      <c r="E117" s="53">
        <v>0.52146000000000003</v>
      </c>
      <c r="F117" s="53">
        <v>-0.57379999999999998</v>
      </c>
      <c r="G117" s="53">
        <v>0.30358000000000002</v>
      </c>
      <c r="H117" s="53">
        <v>0.56979000000000002</v>
      </c>
      <c r="I117" s="53">
        <v>-0.87336999999999998</v>
      </c>
      <c r="J117" s="53"/>
      <c r="K117" s="53"/>
      <c r="L117" s="33"/>
      <c r="M117" s="33"/>
      <c r="N117" s="33"/>
      <c r="O117" s="33"/>
      <c r="P117" s="53" t="s">
        <v>883</v>
      </c>
      <c r="Q117">
        <f>VLOOKUP(P117,GroupLabels!$J:$K,2,FALSE)</f>
        <v>0</v>
      </c>
    </row>
    <row r="118" spans="1:17" x14ac:dyDescent="0.25">
      <c r="A118" s="2" t="s">
        <v>3293</v>
      </c>
      <c r="B118" s="53" t="s">
        <v>858</v>
      </c>
      <c r="C118" s="53" t="s">
        <v>857</v>
      </c>
      <c r="D118" s="83">
        <v>4</v>
      </c>
      <c r="E118" s="53">
        <v>0.52197000000000005</v>
      </c>
      <c r="F118" s="53">
        <v>-0.56647999999999998</v>
      </c>
      <c r="G118" s="53">
        <v>0.34477999999999998</v>
      </c>
      <c r="H118" s="53">
        <v>0.60634999999999994</v>
      </c>
      <c r="I118" s="53">
        <v>-0.95113000000000003</v>
      </c>
      <c r="J118" s="53"/>
      <c r="K118" s="53"/>
      <c r="L118" s="33"/>
      <c r="M118" s="33"/>
      <c r="N118" s="33"/>
      <c r="O118" s="33"/>
      <c r="P118" s="53" t="s">
        <v>883</v>
      </c>
      <c r="Q118">
        <f>VLOOKUP(P118,GroupLabels!$J:$K,2,FALSE)</f>
        <v>0</v>
      </c>
    </row>
    <row r="119" spans="1:17" x14ac:dyDescent="0.25">
      <c r="A119" s="2" t="s">
        <v>3055</v>
      </c>
      <c r="B119" s="53" t="s">
        <v>856</v>
      </c>
      <c r="C119" s="53" t="s">
        <v>857</v>
      </c>
      <c r="D119" s="83">
        <v>4</v>
      </c>
      <c r="E119" s="53">
        <v>0.83335000000000004</v>
      </c>
      <c r="F119" s="53">
        <v>-0.11419</v>
      </c>
      <c r="G119" s="53">
        <v>-0.31043999999999999</v>
      </c>
      <c r="H119" s="53">
        <v>0.31119999999999998</v>
      </c>
      <c r="I119" s="53">
        <v>-7.5999999999998302E-4</v>
      </c>
      <c r="J119" s="53"/>
      <c r="K119" s="53"/>
      <c r="L119" s="33"/>
      <c r="M119" s="33"/>
      <c r="N119" s="33"/>
      <c r="O119" s="33"/>
      <c r="P119" s="53" t="s">
        <v>884</v>
      </c>
      <c r="Q119">
        <f>VLOOKUP(P119,GroupLabels!$J:$K,2,FALSE)</f>
        <v>0</v>
      </c>
    </row>
    <row r="120" spans="1:17" x14ac:dyDescent="0.25">
      <c r="A120" s="2" t="s">
        <v>3055</v>
      </c>
      <c r="B120" s="53" t="s">
        <v>858</v>
      </c>
      <c r="C120" s="53" t="s">
        <v>857</v>
      </c>
      <c r="D120" s="83">
        <v>4</v>
      </c>
      <c r="E120" s="53">
        <v>0.69389999999999996</v>
      </c>
      <c r="F120" s="53">
        <v>-1.1962699999999999</v>
      </c>
      <c r="G120" s="53">
        <v>-2.9005299999999998</v>
      </c>
      <c r="H120" s="53">
        <v>0.85360000000000003</v>
      </c>
      <c r="I120" s="53">
        <v>2.0469300000000001</v>
      </c>
      <c r="J120" s="53"/>
      <c r="K120" s="53"/>
      <c r="L120" s="33"/>
      <c r="M120" s="33"/>
      <c r="N120" s="33"/>
      <c r="O120" s="33"/>
      <c r="P120" s="53" t="s">
        <v>884</v>
      </c>
      <c r="Q120">
        <f>VLOOKUP(P120,GroupLabels!$J:$K,2,FALSE)</f>
        <v>0</v>
      </c>
    </row>
    <row r="121" spans="1:17" x14ac:dyDescent="0.25">
      <c r="A121" s="2" t="s">
        <v>1805</v>
      </c>
      <c r="B121" s="53" t="s">
        <v>856</v>
      </c>
      <c r="C121" s="53" t="s">
        <v>857</v>
      </c>
      <c r="D121" s="83">
        <v>4</v>
      </c>
      <c r="E121" s="53">
        <v>0.72643000000000002</v>
      </c>
      <c r="F121" s="53">
        <v>-0.19270999999999999</v>
      </c>
      <c r="G121" s="53">
        <v>-0.20322999999999999</v>
      </c>
      <c r="H121" s="53">
        <v>0.51317000000000002</v>
      </c>
      <c r="I121" s="53">
        <v>-0.30993999999999999</v>
      </c>
      <c r="J121" s="53"/>
      <c r="K121" s="53"/>
      <c r="L121" s="33"/>
      <c r="M121" s="33"/>
      <c r="N121" s="33"/>
      <c r="O121" s="33"/>
      <c r="P121" s="53" t="s">
        <v>885</v>
      </c>
      <c r="Q121">
        <f>VLOOKUP(P121,GroupLabels!$J:$K,2,FALSE)</f>
        <v>0</v>
      </c>
    </row>
    <row r="122" spans="1:17" x14ac:dyDescent="0.25">
      <c r="A122" s="2" t="s">
        <v>1805</v>
      </c>
      <c r="B122" s="53" t="s">
        <v>858</v>
      </c>
      <c r="C122" s="53" t="s">
        <v>857</v>
      </c>
      <c r="D122" s="83">
        <v>4</v>
      </c>
      <c r="E122" s="53">
        <v>0.99143000000000003</v>
      </c>
      <c r="F122" s="53">
        <v>-1.4455</v>
      </c>
      <c r="G122" s="53">
        <v>-2.0963599999999998</v>
      </c>
      <c r="H122" s="53">
        <v>0.98526000000000002</v>
      </c>
      <c r="I122" s="53">
        <v>1.1111</v>
      </c>
      <c r="J122" s="53"/>
      <c r="K122" s="53"/>
      <c r="L122" s="33"/>
      <c r="M122" s="33"/>
      <c r="N122" s="33"/>
      <c r="O122" s="33"/>
      <c r="P122" s="53" t="s">
        <v>885</v>
      </c>
      <c r="Q122">
        <f>VLOOKUP(P122,GroupLabels!$J:$K,2,FALSE)</f>
        <v>0</v>
      </c>
    </row>
    <row r="123" spans="1:17" x14ac:dyDescent="0.25">
      <c r="A123" s="2" t="s">
        <v>1797</v>
      </c>
      <c r="B123" s="53" t="s">
        <v>856</v>
      </c>
      <c r="C123" s="53" t="s">
        <v>857</v>
      </c>
      <c r="D123" s="83">
        <v>4</v>
      </c>
      <c r="E123" s="53">
        <v>0.78212000000000004</v>
      </c>
      <c r="F123" s="53">
        <v>-1.7402599999999999</v>
      </c>
      <c r="G123" s="53">
        <v>-0.29668</v>
      </c>
      <c r="H123" s="53">
        <v>0.62058999999999997</v>
      </c>
      <c r="I123" s="53">
        <v>-0.32390999999999998</v>
      </c>
      <c r="J123" s="53"/>
      <c r="K123" s="53"/>
      <c r="L123" s="33"/>
      <c r="M123" s="33"/>
      <c r="N123" s="33"/>
      <c r="O123" s="33"/>
      <c r="P123" s="53" t="s">
        <v>739</v>
      </c>
      <c r="Q123">
        <f>VLOOKUP(P123,GroupLabels!$J:$K,2,FALSE)</f>
        <v>1</v>
      </c>
    </row>
    <row r="124" spans="1:17" x14ac:dyDescent="0.25">
      <c r="A124" s="2" t="s">
        <v>1797</v>
      </c>
      <c r="B124" s="53" t="s">
        <v>858</v>
      </c>
      <c r="C124" s="53" t="s">
        <v>857</v>
      </c>
      <c r="D124" s="83">
        <v>4</v>
      </c>
      <c r="E124" s="53">
        <v>0.61646999999999996</v>
      </c>
      <c r="F124" s="53">
        <v>0.42198999999999998</v>
      </c>
      <c r="G124" s="53">
        <v>-2.5280200000000002</v>
      </c>
      <c r="H124" s="53">
        <v>1.3705099999999999</v>
      </c>
      <c r="I124" s="53">
        <v>1.15751</v>
      </c>
      <c r="J124" s="53"/>
      <c r="K124" s="53"/>
      <c r="L124" s="33"/>
      <c r="M124" s="33"/>
      <c r="N124" s="33"/>
      <c r="O124" s="33"/>
      <c r="P124" s="53" t="s">
        <v>739</v>
      </c>
      <c r="Q124">
        <f>VLOOKUP(P124,GroupLabels!$J:$K,2,FALSE)</f>
        <v>1</v>
      </c>
    </row>
    <row r="125" spans="1:17" x14ac:dyDescent="0.25">
      <c r="A125" s="2" t="s">
        <v>2464</v>
      </c>
      <c r="B125" s="53" t="s">
        <v>856</v>
      </c>
      <c r="C125" s="53" t="s">
        <v>857</v>
      </c>
      <c r="D125" s="83">
        <v>4</v>
      </c>
      <c r="E125" s="53">
        <v>0.39118999999999998</v>
      </c>
      <c r="F125" s="53">
        <v>-0.23139000000000001</v>
      </c>
      <c r="G125" s="53">
        <v>1.06212</v>
      </c>
      <c r="H125" s="53">
        <v>0.57306000000000001</v>
      </c>
      <c r="I125" s="53">
        <v>-1.6351800000000001</v>
      </c>
      <c r="J125" s="53"/>
      <c r="K125" s="53"/>
      <c r="L125" s="33"/>
      <c r="M125" s="33"/>
      <c r="N125" s="33"/>
      <c r="O125" s="33"/>
      <c r="P125" s="53" t="s">
        <v>740</v>
      </c>
      <c r="Q125">
        <f>VLOOKUP(P125,GroupLabels!$J:$K,2,FALSE)</f>
        <v>1</v>
      </c>
    </row>
    <row r="126" spans="1:17" x14ac:dyDescent="0.25">
      <c r="A126" s="2" t="s">
        <v>2911</v>
      </c>
      <c r="B126" s="53" t="s">
        <v>856</v>
      </c>
      <c r="C126" s="53" t="s">
        <v>857</v>
      </c>
      <c r="D126" s="83">
        <v>4</v>
      </c>
      <c r="E126" s="53">
        <v>0.68074000000000001</v>
      </c>
      <c r="F126" s="53">
        <v>0.25881999999999999</v>
      </c>
      <c r="G126" s="53">
        <v>-0.33112999999999998</v>
      </c>
      <c r="H126" s="53">
        <v>0.50634999999999997</v>
      </c>
      <c r="I126" s="53">
        <v>-0.17521999999999999</v>
      </c>
      <c r="J126" s="53"/>
      <c r="K126" s="53"/>
      <c r="L126" s="33"/>
      <c r="M126" s="33"/>
      <c r="N126" s="33"/>
      <c r="O126" s="33"/>
      <c r="P126" s="53" t="s">
        <v>886</v>
      </c>
      <c r="Q126">
        <f>VLOOKUP(P126,GroupLabels!$J:$K,2,FALSE)</f>
        <v>0</v>
      </c>
    </row>
    <row r="127" spans="1:17" x14ac:dyDescent="0.25">
      <c r="A127" s="2" t="s">
        <v>2911</v>
      </c>
      <c r="B127" s="53" t="s">
        <v>858</v>
      </c>
      <c r="C127" s="53" t="s">
        <v>857</v>
      </c>
      <c r="D127" s="83">
        <v>4</v>
      </c>
      <c r="E127" s="53">
        <v>0.53935</v>
      </c>
      <c r="F127" s="53">
        <v>-0.31186999999999998</v>
      </c>
      <c r="G127" s="53">
        <v>-0.30098999999999998</v>
      </c>
      <c r="H127" s="53">
        <v>0.67522000000000004</v>
      </c>
      <c r="I127" s="53">
        <v>-0.37423000000000001</v>
      </c>
      <c r="J127" s="53"/>
      <c r="K127" s="53"/>
      <c r="L127" s="33"/>
      <c r="M127" s="33"/>
      <c r="N127" s="33"/>
      <c r="O127" s="33"/>
      <c r="P127" s="53" t="s">
        <v>886</v>
      </c>
      <c r="Q127">
        <f>VLOOKUP(P127,GroupLabels!$J:$K,2,FALSE)</f>
        <v>0</v>
      </c>
    </row>
    <row r="128" spans="1:17" x14ac:dyDescent="0.25">
      <c r="A128" s="2" t="s">
        <v>3022</v>
      </c>
      <c r="B128" s="53" t="s">
        <v>856</v>
      </c>
      <c r="C128" s="53" t="s">
        <v>857</v>
      </c>
      <c r="D128" s="83">
        <v>4</v>
      </c>
      <c r="E128" s="53">
        <v>0.13306000000000001</v>
      </c>
      <c r="F128" s="53">
        <v>-0.90519000000000005</v>
      </c>
      <c r="G128" s="53">
        <v>0.23538999999999999</v>
      </c>
      <c r="H128" s="53">
        <v>0.71825000000000006</v>
      </c>
      <c r="I128" s="53">
        <v>-0.95364000000000004</v>
      </c>
      <c r="J128" s="53"/>
      <c r="K128" s="53"/>
      <c r="L128" s="33"/>
      <c r="M128" s="33"/>
      <c r="N128" s="33"/>
      <c r="O128" s="33"/>
      <c r="P128" s="53" t="s">
        <v>714</v>
      </c>
      <c r="Q128">
        <f>VLOOKUP(P128,GroupLabels!$J:$K,2,FALSE)</f>
        <v>0</v>
      </c>
    </row>
    <row r="129" spans="1:17" x14ac:dyDescent="0.25">
      <c r="A129" s="2" t="s">
        <v>3022</v>
      </c>
      <c r="B129" s="53" t="s">
        <v>858</v>
      </c>
      <c r="C129" s="53" t="s">
        <v>857</v>
      </c>
      <c r="D129" s="83">
        <v>4</v>
      </c>
      <c r="E129" s="53">
        <v>0.19278999999999999</v>
      </c>
      <c r="F129" s="53">
        <v>-0.97709000000000001</v>
      </c>
      <c r="G129" s="53">
        <v>0.23352999999999999</v>
      </c>
      <c r="H129" s="53">
        <v>0.82816999999999996</v>
      </c>
      <c r="I129" s="53">
        <v>-1.0617000000000001</v>
      </c>
      <c r="J129" s="53"/>
      <c r="K129" s="53"/>
      <c r="L129" s="33"/>
      <c r="M129" s="33"/>
      <c r="N129" s="33"/>
      <c r="O129" s="33"/>
      <c r="P129" s="53" t="s">
        <v>714</v>
      </c>
      <c r="Q129">
        <f>VLOOKUP(P129,GroupLabels!$J:$K,2,FALSE)</f>
        <v>0</v>
      </c>
    </row>
    <row r="130" spans="1:17" x14ac:dyDescent="0.25">
      <c r="A130" s="2" t="s">
        <v>3302</v>
      </c>
      <c r="B130" s="53" t="s">
        <v>856</v>
      </c>
      <c r="C130" s="53" t="s">
        <v>857</v>
      </c>
      <c r="D130" s="83">
        <v>4</v>
      </c>
      <c r="E130" s="53">
        <v>0.39856999999999998</v>
      </c>
      <c r="F130" s="53">
        <v>0.41733999999999999</v>
      </c>
      <c r="G130" s="53">
        <v>-0.42974000000000001</v>
      </c>
      <c r="H130" s="53">
        <v>0.21684</v>
      </c>
      <c r="I130" s="53">
        <v>0.21290000000000001</v>
      </c>
      <c r="J130" s="53"/>
      <c r="K130" s="53"/>
      <c r="L130" s="33"/>
      <c r="M130" s="33"/>
      <c r="N130" s="33"/>
      <c r="O130" s="33"/>
      <c r="P130" s="53" t="s">
        <v>887</v>
      </c>
      <c r="Q130">
        <f>VLOOKUP(P130,GroupLabels!$J:$K,2,FALSE)</f>
        <v>0</v>
      </c>
    </row>
    <row r="131" spans="1:17" x14ac:dyDescent="0.25">
      <c r="A131" s="2" t="s">
        <v>3239</v>
      </c>
      <c r="B131" s="53" t="s">
        <v>856</v>
      </c>
      <c r="C131" s="53" t="s">
        <v>857</v>
      </c>
      <c r="D131" s="83">
        <v>4</v>
      </c>
      <c r="E131" s="53">
        <v>0.79913000000000001</v>
      </c>
      <c r="F131" s="53">
        <v>-1.2551699999999999</v>
      </c>
      <c r="G131" s="53">
        <v>-1.1268800000000001</v>
      </c>
      <c r="H131" s="53">
        <v>0.39249000000000001</v>
      </c>
      <c r="I131" s="53">
        <v>0.73438999999999999</v>
      </c>
      <c r="J131" s="53"/>
      <c r="K131" s="53"/>
      <c r="L131" s="33"/>
      <c r="M131" s="33"/>
      <c r="N131" s="33"/>
      <c r="O131" s="33"/>
      <c r="P131" s="53" t="s">
        <v>888</v>
      </c>
      <c r="Q131">
        <f>VLOOKUP(P131,GroupLabels!$J:$K,2,FALSE)</f>
        <v>0</v>
      </c>
    </row>
    <row r="132" spans="1:17" x14ac:dyDescent="0.25">
      <c r="A132" s="2" t="s">
        <v>3239</v>
      </c>
      <c r="B132" s="53" t="s">
        <v>858</v>
      </c>
      <c r="C132" s="53" t="s">
        <v>857</v>
      </c>
      <c r="D132" s="83">
        <v>4</v>
      </c>
      <c r="E132" s="53">
        <v>1.2881100000000001</v>
      </c>
      <c r="F132" s="53">
        <v>-1.1919200000000001</v>
      </c>
      <c r="G132" s="53">
        <v>-1.8731199999999999</v>
      </c>
      <c r="H132" s="53">
        <v>0.56157000000000001</v>
      </c>
      <c r="I132" s="53">
        <v>1.31155</v>
      </c>
      <c r="J132" s="53"/>
      <c r="K132" s="53"/>
      <c r="L132" s="33"/>
      <c r="M132" s="33"/>
      <c r="N132" s="33"/>
      <c r="O132" s="33"/>
      <c r="P132" s="53" t="s">
        <v>888</v>
      </c>
      <c r="Q132">
        <f>VLOOKUP(P132,GroupLabels!$J:$K,2,FALSE)</f>
        <v>0</v>
      </c>
    </row>
    <row r="133" spans="1:17" x14ac:dyDescent="0.25">
      <c r="A133" s="2" t="s">
        <v>3225</v>
      </c>
      <c r="B133" s="53" t="s">
        <v>856</v>
      </c>
      <c r="C133" s="53" t="s">
        <v>857</v>
      </c>
      <c r="D133" s="83">
        <v>4</v>
      </c>
      <c r="E133" s="53">
        <v>1.44536</v>
      </c>
      <c r="F133" s="53">
        <v>-2.2143700000000002</v>
      </c>
      <c r="G133" s="53">
        <v>-1.78287</v>
      </c>
      <c r="H133" s="53">
        <v>0.41306999999999999</v>
      </c>
      <c r="I133" s="53">
        <v>1.3697999999999999</v>
      </c>
      <c r="J133" s="53"/>
      <c r="K133" s="53"/>
      <c r="L133" s="33"/>
      <c r="M133" s="33"/>
      <c r="N133" s="33"/>
      <c r="O133" s="33"/>
      <c r="P133" s="53" t="s">
        <v>889</v>
      </c>
      <c r="Q133">
        <f>VLOOKUP(P133,GroupLabels!$J:$K,2,FALSE)</f>
        <v>1</v>
      </c>
    </row>
    <row r="134" spans="1:17" x14ac:dyDescent="0.25">
      <c r="A134" s="2" t="s">
        <v>3225</v>
      </c>
      <c r="B134" s="53" t="s">
        <v>858</v>
      </c>
      <c r="C134" s="53" t="s">
        <v>857</v>
      </c>
      <c r="D134" s="83">
        <v>4</v>
      </c>
      <c r="E134" s="53">
        <v>0.56179999999999997</v>
      </c>
      <c r="F134" s="53">
        <v>1.3784400000000001</v>
      </c>
      <c r="G134" s="53">
        <v>0.43779000000000001</v>
      </c>
      <c r="H134" s="53">
        <v>1.1213500000000001</v>
      </c>
      <c r="I134" s="53">
        <v>-1.55914</v>
      </c>
      <c r="J134" s="53"/>
      <c r="K134" s="53"/>
      <c r="L134" s="33"/>
      <c r="M134" s="33"/>
      <c r="N134" s="33"/>
      <c r="O134" s="33"/>
      <c r="P134" s="53" t="s">
        <v>889</v>
      </c>
      <c r="Q134">
        <f>VLOOKUP(P134,GroupLabels!$J:$K,2,FALSE)</f>
        <v>1</v>
      </c>
    </row>
    <row r="135" spans="1:17" x14ac:dyDescent="0.25">
      <c r="A135" s="2" t="s">
        <v>1786</v>
      </c>
      <c r="B135" s="53" t="s">
        <v>856</v>
      </c>
      <c r="C135" s="53" t="s">
        <v>857</v>
      </c>
      <c r="D135" s="83">
        <v>4</v>
      </c>
      <c r="E135" s="53">
        <v>0.89629000000000003</v>
      </c>
      <c r="F135" s="53">
        <v>0.8367</v>
      </c>
      <c r="G135" s="53">
        <v>-1.5032399999999999</v>
      </c>
      <c r="H135" s="53">
        <v>0.55903000000000003</v>
      </c>
      <c r="I135" s="53">
        <v>0.94420999999999999</v>
      </c>
      <c r="J135" s="53"/>
      <c r="K135" s="53"/>
      <c r="L135" s="33"/>
      <c r="M135" s="33"/>
      <c r="N135" s="33"/>
      <c r="O135" s="33"/>
      <c r="P135" s="53" t="s">
        <v>890</v>
      </c>
      <c r="Q135">
        <f>VLOOKUP(P135,GroupLabels!$J:$K,2,FALSE)</f>
        <v>1</v>
      </c>
    </row>
    <row r="136" spans="1:17" x14ac:dyDescent="0.25">
      <c r="A136" s="2" t="s">
        <v>1786</v>
      </c>
      <c r="B136" s="53" t="s">
        <v>858</v>
      </c>
      <c r="C136" s="53" t="s">
        <v>857</v>
      </c>
      <c r="D136" s="83">
        <v>4</v>
      </c>
      <c r="E136" s="53">
        <v>0.65171999999999997</v>
      </c>
      <c r="F136" s="53">
        <v>0.54257</v>
      </c>
      <c r="G136" s="53">
        <v>-0.53561000000000003</v>
      </c>
      <c r="H136" s="53">
        <v>0.42956</v>
      </c>
      <c r="I136" s="53">
        <v>0.10605000000000001</v>
      </c>
      <c r="J136" s="53"/>
      <c r="K136" s="53"/>
      <c r="L136" s="33"/>
      <c r="M136" s="33"/>
      <c r="N136" s="33"/>
      <c r="O136" s="33"/>
      <c r="P136" s="53" t="s">
        <v>890</v>
      </c>
      <c r="Q136">
        <f>VLOOKUP(P136,GroupLabels!$J:$K,2,FALSE)</f>
        <v>1</v>
      </c>
    </row>
    <row r="137" spans="1:17" x14ac:dyDescent="0.25">
      <c r="A137" s="2" t="s">
        <v>2465</v>
      </c>
      <c r="B137" s="53" t="s">
        <v>856</v>
      </c>
      <c r="C137" s="53" t="s">
        <v>857</v>
      </c>
      <c r="D137" s="83">
        <v>4</v>
      </c>
      <c r="E137" s="53">
        <v>0.75944</v>
      </c>
      <c r="F137" s="53">
        <v>1.6257200000000001</v>
      </c>
      <c r="G137" s="53">
        <v>0.14255999999999999</v>
      </c>
      <c r="H137" s="53">
        <v>0.71863999999999995</v>
      </c>
      <c r="I137" s="53">
        <v>-0.86119999999999997</v>
      </c>
      <c r="J137" s="53"/>
      <c r="K137" s="53"/>
      <c r="L137" s="33"/>
      <c r="M137" s="33"/>
      <c r="N137" s="33"/>
      <c r="O137" s="33"/>
      <c r="P137" s="53" t="s">
        <v>743</v>
      </c>
      <c r="Q137">
        <f>VLOOKUP(P137,GroupLabels!$J:$K,2,FALSE)</f>
        <v>1</v>
      </c>
    </row>
    <row r="138" spans="1:17" x14ac:dyDescent="0.25">
      <c r="A138" s="2" t="s">
        <v>1787</v>
      </c>
      <c r="B138" s="53" t="s">
        <v>856</v>
      </c>
      <c r="C138" s="53" t="s">
        <v>857</v>
      </c>
      <c r="D138" s="83">
        <v>4</v>
      </c>
      <c r="E138" s="53">
        <v>1.22319</v>
      </c>
      <c r="F138" s="53">
        <v>0.61339999999999995</v>
      </c>
      <c r="G138" s="53">
        <v>-4.3785400000000001</v>
      </c>
      <c r="H138" s="53">
        <v>2.6768000000000001</v>
      </c>
      <c r="I138" s="53">
        <v>1.70174</v>
      </c>
      <c r="J138" s="53"/>
      <c r="K138" s="53"/>
      <c r="L138" s="33"/>
      <c r="M138" s="33"/>
      <c r="N138" s="33"/>
      <c r="O138" s="33"/>
      <c r="P138" s="53" t="s">
        <v>744</v>
      </c>
      <c r="Q138">
        <f>VLOOKUP(P138,GroupLabels!$J:$K,2,FALSE)</f>
        <v>1</v>
      </c>
    </row>
    <row r="139" spans="1:17" x14ac:dyDescent="0.25">
      <c r="A139" s="2" t="s">
        <v>1787</v>
      </c>
      <c r="B139" s="53" t="s">
        <v>858</v>
      </c>
      <c r="C139" s="53" t="s">
        <v>857</v>
      </c>
      <c r="D139" s="83">
        <v>4</v>
      </c>
      <c r="E139" s="53">
        <v>1.15716</v>
      </c>
      <c r="F139" s="53">
        <v>1.13473</v>
      </c>
      <c r="G139" s="53">
        <v>-1.6541399999999999</v>
      </c>
      <c r="H139" s="53">
        <v>0.55001</v>
      </c>
      <c r="I139" s="53">
        <v>1.1041300000000001</v>
      </c>
      <c r="J139" s="53"/>
      <c r="K139" s="53"/>
      <c r="L139" s="33"/>
      <c r="M139" s="33"/>
      <c r="N139" s="33"/>
      <c r="O139" s="33"/>
      <c r="P139" s="53" t="s">
        <v>744</v>
      </c>
      <c r="Q139">
        <f>VLOOKUP(P139,GroupLabels!$J:$K,2,FALSE)</f>
        <v>1</v>
      </c>
    </row>
    <row r="140" spans="1:17" x14ac:dyDescent="0.25">
      <c r="A140" s="2" t="s">
        <v>3250</v>
      </c>
      <c r="B140" s="53" t="s">
        <v>856</v>
      </c>
      <c r="C140" s="53" t="s">
        <v>857</v>
      </c>
      <c r="D140" s="83">
        <v>4</v>
      </c>
      <c r="E140" s="53">
        <v>1.2193400000000001</v>
      </c>
      <c r="F140" s="53">
        <v>-1.8426499999999999</v>
      </c>
      <c r="G140" s="53">
        <v>-0.59035000000000004</v>
      </c>
      <c r="H140" s="53">
        <v>0.16347</v>
      </c>
      <c r="I140" s="53">
        <v>0.42687999999999998</v>
      </c>
      <c r="J140" s="53"/>
      <c r="K140" s="53"/>
      <c r="L140" s="33"/>
      <c r="M140" s="33"/>
      <c r="N140" s="33"/>
      <c r="O140" s="33"/>
      <c r="P140" s="53" t="s">
        <v>891</v>
      </c>
      <c r="Q140">
        <f>VLOOKUP(P140,GroupLabels!$J:$K,2,FALSE)</f>
        <v>0</v>
      </c>
    </row>
    <row r="141" spans="1:17" x14ac:dyDescent="0.25">
      <c r="A141" s="2" t="s">
        <v>3250</v>
      </c>
      <c r="B141" s="53" t="s">
        <v>858</v>
      </c>
      <c r="C141" s="53" t="s">
        <v>857</v>
      </c>
      <c r="D141" s="83">
        <v>4</v>
      </c>
      <c r="E141" s="53">
        <v>0.70992</v>
      </c>
      <c r="F141" s="53">
        <v>-1.6808399999999999</v>
      </c>
      <c r="G141" s="53">
        <v>-3.1740200000000001</v>
      </c>
      <c r="H141" s="53">
        <v>1.22296</v>
      </c>
      <c r="I141" s="53">
        <v>1.95106</v>
      </c>
      <c r="J141" s="53"/>
      <c r="K141" s="53"/>
      <c r="L141" s="33"/>
      <c r="M141" s="33"/>
      <c r="N141" s="33"/>
      <c r="O141" s="33"/>
      <c r="P141" s="53" t="s">
        <v>891</v>
      </c>
      <c r="Q141">
        <f>VLOOKUP(P141,GroupLabels!$J:$K,2,FALSE)</f>
        <v>0</v>
      </c>
    </row>
    <row r="142" spans="1:17" x14ac:dyDescent="0.25">
      <c r="A142" s="2" t="s">
        <v>3303</v>
      </c>
      <c r="B142" s="53" t="s">
        <v>856</v>
      </c>
      <c r="C142" s="53" t="s">
        <v>857</v>
      </c>
      <c r="D142" s="83">
        <v>4</v>
      </c>
      <c r="E142" s="53">
        <v>0.51724000000000003</v>
      </c>
      <c r="F142" s="53">
        <v>-0.48474</v>
      </c>
      <c r="G142" s="53">
        <v>-0.60177999999999998</v>
      </c>
      <c r="H142" s="53">
        <v>0.48832999999999999</v>
      </c>
      <c r="I142" s="53">
        <v>0.11345</v>
      </c>
      <c r="J142" s="53"/>
      <c r="K142" s="53"/>
      <c r="L142" s="33"/>
      <c r="M142" s="33"/>
      <c r="N142" s="33"/>
      <c r="O142" s="33"/>
      <c r="P142" s="53" t="s">
        <v>892</v>
      </c>
      <c r="Q142">
        <f>VLOOKUP(P142,GroupLabels!$J:$K,2,FALSE)</f>
        <v>1</v>
      </c>
    </row>
    <row r="143" spans="1:17" x14ac:dyDescent="0.25">
      <c r="A143" s="2" t="s">
        <v>3303</v>
      </c>
      <c r="B143" s="53" t="s">
        <v>858</v>
      </c>
      <c r="C143" s="53" t="s">
        <v>857</v>
      </c>
      <c r="D143" s="83">
        <v>4</v>
      </c>
      <c r="E143" s="53">
        <v>0.86355999999999999</v>
      </c>
      <c r="F143" s="53">
        <v>-1.5121</v>
      </c>
      <c r="G143" s="53">
        <v>-2.0810599999999999</v>
      </c>
      <c r="H143" s="53">
        <v>0.54520999999999997</v>
      </c>
      <c r="I143" s="53">
        <v>1.5358499999999999</v>
      </c>
      <c r="J143" s="53"/>
      <c r="K143" s="53"/>
      <c r="L143" s="33"/>
      <c r="M143" s="33"/>
      <c r="N143" s="33"/>
      <c r="O143" s="33"/>
      <c r="P143" s="53" t="s">
        <v>892</v>
      </c>
      <c r="Q143">
        <f>VLOOKUP(P143,GroupLabels!$J:$K,2,FALSE)</f>
        <v>1</v>
      </c>
    </row>
    <row r="144" spans="1:17" x14ac:dyDescent="0.25">
      <c r="A144" s="2" t="s">
        <v>1799</v>
      </c>
      <c r="B144" s="53" t="s">
        <v>856</v>
      </c>
      <c r="C144" s="53" t="s">
        <v>857</v>
      </c>
      <c r="D144" s="83">
        <v>4</v>
      </c>
      <c r="E144" s="53">
        <v>0.40060000000000001</v>
      </c>
      <c r="F144" s="53">
        <v>-0.28144000000000002</v>
      </c>
      <c r="G144" s="53">
        <v>0.16971</v>
      </c>
      <c r="H144" s="53">
        <v>0.72824</v>
      </c>
      <c r="I144" s="53">
        <v>-0.89795000000000003</v>
      </c>
      <c r="J144" s="53"/>
      <c r="K144" s="53"/>
      <c r="L144" s="33"/>
      <c r="M144" s="33"/>
      <c r="N144" s="33"/>
      <c r="O144" s="33"/>
      <c r="P144" s="53" t="s">
        <v>745</v>
      </c>
      <c r="Q144">
        <f>VLOOKUP(P144,GroupLabels!$J:$K,2,FALSE)</f>
        <v>0</v>
      </c>
    </row>
    <row r="145" spans="1:17" x14ac:dyDescent="0.25">
      <c r="A145" s="2" t="s">
        <v>1799</v>
      </c>
      <c r="B145" s="53" t="s">
        <v>858</v>
      </c>
      <c r="C145" s="53" t="s">
        <v>857</v>
      </c>
      <c r="D145" s="83">
        <v>4</v>
      </c>
      <c r="E145" s="53">
        <v>1.1516599999999999</v>
      </c>
      <c r="F145" s="53">
        <v>-1.7011700000000001</v>
      </c>
      <c r="G145" s="53">
        <v>-1.62243</v>
      </c>
      <c r="H145" s="53">
        <v>0.41674</v>
      </c>
      <c r="I145" s="53">
        <v>1.2056899999999999</v>
      </c>
      <c r="J145" s="53"/>
      <c r="K145" s="53"/>
      <c r="L145" s="33"/>
      <c r="M145" s="33"/>
      <c r="N145" s="33"/>
      <c r="O145" s="33"/>
      <c r="P145" s="53" t="s">
        <v>745</v>
      </c>
      <c r="Q145">
        <f>VLOOKUP(P145,GroupLabels!$J:$K,2,FALSE)</f>
        <v>0</v>
      </c>
    </row>
    <row r="146" spans="1:17" x14ac:dyDescent="0.25">
      <c r="A146" s="2" t="s">
        <v>3300</v>
      </c>
      <c r="B146" s="53" t="s">
        <v>856</v>
      </c>
      <c r="C146" s="53" t="s">
        <v>857</v>
      </c>
      <c r="D146" s="83">
        <v>4</v>
      </c>
      <c r="E146" s="53">
        <v>0.77466999999999997</v>
      </c>
      <c r="F146" s="53">
        <v>-0.62016000000000004</v>
      </c>
      <c r="G146" s="53">
        <v>-0.86858000000000002</v>
      </c>
      <c r="H146" s="53">
        <v>0.20277999999999999</v>
      </c>
      <c r="I146" s="53">
        <v>0.66579999999999995</v>
      </c>
      <c r="J146" s="53"/>
      <c r="K146" s="53"/>
      <c r="L146" s="33"/>
      <c r="M146" s="33"/>
      <c r="N146" s="33"/>
      <c r="O146" s="33"/>
      <c r="P146" s="53" t="s">
        <v>893</v>
      </c>
      <c r="Q146">
        <f>VLOOKUP(P146,GroupLabels!$J:$K,2,FALSE)</f>
        <v>1</v>
      </c>
    </row>
    <row r="147" spans="1:17" x14ac:dyDescent="0.25">
      <c r="A147" s="2" t="s">
        <v>3300</v>
      </c>
      <c r="B147" s="53" t="s">
        <v>858</v>
      </c>
      <c r="C147" s="53" t="s">
        <v>857</v>
      </c>
      <c r="D147" s="83">
        <v>4</v>
      </c>
      <c r="E147" s="53">
        <v>0.81511999999999996</v>
      </c>
      <c r="F147" s="53">
        <v>-0.28006999999999999</v>
      </c>
      <c r="G147" s="53">
        <v>-2.1637200000000001</v>
      </c>
      <c r="H147" s="53">
        <v>-1.453E-2</v>
      </c>
      <c r="I147" s="53">
        <v>2.1782499999999998</v>
      </c>
      <c r="J147" s="53"/>
      <c r="K147" s="53"/>
      <c r="L147" s="33"/>
      <c r="M147" s="33"/>
      <c r="N147" s="33"/>
      <c r="O147" s="33"/>
      <c r="P147" s="53" t="s">
        <v>893</v>
      </c>
      <c r="Q147">
        <f>VLOOKUP(P147,GroupLabels!$J:$K,2,FALSE)</f>
        <v>1</v>
      </c>
    </row>
    <row r="148" spans="1:17" x14ac:dyDescent="0.25">
      <c r="A148" s="2" t="s">
        <v>3064</v>
      </c>
      <c r="B148" s="53" t="s">
        <v>856</v>
      </c>
      <c r="C148" s="53" t="s">
        <v>857</v>
      </c>
      <c r="D148" s="83">
        <v>4</v>
      </c>
      <c r="E148" s="53">
        <v>0.66629000000000005</v>
      </c>
      <c r="F148" s="53">
        <v>-1.73295</v>
      </c>
      <c r="G148" s="53">
        <v>-1.3133300000000001</v>
      </c>
      <c r="H148" s="53">
        <v>0.55732999999999999</v>
      </c>
      <c r="I148" s="53">
        <v>0.75600000000000001</v>
      </c>
      <c r="J148" s="53"/>
      <c r="K148" s="53"/>
      <c r="L148" s="33"/>
      <c r="M148" s="33"/>
      <c r="N148" s="33"/>
      <c r="O148" s="33"/>
      <c r="P148" s="53" t="s">
        <v>894</v>
      </c>
      <c r="Q148">
        <f>VLOOKUP(P148,GroupLabels!$J:$K,2,FALSE)</f>
        <v>0</v>
      </c>
    </row>
    <row r="149" spans="1:17" x14ac:dyDescent="0.25">
      <c r="A149" s="2" t="s">
        <v>3270</v>
      </c>
      <c r="B149" s="53" t="s">
        <v>856</v>
      </c>
      <c r="C149" s="53" t="s">
        <v>857</v>
      </c>
      <c r="D149" s="83">
        <v>4</v>
      </c>
      <c r="E149" s="53">
        <v>1.6732899999999999</v>
      </c>
      <c r="F149" s="53">
        <v>-2.7696900000000002</v>
      </c>
      <c r="G149" s="53">
        <v>-0.95189000000000001</v>
      </c>
      <c r="H149" s="53">
        <v>-5.9270000000000003E-2</v>
      </c>
      <c r="I149" s="53">
        <v>1.0111600000000001</v>
      </c>
      <c r="J149" s="53"/>
      <c r="K149" s="53"/>
      <c r="L149" s="33"/>
      <c r="M149" s="33"/>
      <c r="N149" s="33"/>
      <c r="O149" s="33"/>
      <c r="P149" s="53" t="s">
        <v>895</v>
      </c>
      <c r="Q149">
        <f>VLOOKUP(P149,GroupLabels!$J:$K,2,FALSE)</f>
        <v>0</v>
      </c>
    </row>
    <row r="150" spans="1:17" x14ac:dyDescent="0.25">
      <c r="A150" s="2" t="s">
        <v>3270</v>
      </c>
      <c r="B150" s="53" t="s">
        <v>858</v>
      </c>
      <c r="C150" s="53" t="s">
        <v>857</v>
      </c>
      <c r="D150" s="83">
        <v>4</v>
      </c>
      <c r="E150" s="53">
        <v>0.53883000000000003</v>
      </c>
      <c r="F150" s="53">
        <v>-0.76922999999999997</v>
      </c>
      <c r="G150" s="53">
        <v>-2.8421099999999999</v>
      </c>
      <c r="H150" s="53">
        <v>1.4534</v>
      </c>
      <c r="I150" s="53">
        <v>1.3887100000000001</v>
      </c>
      <c r="J150" s="53"/>
      <c r="K150" s="53"/>
      <c r="L150" s="33"/>
      <c r="M150" s="33"/>
      <c r="N150" s="33"/>
      <c r="O150" s="33"/>
      <c r="P150" s="53" t="s">
        <v>895</v>
      </c>
      <c r="Q150">
        <f>VLOOKUP(P150,GroupLabels!$J:$K,2,FALSE)</f>
        <v>0</v>
      </c>
    </row>
    <row r="151" spans="1:17" x14ac:dyDescent="0.25">
      <c r="A151" s="2" t="s">
        <v>3029</v>
      </c>
      <c r="B151" s="53" t="s">
        <v>856</v>
      </c>
      <c r="C151" s="53" t="s">
        <v>857</v>
      </c>
      <c r="D151" s="83">
        <v>4</v>
      </c>
      <c r="E151" s="53">
        <v>0.51110999999999995</v>
      </c>
      <c r="F151" s="53">
        <v>-1.7568999999999999</v>
      </c>
      <c r="G151" s="53">
        <v>-0.27189000000000002</v>
      </c>
      <c r="H151" s="53">
        <v>0.62795999999999996</v>
      </c>
      <c r="I151" s="53">
        <v>-0.35607</v>
      </c>
      <c r="J151" s="53"/>
      <c r="K151" s="53"/>
      <c r="L151" s="33"/>
      <c r="M151" s="33"/>
      <c r="N151" s="33"/>
      <c r="O151" s="33"/>
      <c r="P151" s="53" t="s">
        <v>715</v>
      </c>
      <c r="Q151">
        <f>VLOOKUP(P151,GroupLabels!$J:$K,2,FALSE)</f>
        <v>0</v>
      </c>
    </row>
    <row r="152" spans="1:17" x14ac:dyDescent="0.25">
      <c r="A152" s="2" t="s">
        <v>3029</v>
      </c>
      <c r="B152" s="53" t="s">
        <v>858</v>
      </c>
      <c r="C152" s="53" t="s">
        <v>857</v>
      </c>
      <c r="D152" s="83">
        <v>4</v>
      </c>
      <c r="E152" s="53">
        <v>1.1407099999999999</v>
      </c>
      <c r="F152" s="53">
        <v>-1.8987499999999999</v>
      </c>
      <c r="G152" s="53">
        <v>-0.81206</v>
      </c>
      <c r="H152" s="53">
        <v>0.24589</v>
      </c>
      <c r="I152" s="53">
        <v>0.56616999999999995</v>
      </c>
      <c r="J152" s="53"/>
      <c r="K152" s="53"/>
      <c r="L152" s="33"/>
      <c r="M152" s="33"/>
      <c r="N152" s="33"/>
      <c r="O152" s="33"/>
      <c r="P152" s="53" t="s">
        <v>715</v>
      </c>
      <c r="Q152">
        <f>VLOOKUP(P152,GroupLabels!$J:$K,2,FALSE)</f>
        <v>0</v>
      </c>
    </row>
    <row r="153" spans="1:17" x14ac:dyDescent="0.25">
      <c r="A153" s="65" t="s">
        <v>896</v>
      </c>
      <c r="B153" s="65" t="s">
        <v>772</v>
      </c>
      <c r="C153" s="65" t="s">
        <v>773</v>
      </c>
      <c r="D153" s="82" t="s">
        <v>774</v>
      </c>
      <c r="E153" s="65" t="s">
        <v>775</v>
      </c>
      <c r="F153" s="65" t="s">
        <v>776</v>
      </c>
      <c r="G153" s="65" t="s">
        <v>777</v>
      </c>
      <c r="H153" s="65" t="s">
        <v>778</v>
      </c>
      <c r="I153" s="65" t="s">
        <v>779</v>
      </c>
      <c r="J153" s="65" t="s">
        <v>780</v>
      </c>
      <c r="K153" s="65" t="s">
        <v>781</v>
      </c>
      <c r="L153" s="33"/>
      <c r="M153" s="33"/>
      <c r="N153" s="33"/>
      <c r="O153" s="33"/>
      <c r="P153" s="33"/>
    </row>
    <row r="154" spans="1:17" x14ac:dyDescent="0.25">
      <c r="A154" s="2" t="s">
        <v>3232</v>
      </c>
      <c r="B154" s="53" t="s">
        <v>837</v>
      </c>
      <c r="C154" s="53" t="s">
        <v>838</v>
      </c>
      <c r="D154" s="83">
        <v>4</v>
      </c>
      <c r="E154" s="53">
        <v>0.60753999999999997</v>
      </c>
      <c r="F154" s="53">
        <v>0.33572000000000002</v>
      </c>
      <c r="G154" s="53">
        <v>-0.33942</v>
      </c>
      <c r="H154" s="53">
        <v>0.16603999999999999</v>
      </c>
      <c r="I154" s="53">
        <v>0.17338000000000001</v>
      </c>
      <c r="J154" s="53"/>
      <c r="K154" s="53"/>
      <c r="L154" s="33"/>
      <c r="M154" s="33"/>
      <c r="N154" s="33"/>
      <c r="O154" s="33"/>
      <c r="P154" s="53" t="s">
        <v>567</v>
      </c>
      <c r="Q154">
        <f>VLOOKUP(P154,GroupLabels!$E:$K,7,FALSE)</f>
        <v>0</v>
      </c>
    </row>
    <row r="155" spans="1:17" x14ac:dyDescent="0.25">
      <c r="A155" s="2" t="s">
        <v>3034</v>
      </c>
      <c r="B155" s="53" t="s">
        <v>829</v>
      </c>
      <c r="C155" s="53" t="s">
        <v>830</v>
      </c>
      <c r="D155" s="83">
        <v>2</v>
      </c>
      <c r="E155" s="53">
        <v>0.49742999999999998</v>
      </c>
      <c r="F155" s="53">
        <v>-0.67308000000000001</v>
      </c>
      <c r="G155" s="53"/>
      <c r="H155" s="53"/>
      <c r="I155" s="53"/>
      <c r="J155" s="53"/>
      <c r="K155" s="53"/>
      <c r="L155" s="33"/>
      <c r="M155" s="33"/>
      <c r="N155" s="33"/>
      <c r="O155" s="33"/>
      <c r="P155" s="53" t="s">
        <v>568</v>
      </c>
      <c r="Q155">
        <f>VLOOKUP(P155,GroupLabels!$E:$K,7,FALSE)</f>
        <v>0</v>
      </c>
    </row>
    <row r="156" spans="1:17" x14ac:dyDescent="0.25">
      <c r="A156" s="2" t="s">
        <v>3113</v>
      </c>
      <c r="B156" s="53" t="s">
        <v>841</v>
      </c>
      <c r="C156" s="53" t="s">
        <v>842</v>
      </c>
      <c r="D156" s="83">
        <v>2</v>
      </c>
      <c r="E156" s="53">
        <v>0.87817999999999996</v>
      </c>
      <c r="F156" s="53">
        <v>-2.7683900000000001</v>
      </c>
      <c r="G156" s="53"/>
      <c r="H156" s="53"/>
      <c r="I156" s="53"/>
      <c r="J156" s="53"/>
      <c r="K156" s="53"/>
      <c r="L156" s="33"/>
      <c r="M156" s="33"/>
      <c r="N156" s="33"/>
      <c r="O156" s="33"/>
      <c r="P156" s="53" t="s">
        <v>569</v>
      </c>
      <c r="Q156">
        <f>VLOOKUP(P156,GroupLabels!$E:$K,7,FALSE)</f>
        <v>0</v>
      </c>
    </row>
    <row r="157" spans="1:17" x14ac:dyDescent="0.25">
      <c r="A157" s="2" t="s">
        <v>2960</v>
      </c>
      <c r="B157" s="53" t="s">
        <v>819</v>
      </c>
      <c r="C157" s="53" t="s">
        <v>820</v>
      </c>
      <c r="D157" s="83">
        <v>2</v>
      </c>
      <c r="E157" s="53">
        <v>0.80925000000000002</v>
      </c>
      <c r="F157" s="53">
        <v>0.61763000000000001</v>
      </c>
      <c r="G157" s="53"/>
      <c r="H157" s="53"/>
      <c r="I157" s="53"/>
      <c r="J157" s="53"/>
      <c r="K157" s="53"/>
      <c r="L157" s="33"/>
      <c r="M157" s="33"/>
      <c r="N157" s="33"/>
      <c r="O157" s="33"/>
      <c r="P157" s="53" t="s">
        <v>571</v>
      </c>
      <c r="Q157">
        <f>VLOOKUP(P157,GroupLabels!$E:$K,7,FALSE)</f>
        <v>1</v>
      </c>
    </row>
    <row r="158" spans="1:17" x14ac:dyDescent="0.25">
      <c r="A158" s="2" t="s">
        <v>3216</v>
      </c>
      <c r="B158" s="53" t="s">
        <v>841</v>
      </c>
      <c r="C158" s="53" t="s">
        <v>842</v>
      </c>
      <c r="D158" s="83">
        <v>2</v>
      </c>
      <c r="E158" s="53">
        <v>0.87817999999999996</v>
      </c>
      <c r="F158" s="53">
        <v>-2.7683900000000001</v>
      </c>
      <c r="G158" s="53"/>
      <c r="H158" s="53"/>
      <c r="I158" s="53"/>
      <c r="J158" s="53"/>
      <c r="K158" s="53"/>
      <c r="L158" s="33"/>
      <c r="M158" s="33"/>
      <c r="N158" s="33"/>
      <c r="O158" s="33"/>
      <c r="P158" s="53" t="s">
        <v>573</v>
      </c>
      <c r="Q158">
        <f>VLOOKUP(P158,GroupLabels!$E:$K,7,FALSE)</f>
        <v>0</v>
      </c>
    </row>
    <row r="159" spans="1:17" x14ac:dyDescent="0.25">
      <c r="A159" s="2" t="s">
        <v>3277</v>
      </c>
      <c r="B159" s="53" t="s">
        <v>785</v>
      </c>
      <c r="C159" s="53" t="s">
        <v>786</v>
      </c>
      <c r="D159" s="83">
        <v>2</v>
      </c>
      <c r="E159" s="53">
        <v>1.8136699999999999</v>
      </c>
      <c r="F159" s="53">
        <v>-2.5625900000000001</v>
      </c>
      <c r="G159" s="53"/>
      <c r="H159" s="53"/>
      <c r="I159" s="53"/>
      <c r="J159" s="53"/>
      <c r="K159" s="53"/>
      <c r="L159" s="33"/>
      <c r="M159" s="33"/>
      <c r="N159" s="33"/>
      <c r="O159" s="33"/>
      <c r="P159" s="53" t="s">
        <v>579</v>
      </c>
      <c r="Q159">
        <f>VLOOKUP(P159,GroupLabels!$E:$K,7,FALSE)</f>
        <v>0</v>
      </c>
    </row>
    <row r="160" spans="1:17" x14ac:dyDescent="0.25">
      <c r="A160" s="2" t="s">
        <v>3277</v>
      </c>
      <c r="B160" s="53" t="s">
        <v>813</v>
      </c>
      <c r="C160" s="53" t="s">
        <v>814</v>
      </c>
      <c r="D160" s="83">
        <v>2</v>
      </c>
      <c r="E160" s="53">
        <v>0.39561000000000002</v>
      </c>
      <c r="F160" s="53">
        <v>-2.1337600000000001</v>
      </c>
      <c r="G160" s="53"/>
      <c r="H160" s="53"/>
      <c r="I160" s="53"/>
      <c r="J160" s="53"/>
      <c r="K160" s="53"/>
      <c r="L160" s="33"/>
      <c r="M160" s="33"/>
      <c r="N160" s="33"/>
      <c r="O160" s="33"/>
      <c r="P160" s="53" t="s">
        <v>579</v>
      </c>
      <c r="Q160">
        <f>VLOOKUP(P160,GroupLabels!$E:$K,7,FALSE)</f>
        <v>0</v>
      </c>
    </row>
    <row r="161" spans="1:17" x14ac:dyDescent="0.25">
      <c r="A161" s="2" t="s">
        <v>3199</v>
      </c>
      <c r="B161" s="53" t="s">
        <v>791</v>
      </c>
      <c r="C161" s="53" t="s">
        <v>792</v>
      </c>
      <c r="D161" s="83">
        <v>2</v>
      </c>
      <c r="E161" s="53">
        <v>0.93859999999999999</v>
      </c>
      <c r="F161" s="53">
        <v>-5.1447099999999999</v>
      </c>
      <c r="G161" s="53"/>
      <c r="H161" s="53"/>
      <c r="I161" s="53"/>
      <c r="J161" s="53"/>
      <c r="K161" s="53"/>
      <c r="L161" s="33"/>
      <c r="M161" s="33"/>
      <c r="N161" s="33"/>
      <c r="O161" s="33"/>
      <c r="P161" s="53" t="s">
        <v>577</v>
      </c>
      <c r="Q161">
        <f>VLOOKUP(P161,GroupLabels!$E:$K,7,FALSE)</f>
        <v>0</v>
      </c>
    </row>
    <row r="162" spans="1:17" x14ac:dyDescent="0.25">
      <c r="A162" s="2" t="s">
        <v>3199</v>
      </c>
      <c r="B162" s="53" t="s">
        <v>805</v>
      </c>
      <c r="C162" s="53" t="s">
        <v>806</v>
      </c>
      <c r="D162" s="83">
        <v>2</v>
      </c>
      <c r="E162" s="53">
        <v>1.1525000000000001</v>
      </c>
      <c r="F162" s="53">
        <v>-1.74783</v>
      </c>
      <c r="G162" s="53"/>
      <c r="H162" s="53"/>
      <c r="I162" s="53"/>
      <c r="J162" s="53"/>
      <c r="K162" s="53"/>
      <c r="L162" s="33"/>
      <c r="M162" s="33"/>
      <c r="N162" s="33"/>
      <c r="O162" s="33"/>
      <c r="P162" s="53" t="s">
        <v>577</v>
      </c>
      <c r="Q162">
        <f>VLOOKUP(P162,GroupLabels!$E:$K,7,FALSE)</f>
        <v>0</v>
      </c>
    </row>
    <row r="163" spans="1:17" x14ac:dyDescent="0.25">
      <c r="A163" s="2" t="s">
        <v>2985</v>
      </c>
      <c r="B163" s="53" t="s">
        <v>815</v>
      </c>
      <c r="C163" s="53" t="s">
        <v>816</v>
      </c>
      <c r="D163" s="83">
        <v>2</v>
      </c>
      <c r="E163" s="53">
        <v>0.57830000000000004</v>
      </c>
      <c r="F163" s="53">
        <v>-0.96692999999999996</v>
      </c>
      <c r="G163" s="53"/>
      <c r="H163" s="53"/>
      <c r="I163" s="53"/>
      <c r="J163" s="53"/>
      <c r="K163" s="53"/>
      <c r="L163" s="33"/>
      <c r="M163" s="33"/>
      <c r="N163" s="33"/>
      <c r="O163" s="33"/>
      <c r="P163" s="53" t="s">
        <v>578</v>
      </c>
      <c r="Q163">
        <f>VLOOKUP(P163,GroupLabels!$E:$K,7,FALSE)</f>
        <v>0</v>
      </c>
    </row>
    <row r="164" spans="1:17" x14ac:dyDescent="0.25">
      <c r="A164" s="2" t="s">
        <v>2985</v>
      </c>
      <c r="B164" s="53" t="s">
        <v>817</v>
      </c>
      <c r="C164" s="53" t="s">
        <v>818</v>
      </c>
      <c r="D164" s="83">
        <v>2</v>
      </c>
      <c r="E164" s="53">
        <v>0.65061000000000002</v>
      </c>
      <c r="F164" s="53">
        <v>2.25895</v>
      </c>
      <c r="G164" s="53"/>
      <c r="H164" s="53"/>
      <c r="I164" s="53"/>
      <c r="J164" s="53"/>
      <c r="K164" s="53"/>
      <c r="L164" s="33"/>
      <c r="M164" s="33"/>
      <c r="N164" s="33"/>
      <c r="O164" s="33"/>
      <c r="P164" s="53" t="s">
        <v>578</v>
      </c>
      <c r="Q164">
        <f>VLOOKUP(P164,GroupLabels!$E:$K,7,FALSE)</f>
        <v>0</v>
      </c>
    </row>
    <row r="165" spans="1:17" x14ac:dyDescent="0.25">
      <c r="A165" s="2" t="s">
        <v>2985</v>
      </c>
      <c r="B165" s="53" t="s">
        <v>833</v>
      </c>
      <c r="C165" s="53" t="s">
        <v>834</v>
      </c>
      <c r="D165" s="83">
        <v>4</v>
      </c>
      <c r="E165" s="53">
        <v>0.58377000000000001</v>
      </c>
      <c r="F165" s="53">
        <v>-1.7442599999999999</v>
      </c>
      <c r="G165" s="53">
        <v>-0.85938999999999999</v>
      </c>
      <c r="H165" s="53">
        <v>0.49992999999999999</v>
      </c>
      <c r="I165" s="53">
        <v>0.35946</v>
      </c>
      <c r="J165" s="53"/>
      <c r="K165" s="53"/>
      <c r="L165" s="33"/>
      <c r="M165" s="33"/>
      <c r="N165" s="33"/>
      <c r="O165" s="33"/>
      <c r="P165" s="53" t="s">
        <v>578</v>
      </c>
      <c r="Q165">
        <f>VLOOKUP(P165,GroupLabels!$E:$K,7,FALSE)</f>
        <v>0</v>
      </c>
    </row>
    <row r="166" spans="1:17" x14ac:dyDescent="0.25">
      <c r="A166" s="2" t="s">
        <v>770</v>
      </c>
      <c r="B166" s="53" t="s">
        <v>817</v>
      </c>
      <c r="C166" s="53" t="s">
        <v>818</v>
      </c>
      <c r="D166" s="83">
        <v>2</v>
      </c>
      <c r="E166" s="53">
        <v>0.76834000000000002</v>
      </c>
      <c r="F166" s="53">
        <v>-0.23768</v>
      </c>
      <c r="G166" s="53"/>
      <c r="H166" s="53"/>
      <c r="I166" s="53"/>
      <c r="J166" s="53"/>
      <c r="K166" s="53"/>
      <c r="L166" s="33"/>
      <c r="M166" s="33"/>
      <c r="N166" s="33"/>
      <c r="O166" s="33"/>
      <c r="P166" s="53" t="s">
        <v>584</v>
      </c>
      <c r="Q166">
        <f>VLOOKUP(P166,GroupLabels!$E:$K,7,FALSE)</f>
        <v>1</v>
      </c>
    </row>
    <row r="167" spans="1:17" x14ac:dyDescent="0.25">
      <c r="A167" s="2" t="s">
        <v>3037</v>
      </c>
      <c r="B167" s="53" t="s">
        <v>811</v>
      </c>
      <c r="C167" s="53" t="s">
        <v>812</v>
      </c>
      <c r="D167" s="83">
        <v>2</v>
      </c>
      <c r="E167" s="53">
        <v>1.0322800000000001</v>
      </c>
      <c r="F167" s="53">
        <v>-1.82264</v>
      </c>
      <c r="G167" s="53"/>
      <c r="H167" s="53"/>
      <c r="I167" s="53"/>
      <c r="J167" s="53"/>
      <c r="K167" s="53"/>
      <c r="L167" s="33"/>
      <c r="M167" s="33"/>
      <c r="N167" s="33"/>
      <c r="O167" s="33"/>
      <c r="P167" s="53" t="s">
        <v>585</v>
      </c>
      <c r="Q167">
        <f>VLOOKUP(P167,GroupLabels!$E:$K,7,FALSE)</f>
        <v>1</v>
      </c>
    </row>
    <row r="168" spans="1:17" x14ac:dyDescent="0.25">
      <c r="A168" s="2" t="s">
        <v>3037</v>
      </c>
      <c r="B168" s="53" t="s">
        <v>823</v>
      </c>
      <c r="C168" s="53" t="s">
        <v>824</v>
      </c>
      <c r="D168" s="83">
        <v>2</v>
      </c>
      <c r="E168" s="53">
        <v>0.65651000000000004</v>
      </c>
      <c r="F168" s="53">
        <v>0.52805000000000002</v>
      </c>
      <c r="G168" s="53"/>
      <c r="H168" s="53"/>
      <c r="I168" s="53"/>
      <c r="J168" s="53"/>
      <c r="K168" s="53"/>
      <c r="L168" s="33"/>
      <c r="M168" s="33"/>
      <c r="N168" s="33"/>
      <c r="O168" s="33"/>
      <c r="P168" s="53" t="s">
        <v>585</v>
      </c>
      <c r="Q168">
        <f>VLOOKUP(P168,GroupLabels!$E:$K,7,FALSE)</f>
        <v>1</v>
      </c>
    </row>
    <row r="169" spans="1:17" x14ac:dyDescent="0.25">
      <c r="A169" s="2" t="s">
        <v>2988</v>
      </c>
      <c r="B169" s="53" t="s">
        <v>829</v>
      </c>
      <c r="C169" s="53" t="s">
        <v>830</v>
      </c>
      <c r="D169" s="83">
        <v>2</v>
      </c>
      <c r="E169" s="53">
        <v>0.59582000000000002</v>
      </c>
      <c r="F169" s="53">
        <v>-0.27892</v>
      </c>
      <c r="G169" s="53"/>
      <c r="H169" s="53"/>
      <c r="I169" s="53"/>
      <c r="J169" s="53"/>
      <c r="K169" s="53"/>
      <c r="L169" s="33"/>
      <c r="M169" s="33"/>
      <c r="N169" s="33"/>
      <c r="O169" s="33"/>
      <c r="P169" s="53" t="s">
        <v>589</v>
      </c>
      <c r="Q169">
        <f>VLOOKUP(P169,GroupLabels!$E:$K,7,FALSE)</f>
        <v>0</v>
      </c>
    </row>
    <row r="170" spans="1:17" x14ac:dyDescent="0.25">
      <c r="A170" s="2" t="s">
        <v>3044</v>
      </c>
      <c r="B170" s="53" t="s">
        <v>841</v>
      </c>
      <c r="C170" s="53" t="s">
        <v>842</v>
      </c>
      <c r="D170" s="83">
        <v>2</v>
      </c>
      <c r="E170" s="53">
        <v>0.87817999999999996</v>
      </c>
      <c r="F170" s="53">
        <v>-2.7683900000000001</v>
      </c>
      <c r="G170" s="53"/>
      <c r="H170" s="53"/>
      <c r="I170" s="53"/>
      <c r="J170" s="53"/>
      <c r="K170" s="53"/>
      <c r="L170" s="33"/>
      <c r="M170" s="33"/>
      <c r="N170" s="33"/>
      <c r="O170" s="33"/>
      <c r="P170" s="53" t="s">
        <v>594</v>
      </c>
      <c r="Q170">
        <f>VLOOKUP(P170,GroupLabels!$E:$K,7,FALSE)</f>
        <v>0</v>
      </c>
    </row>
    <row r="171" spans="1:17" x14ac:dyDescent="0.25">
      <c r="A171" s="2" t="s">
        <v>752</v>
      </c>
      <c r="B171" s="53" t="s">
        <v>811</v>
      </c>
      <c r="C171" s="53" t="s">
        <v>812</v>
      </c>
      <c r="D171" s="83">
        <v>2</v>
      </c>
      <c r="E171" s="53">
        <v>2.0089800000000002</v>
      </c>
      <c r="F171" s="53">
        <v>-8.0541199999999993</v>
      </c>
      <c r="G171" s="53"/>
      <c r="H171" s="53"/>
      <c r="I171" s="53"/>
      <c r="J171" s="53"/>
      <c r="K171" s="53"/>
      <c r="L171" s="33"/>
      <c r="M171" s="33"/>
      <c r="N171" s="33"/>
      <c r="O171" s="33"/>
      <c r="P171" s="53" t="s">
        <v>595</v>
      </c>
      <c r="Q171">
        <f>VLOOKUP(P171,GroupLabels!$E:$K,7,FALSE)</f>
        <v>0</v>
      </c>
    </row>
    <row r="172" spans="1:17" x14ac:dyDescent="0.25">
      <c r="A172" s="2" t="s">
        <v>753</v>
      </c>
      <c r="B172" s="53" t="s">
        <v>789</v>
      </c>
      <c r="C172" s="53" t="s">
        <v>790</v>
      </c>
      <c r="D172" s="83">
        <v>2</v>
      </c>
      <c r="E172" s="53">
        <v>0.92191000000000001</v>
      </c>
      <c r="F172" s="53">
        <v>-2.4391600000000002</v>
      </c>
      <c r="G172" s="53"/>
      <c r="H172" s="53"/>
      <c r="I172" s="53"/>
      <c r="J172" s="53"/>
      <c r="K172" s="53"/>
      <c r="L172" s="33"/>
      <c r="M172" s="33"/>
      <c r="N172" s="33"/>
      <c r="O172" s="33"/>
      <c r="P172" s="53" t="s">
        <v>596</v>
      </c>
      <c r="Q172">
        <f>VLOOKUP(P172,GroupLabels!$E:$K,7,FALSE)</f>
        <v>0</v>
      </c>
    </row>
    <row r="173" spans="1:17" x14ac:dyDescent="0.25">
      <c r="A173" s="2" t="s">
        <v>753</v>
      </c>
      <c r="B173" s="53" t="s">
        <v>811</v>
      </c>
      <c r="C173" s="53" t="s">
        <v>812</v>
      </c>
      <c r="D173" s="83">
        <v>2</v>
      </c>
      <c r="E173" s="53">
        <v>1.2567200000000001</v>
      </c>
      <c r="F173" s="53">
        <v>-5.4312899999999997</v>
      </c>
      <c r="G173" s="53"/>
      <c r="H173" s="53"/>
      <c r="I173" s="53"/>
      <c r="J173" s="53"/>
      <c r="K173" s="53"/>
      <c r="L173" s="33"/>
      <c r="M173" s="33"/>
      <c r="N173" s="33"/>
      <c r="O173" s="33"/>
      <c r="P173" s="53" t="s">
        <v>596</v>
      </c>
      <c r="Q173">
        <f>VLOOKUP(P173,GroupLabels!$E:$K,7,FALSE)</f>
        <v>0</v>
      </c>
    </row>
    <row r="174" spans="1:17" x14ac:dyDescent="0.25">
      <c r="A174" s="2" t="s">
        <v>3062</v>
      </c>
      <c r="B174" s="53" t="s">
        <v>785</v>
      </c>
      <c r="C174" s="53" t="s">
        <v>786</v>
      </c>
      <c r="D174" s="83">
        <v>2</v>
      </c>
      <c r="E174" s="53">
        <v>0.71099999999999997</v>
      </c>
      <c r="F174" s="53">
        <v>-3.6589</v>
      </c>
      <c r="G174" s="53"/>
      <c r="H174" s="53"/>
      <c r="I174" s="53"/>
      <c r="J174" s="53"/>
      <c r="K174" s="53"/>
      <c r="L174" s="33"/>
      <c r="M174" s="33"/>
      <c r="N174" s="33"/>
      <c r="O174" s="33"/>
      <c r="P174" s="53" t="s">
        <v>598</v>
      </c>
      <c r="Q174">
        <f>VLOOKUP(P174,GroupLabels!$E:$K,7,FALSE)</f>
        <v>0</v>
      </c>
    </row>
    <row r="175" spans="1:17" x14ac:dyDescent="0.25">
      <c r="A175" s="2" t="s">
        <v>3062</v>
      </c>
      <c r="B175" s="53" t="s">
        <v>811</v>
      </c>
      <c r="C175" s="53" t="s">
        <v>812</v>
      </c>
      <c r="D175" s="83">
        <v>2</v>
      </c>
      <c r="E175" s="53">
        <v>1.2304900000000001</v>
      </c>
      <c r="F175" s="53">
        <v>-1.3965000000000001</v>
      </c>
      <c r="G175" s="53"/>
      <c r="H175" s="53"/>
      <c r="I175" s="53"/>
      <c r="J175" s="53"/>
      <c r="K175" s="53"/>
      <c r="L175" s="33"/>
      <c r="M175" s="33"/>
      <c r="N175" s="33"/>
      <c r="O175" s="33"/>
      <c r="P175" s="53" t="s">
        <v>598</v>
      </c>
      <c r="Q175">
        <f>VLOOKUP(P175,GroupLabels!$E:$K,7,FALSE)</f>
        <v>0</v>
      </c>
    </row>
    <row r="176" spans="1:17" x14ac:dyDescent="0.25">
      <c r="A176" s="2" t="s">
        <v>3278</v>
      </c>
      <c r="B176" s="53" t="s">
        <v>805</v>
      </c>
      <c r="C176" s="53" t="s">
        <v>806</v>
      </c>
      <c r="D176" s="83">
        <v>2</v>
      </c>
      <c r="E176" s="53">
        <v>1.2587600000000001</v>
      </c>
      <c r="F176" s="53">
        <v>-2.0873599999999999</v>
      </c>
      <c r="G176" s="53"/>
      <c r="H176" s="53"/>
      <c r="I176" s="53"/>
      <c r="J176" s="53"/>
      <c r="K176" s="53"/>
      <c r="L176" s="33"/>
      <c r="M176" s="33"/>
      <c r="N176" s="33"/>
      <c r="O176" s="33"/>
      <c r="P176" s="53" t="s">
        <v>610</v>
      </c>
      <c r="Q176">
        <f>VLOOKUP(P176,GroupLabels!$E:$K,7,FALSE)</f>
        <v>0</v>
      </c>
    </row>
    <row r="177" spans="1:17" x14ac:dyDescent="0.25">
      <c r="A177" s="2" t="s">
        <v>3278</v>
      </c>
      <c r="B177" s="53" t="s">
        <v>825</v>
      </c>
      <c r="C177" s="53" t="s">
        <v>826</v>
      </c>
      <c r="D177" s="83">
        <v>2</v>
      </c>
      <c r="E177" s="53">
        <v>1.0351399999999999</v>
      </c>
      <c r="F177" s="53">
        <v>-2.5930499999999999</v>
      </c>
      <c r="G177" s="53"/>
      <c r="H177" s="53"/>
      <c r="I177" s="53"/>
      <c r="J177" s="53"/>
      <c r="K177" s="53"/>
      <c r="L177" s="33"/>
      <c r="M177" s="33"/>
      <c r="N177" s="33"/>
      <c r="O177" s="33"/>
      <c r="P177" s="53" t="s">
        <v>610</v>
      </c>
      <c r="Q177">
        <f>VLOOKUP(P177,GroupLabels!$E:$K,7,FALSE)</f>
        <v>0</v>
      </c>
    </row>
    <row r="178" spans="1:17" x14ac:dyDescent="0.25">
      <c r="A178" s="2" t="s">
        <v>3278</v>
      </c>
      <c r="B178" s="53" t="s">
        <v>833</v>
      </c>
      <c r="C178" s="53" t="s">
        <v>834</v>
      </c>
      <c r="D178" s="83">
        <v>4</v>
      </c>
      <c r="E178" s="53">
        <v>0.85167999999999999</v>
      </c>
      <c r="F178" s="53">
        <v>0.82174999999999998</v>
      </c>
      <c r="G178" s="53">
        <v>-1.0933600000000001</v>
      </c>
      <c r="H178" s="53">
        <v>0.61919000000000002</v>
      </c>
      <c r="I178" s="53">
        <v>0.47416999999999998</v>
      </c>
      <c r="J178" s="53"/>
      <c r="K178" s="53"/>
      <c r="L178" s="33"/>
      <c r="M178" s="33"/>
      <c r="N178" s="33"/>
      <c r="O178" s="33"/>
      <c r="P178" s="53" t="s">
        <v>610</v>
      </c>
      <c r="Q178">
        <f>VLOOKUP(P178,GroupLabels!$E:$K,7,FALSE)</f>
        <v>0</v>
      </c>
    </row>
    <row r="179" spans="1:17" x14ac:dyDescent="0.25">
      <c r="A179" s="2" t="s">
        <v>3278</v>
      </c>
      <c r="B179" s="53" t="s">
        <v>849</v>
      </c>
      <c r="C179" s="53" t="s">
        <v>850</v>
      </c>
      <c r="D179" s="83">
        <v>3</v>
      </c>
      <c r="E179" s="53">
        <v>0.70611999999999997</v>
      </c>
      <c r="F179" s="53">
        <v>-1.5658399999999999</v>
      </c>
      <c r="G179" s="53">
        <v>-1.0903099999999999</v>
      </c>
      <c r="H179" s="53">
        <v>1.0903099999999999</v>
      </c>
      <c r="I179" s="53"/>
      <c r="J179" s="53"/>
      <c r="K179" s="53"/>
      <c r="L179" s="33"/>
      <c r="M179" s="33"/>
      <c r="N179" s="33"/>
      <c r="O179" s="33"/>
      <c r="P179" s="53" t="s">
        <v>610</v>
      </c>
      <c r="Q179">
        <f>VLOOKUP(P179,GroupLabels!$E:$K,7,FALSE)</f>
        <v>0</v>
      </c>
    </row>
    <row r="180" spans="1:17" x14ac:dyDescent="0.25">
      <c r="A180" s="2" t="s">
        <v>2993</v>
      </c>
      <c r="B180" s="53" t="s">
        <v>825</v>
      </c>
      <c r="C180" s="53" t="s">
        <v>826</v>
      </c>
      <c r="D180" s="83">
        <v>2</v>
      </c>
      <c r="E180" s="53">
        <v>1.0351399999999999</v>
      </c>
      <c r="F180" s="53">
        <v>-2.5930499999999999</v>
      </c>
      <c r="G180" s="53"/>
      <c r="H180" s="53"/>
      <c r="I180" s="53"/>
      <c r="J180" s="53"/>
      <c r="K180" s="53"/>
      <c r="L180" s="33"/>
      <c r="M180" s="33"/>
      <c r="N180" s="33"/>
      <c r="O180" s="33"/>
      <c r="P180" s="53" t="s">
        <v>611</v>
      </c>
      <c r="Q180">
        <f>VLOOKUP(P180,GroupLabels!$E:$K,7,FALSE)</f>
        <v>0</v>
      </c>
    </row>
    <row r="181" spans="1:17" x14ac:dyDescent="0.25">
      <c r="A181" s="2" t="s">
        <v>2993</v>
      </c>
      <c r="B181" s="53" t="s">
        <v>829</v>
      </c>
      <c r="C181" s="53" t="s">
        <v>830</v>
      </c>
      <c r="D181" s="83">
        <v>2</v>
      </c>
      <c r="E181" s="53">
        <v>0.59582000000000002</v>
      </c>
      <c r="F181" s="53">
        <v>-0.27892</v>
      </c>
      <c r="G181" s="53"/>
      <c r="H181" s="53"/>
      <c r="I181" s="53"/>
      <c r="J181" s="53"/>
      <c r="K181" s="53"/>
      <c r="L181" s="33"/>
      <c r="M181" s="33"/>
      <c r="N181" s="33"/>
      <c r="O181" s="33"/>
      <c r="P181" s="53" t="s">
        <v>611</v>
      </c>
      <c r="Q181">
        <f>VLOOKUP(P181,GroupLabels!$E:$K,7,FALSE)</f>
        <v>0</v>
      </c>
    </row>
    <row r="182" spans="1:17" x14ac:dyDescent="0.25">
      <c r="A182" s="2" t="s">
        <v>2993</v>
      </c>
      <c r="B182" s="53" t="s">
        <v>833</v>
      </c>
      <c r="C182" s="53" t="s">
        <v>834</v>
      </c>
      <c r="D182" s="83">
        <v>4</v>
      </c>
      <c r="E182" s="53">
        <v>0.85167999999999999</v>
      </c>
      <c r="F182" s="53">
        <v>0.82174999999999998</v>
      </c>
      <c r="G182" s="53">
        <v>-1.0933600000000001</v>
      </c>
      <c r="H182" s="53">
        <v>0.61919000000000002</v>
      </c>
      <c r="I182" s="53">
        <v>0.47416999999999998</v>
      </c>
      <c r="J182" s="53"/>
      <c r="K182" s="53"/>
      <c r="L182" s="33"/>
      <c r="M182" s="33"/>
      <c r="N182" s="33"/>
      <c r="O182" s="33"/>
      <c r="P182" s="53" t="s">
        <v>611</v>
      </c>
      <c r="Q182">
        <f>VLOOKUP(P182,GroupLabels!$E:$K,7,FALSE)</f>
        <v>0</v>
      </c>
    </row>
    <row r="183" spans="1:17" x14ac:dyDescent="0.25">
      <c r="A183" s="2" t="s">
        <v>2993</v>
      </c>
      <c r="B183" s="53" t="s">
        <v>849</v>
      </c>
      <c r="C183" s="53" t="s">
        <v>850</v>
      </c>
      <c r="D183" s="83">
        <v>3</v>
      </c>
      <c r="E183" s="53">
        <v>0.70611999999999997</v>
      </c>
      <c r="F183" s="53">
        <v>-1.5658399999999999</v>
      </c>
      <c r="G183" s="53">
        <v>-1.0903099999999999</v>
      </c>
      <c r="H183" s="53">
        <v>1.0903099999999999</v>
      </c>
      <c r="I183" s="53"/>
      <c r="J183" s="53"/>
      <c r="K183" s="53"/>
      <c r="L183" s="33"/>
      <c r="M183" s="33"/>
      <c r="N183" s="33"/>
      <c r="O183" s="33"/>
      <c r="P183" s="53" t="s">
        <v>611</v>
      </c>
      <c r="Q183">
        <f>VLOOKUP(P183,GroupLabels!$E:$K,7,FALSE)</f>
        <v>0</v>
      </c>
    </row>
    <row r="184" spans="1:17" x14ac:dyDescent="0.25">
      <c r="A184" s="2" t="s">
        <v>2901</v>
      </c>
      <c r="B184" s="53" t="s">
        <v>827</v>
      </c>
      <c r="C184" s="53" t="s">
        <v>828</v>
      </c>
      <c r="D184" s="83">
        <v>2</v>
      </c>
      <c r="E184" s="53">
        <v>0.95464000000000004</v>
      </c>
      <c r="F184" s="53">
        <v>-1.6071299999999999</v>
      </c>
      <c r="G184" s="53"/>
      <c r="H184" s="53"/>
      <c r="I184" s="53"/>
      <c r="J184" s="53"/>
      <c r="K184" s="53"/>
      <c r="L184" s="33"/>
      <c r="M184" s="33"/>
      <c r="N184" s="33"/>
      <c r="O184" s="33"/>
      <c r="P184" s="53" t="s">
        <v>617</v>
      </c>
      <c r="Q184">
        <f>VLOOKUP(P184,GroupLabels!$E:$K,7,FALSE)</f>
        <v>1</v>
      </c>
    </row>
    <row r="185" spans="1:17" x14ac:dyDescent="0.25">
      <c r="A185" s="2" t="s">
        <v>3126</v>
      </c>
      <c r="B185" s="53" t="s">
        <v>783</v>
      </c>
      <c r="C185" s="53" t="s">
        <v>784</v>
      </c>
      <c r="D185" s="83">
        <v>2</v>
      </c>
      <c r="E185" s="53">
        <v>0.53302000000000005</v>
      </c>
      <c r="F185" s="53">
        <v>-0.87856000000000001</v>
      </c>
      <c r="G185" s="53"/>
      <c r="H185" s="53"/>
      <c r="I185" s="53"/>
      <c r="J185" s="53"/>
      <c r="K185" s="53"/>
      <c r="L185" s="33"/>
      <c r="M185" s="33"/>
      <c r="N185" s="33"/>
      <c r="O185" s="33"/>
      <c r="P185" s="53" t="s">
        <v>621</v>
      </c>
      <c r="Q185">
        <f>VLOOKUP(P185,GroupLabels!$E:$K,7,FALSE)</f>
        <v>1</v>
      </c>
    </row>
    <row r="186" spans="1:17" x14ac:dyDescent="0.25">
      <c r="A186" s="2" t="s">
        <v>768</v>
      </c>
      <c r="B186" s="53" t="s">
        <v>841</v>
      </c>
      <c r="C186" s="53" t="s">
        <v>842</v>
      </c>
      <c r="D186" s="83">
        <v>2</v>
      </c>
      <c r="E186" s="53">
        <v>1.05755</v>
      </c>
      <c r="F186" s="53">
        <v>-0.39510000000000001</v>
      </c>
      <c r="G186" s="53"/>
      <c r="H186" s="53"/>
      <c r="I186" s="53"/>
      <c r="J186" s="53"/>
      <c r="K186" s="53"/>
      <c r="L186" s="33"/>
      <c r="M186" s="33"/>
      <c r="N186" s="33"/>
      <c r="O186" s="33"/>
      <c r="P186" s="53" t="s">
        <v>622</v>
      </c>
      <c r="Q186">
        <f>VLOOKUP(P186,GroupLabels!$E:$K,7,FALSE)</f>
        <v>1</v>
      </c>
    </row>
    <row r="187" spans="1:17" x14ac:dyDescent="0.25">
      <c r="A187" s="2" t="s">
        <v>2903</v>
      </c>
      <c r="B187" s="53" t="s">
        <v>813</v>
      </c>
      <c r="C187" s="53" t="s">
        <v>814</v>
      </c>
      <c r="D187" s="83">
        <v>2</v>
      </c>
      <c r="E187" s="53">
        <v>0.39561000000000002</v>
      </c>
      <c r="F187" s="53">
        <v>-2.1337600000000001</v>
      </c>
      <c r="G187" s="53"/>
      <c r="H187" s="53"/>
      <c r="I187" s="53"/>
      <c r="J187" s="53"/>
      <c r="K187" s="53"/>
      <c r="L187" s="33"/>
      <c r="M187" s="33"/>
      <c r="N187" s="33"/>
      <c r="O187" s="33"/>
      <c r="P187" s="53" t="s">
        <v>623</v>
      </c>
      <c r="Q187">
        <f>VLOOKUP(P187,GroupLabels!$E:$K,7,FALSE)</f>
        <v>0</v>
      </c>
    </row>
    <row r="188" spans="1:17" x14ac:dyDescent="0.25">
      <c r="A188" s="2" t="s">
        <v>3141</v>
      </c>
      <c r="B188" s="53" t="s">
        <v>813</v>
      </c>
      <c r="C188" s="53" t="s">
        <v>814</v>
      </c>
      <c r="D188" s="83">
        <v>2</v>
      </c>
      <c r="E188" s="53">
        <v>0.39561000000000002</v>
      </c>
      <c r="F188" s="53">
        <v>-2.1337600000000001</v>
      </c>
      <c r="G188" s="53"/>
      <c r="H188" s="53"/>
      <c r="I188" s="53"/>
      <c r="J188" s="53"/>
      <c r="K188" s="53"/>
      <c r="L188" s="33"/>
      <c r="M188" s="33"/>
      <c r="N188" s="33"/>
      <c r="O188" s="33"/>
      <c r="P188" s="53" t="s">
        <v>624</v>
      </c>
      <c r="Q188">
        <f>VLOOKUP(P188,GroupLabels!$E:$K,7,FALSE)</f>
        <v>0</v>
      </c>
    </row>
    <row r="189" spans="1:17" x14ac:dyDescent="0.25">
      <c r="A189" s="2" t="s">
        <v>3213</v>
      </c>
      <c r="B189" s="53" t="s">
        <v>813</v>
      </c>
      <c r="C189" s="53" t="s">
        <v>814</v>
      </c>
      <c r="D189" s="83">
        <v>2</v>
      </c>
      <c r="E189" s="53">
        <v>0.39561000000000002</v>
      </c>
      <c r="F189" s="53">
        <v>-2.1337600000000001</v>
      </c>
      <c r="G189" s="53"/>
      <c r="H189" s="53"/>
      <c r="I189" s="53"/>
      <c r="J189" s="53"/>
      <c r="K189" s="53"/>
      <c r="L189" s="33"/>
      <c r="M189" s="33"/>
      <c r="N189" s="33"/>
      <c r="O189" s="33"/>
      <c r="P189" s="53" t="s">
        <v>625</v>
      </c>
      <c r="Q189">
        <f>VLOOKUP(P189,GroupLabels!$E:$K,7,FALSE)</f>
        <v>0</v>
      </c>
    </row>
    <row r="190" spans="1:17" x14ac:dyDescent="0.25">
      <c r="A190" s="2" t="s">
        <v>940</v>
      </c>
      <c r="B190" s="53" t="s">
        <v>789</v>
      </c>
      <c r="C190" s="53" t="s">
        <v>790</v>
      </c>
      <c r="D190" s="83">
        <v>2</v>
      </c>
      <c r="E190" s="53">
        <v>0.92191000000000001</v>
      </c>
      <c r="F190" s="53">
        <v>-2.4391600000000002</v>
      </c>
      <c r="G190" s="53"/>
      <c r="H190" s="53"/>
      <c r="I190" s="53"/>
      <c r="J190" s="53"/>
      <c r="K190" s="53"/>
      <c r="L190" s="33"/>
      <c r="M190" s="33"/>
      <c r="N190" s="33"/>
      <c r="O190" s="33"/>
      <c r="P190" s="53" t="s">
        <v>626</v>
      </c>
      <c r="Q190">
        <f>VLOOKUP(P190,GroupLabels!$E:$K,7,FALSE)</f>
        <v>0</v>
      </c>
    </row>
    <row r="191" spans="1:17" x14ac:dyDescent="0.25">
      <c r="A191" s="2" t="s">
        <v>940</v>
      </c>
      <c r="B191" s="53" t="s">
        <v>791</v>
      </c>
      <c r="C191" s="53" t="s">
        <v>792</v>
      </c>
      <c r="D191" s="83">
        <v>2</v>
      </c>
      <c r="E191" s="53">
        <v>0.95965999999999996</v>
      </c>
      <c r="F191" s="53">
        <v>-2.1990500000000002</v>
      </c>
      <c r="G191" s="53"/>
      <c r="H191" s="53"/>
      <c r="I191" s="53"/>
      <c r="J191" s="53"/>
      <c r="K191" s="53"/>
      <c r="L191" s="33"/>
      <c r="M191" s="33"/>
      <c r="N191" s="33"/>
      <c r="O191" s="33"/>
      <c r="P191" s="53" t="s">
        <v>626</v>
      </c>
      <c r="Q191">
        <f>VLOOKUP(P191,GroupLabels!$E:$K,7,FALSE)</f>
        <v>0</v>
      </c>
    </row>
    <row r="192" spans="1:17" x14ac:dyDescent="0.25">
      <c r="A192" s="2" t="s">
        <v>940</v>
      </c>
      <c r="B192" s="53" t="s">
        <v>795</v>
      </c>
      <c r="C192" s="53" t="s">
        <v>796</v>
      </c>
      <c r="D192" s="83">
        <v>2</v>
      </c>
      <c r="E192" s="53">
        <v>0.45983000000000002</v>
      </c>
      <c r="F192" s="53">
        <v>-1.27627</v>
      </c>
      <c r="G192" s="53"/>
      <c r="H192" s="53"/>
      <c r="I192" s="53"/>
      <c r="J192" s="53"/>
      <c r="K192" s="53"/>
      <c r="L192" s="33"/>
      <c r="M192" s="33"/>
      <c r="N192" s="33"/>
      <c r="O192" s="33"/>
      <c r="P192" s="53" t="s">
        <v>626</v>
      </c>
      <c r="Q192">
        <f>VLOOKUP(P192,GroupLabels!$E:$K,7,FALSE)</f>
        <v>0</v>
      </c>
    </row>
    <row r="193" spans="1:17" x14ac:dyDescent="0.25">
      <c r="A193" s="2" t="s">
        <v>940</v>
      </c>
      <c r="B193" s="53" t="s">
        <v>829</v>
      </c>
      <c r="C193" s="53" t="s">
        <v>830</v>
      </c>
      <c r="D193" s="83">
        <v>2</v>
      </c>
      <c r="E193" s="53">
        <v>0.59582000000000002</v>
      </c>
      <c r="F193" s="53">
        <v>-0.27892</v>
      </c>
      <c r="G193" s="53"/>
      <c r="H193" s="53"/>
      <c r="I193" s="53"/>
      <c r="J193" s="53"/>
      <c r="K193" s="53"/>
      <c r="L193" s="33"/>
      <c r="M193" s="33"/>
      <c r="N193" s="33"/>
      <c r="O193" s="33"/>
      <c r="P193" s="53" t="s">
        <v>626</v>
      </c>
      <c r="Q193">
        <f>VLOOKUP(P193,GroupLabels!$E:$K,7,FALSE)</f>
        <v>0</v>
      </c>
    </row>
    <row r="194" spans="1:17" x14ac:dyDescent="0.25">
      <c r="A194" s="2" t="s">
        <v>3154</v>
      </c>
      <c r="B194" s="53" t="s">
        <v>813</v>
      </c>
      <c r="C194" s="53" t="s">
        <v>814</v>
      </c>
      <c r="D194" s="83">
        <v>2</v>
      </c>
      <c r="E194" s="53">
        <v>0.92325000000000002</v>
      </c>
      <c r="F194" s="53">
        <v>1.1208199999999999</v>
      </c>
      <c r="G194" s="53"/>
      <c r="H194" s="53"/>
      <c r="I194" s="53"/>
      <c r="J194" s="53"/>
      <c r="K194" s="53"/>
      <c r="L194" s="33"/>
      <c r="M194" s="33"/>
      <c r="N194" s="33"/>
      <c r="O194" s="33"/>
      <c r="P194" s="53" t="s">
        <v>627</v>
      </c>
      <c r="Q194">
        <f>VLOOKUP(P194,GroupLabels!$E:$K,7,FALSE)</f>
        <v>1</v>
      </c>
    </row>
    <row r="195" spans="1:17" x14ac:dyDescent="0.25">
      <c r="A195" s="2" t="s">
        <v>3154</v>
      </c>
      <c r="B195" s="53" t="s">
        <v>839</v>
      </c>
      <c r="C195" s="53" t="s">
        <v>840</v>
      </c>
      <c r="D195" s="83">
        <v>4</v>
      </c>
      <c r="E195" s="53">
        <v>0.68947999999999998</v>
      </c>
      <c r="F195" s="53">
        <v>-0.59125000000000005</v>
      </c>
      <c r="G195" s="53">
        <v>-0.27106000000000002</v>
      </c>
      <c r="H195" s="53">
        <v>0.47643999999999997</v>
      </c>
      <c r="I195" s="53">
        <v>-0.20538000000000001</v>
      </c>
      <c r="J195" s="53"/>
      <c r="K195" s="53"/>
      <c r="L195" s="33"/>
      <c r="M195" s="33"/>
      <c r="N195" s="33"/>
      <c r="O195" s="33"/>
      <c r="P195" s="53" t="s">
        <v>627</v>
      </c>
      <c r="Q195">
        <f>VLOOKUP(P195,GroupLabels!$E:$K,7,FALSE)</f>
        <v>1</v>
      </c>
    </row>
    <row r="196" spans="1:17" x14ac:dyDescent="0.25">
      <c r="A196" s="2" t="s">
        <v>3236</v>
      </c>
      <c r="B196" s="53" t="s">
        <v>819</v>
      </c>
      <c r="C196" s="53" t="s">
        <v>820</v>
      </c>
      <c r="D196" s="83">
        <v>2</v>
      </c>
      <c r="E196" s="53">
        <v>0.81923000000000001</v>
      </c>
      <c r="F196" s="53">
        <v>-1.6456900000000001</v>
      </c>
      <c r="G196" s="53"/>
      <c r="H196" s="53"/>
      <c r="I196" s="53"/>
      <c r="J196" s="53"/>
      <c r="K196" s="53"/>
      <c r="L196" s="33"/>
      <c r="M196" s="33"/>
      <c r="N196" s="33"/>
      <c r="O196" s="33"/>
      <c r="P196" s="53" t="s">
        <v>628</v>
      </c>
      <c r="Q196">
        <f>VLOOKUP(P196,GroupLabels!$E:$K,7,FALSE)</f>
        <v>0</v>
      </c>
    </row>
    <row r="197" spans="1:17" x14ac:dyDescent="0.25">
      <c r="A197" s="2" t="s">
        <v>755</v>
      </c>
      <c r="B197" s="53" t="s">
        <v>803</v>
      </c>
      <c r="C197" s="53" t="s">
        <v>804</v>
      </c>
      <c r="D197" s="83">
        <v>2</v>
      </c>
      <c r="E197" s="53">
        <v>1.0250300000000001</v>
      </c>
      <c r="F197" s="53">
        <v>-2.3639000000000001</v>
      </c>
      <c r="G197" s="53"/>
      <c r="H197" s="53"/>
      <c r="I197" s="53"/>
      <c r="J197" s="53"/>
      <c r="K197" s="53"/>
      <c r="L197" s="33"/>
      <c r="M197" s="33"/>
      <c r="N197" s="33"/>
      <c r="O197" s="33"/>
      <c r="P197" s="53" t="s">
        <v>629</v>
      </c>
      <c r="Q197">
        <f>VLOOKUP(P197,GroupLabels!$E:$K,7,FALSE)</f>
        <v>0</v>
      </c>
    </row>
    <row r="198" spans="1:17" x14ac:dyDescent="0.25">
      <c r="A198" s="2" t="s">
        <v>756</v>
      </c>
      <c r="B198" s="53" t="s">
        <v>803</v>
      </c>
      <c r="C198" s="53" t="s">
        <v>804</v>
      </c>
      <c r="D198" s="83">
        <v>2</v>
      </c>
      <c r="E198" s="53">
        <v>1.0250300000000001</v>
      </c>
      <c r="F198" s="53">
        <v>-2.3639000000000001</v>
      </c>
      <c r="G198" s="53"/>
      <c r="H198" s="53"/>
      <c r="I198" s="53"/>
      <c r="J198" s="53"/>
      <c r="K198" s="53"/>
      <c r="L198" s="33"/>
      <c r="M198" s="33"/>
      <c r="N198" s="33"/>
      <c r="O198" s="33"/>
      <c r="P198" s="53" t="s">
        <v>631</v>
      </c>
      <c r="Q198">
        <f>VLOOKUP(P198,GroupLabels!$E:$K,7,FALSE)</f>
        <v>0</v>
      </c>
    </row>
    <row r="199" spans="1:17" x14ac:dyDescent="0.25">
      <c r="A199" s="2" t="s">
        <v>756</v>
      </c>
      <c r="B199" s="53" t="s">
        <v>817</v>
      </c>
      <c r="C199" s="53" t="s">
        <v>818</v>
      </c>
      <c r="D199" s="83">
        <v>2</v>
      </c>
      <c r="E199" s="53">
        <v>0.66703999999999997</v>
      </c>
      <c r="F199" s="53">
        <v>-1.5108999999999999</v>
      </c>
      <c r="G199" s="53"/>
      <c r="H199" s="53"/>
      <c r="I199" s="53"/>
      <c r="J199" s="53"/>
      <c r="K199" s="53"/>
      <c r="L199" s="33"/>
      <c r="M199" s="33"/>
      <c r="N199" s="33"/>
      <c r="O199" s="33"/>
      <c r="P199" s="53" t="s">
        <v>631</v>
      </c>
      <c r="Q199">
        <f>VLOOKUP(P199,GroupLabels!$E:$K,7,FALSE)</f>
        <v>0</v>
      </c>
    </row>
    <row r="200" spans="1:17" x14ac:dyDescent="0.25">
      <c r="A200" s="2" t="s">
        <v>756</v>
      </c>
      <c r="B200" s="53" t="s">
        <v>819</v>
      </c>
      <c r="C200" s="53" t="s">
        <v>820</v>
      </c>
      <c r="D200" s="83">
        <v>2</v>
      </c>
      <c r="E200" s="53">
        <v>0.81923000000000001</v>
      </c>
      <c r="F200" s="53">
        <v>-1.6456900000000001</v>
      </c>
      <c r="G200" s="53"/>
      <c r="H200" s="53"/>
      <c r="I200" s="53"/>
      <c r="J200" s="53"/>
      <c r="K200" s="53"/>
      <c r="L200" s="33"/>
      <c r="M200" s="33"/>
      <c r="N200" s="33"/>
      <c r="O200" s="33"/>
      <c r="P200" s="53" t="s">
        <v>631</v>
      </c>
      <c r="Q200">
        <f>VLOOKUP(P200,GroupLabels!$E:$K,7,FALSE)</f>
        <v>0</v>
      </c>
    </row>
    <row r="201" spans="1:17" x14ac:dyDescent="0.25">
      <c r="A201" s="2" t="s">
        <v>756</v>
      </c>
      <c r="B201" s="53" t="s">
        <v>849</v>
      </c>
      <c r="C201" s="53" t="s">
        <v>850</v>
      </c>
      <c r="D201" s="83">
        <v>3</v>
      </c>
      <c r="E201" s="53">
        <v>0.70611999999999997</v>
      </c>
      <c r="F201" s="53">
        <v>-1.5658399999999999</v>
      </c>
      <c r="G201" s="53">
        <v>-1.0903099999999999</v>
      </c>
      <c r="H201" s="53">
        <v>1.0903099999999999</v>
      </c>
      <c r="I201" s="53"/>
      <c r="J201" s="53"/>
      <c r="K201" s="53"/>
      <c r="L201" s="33"/>
      <c r="M201" s="33"/>
      <c r="N201" s="33"/>
      <c r="O201" s="33"/>
      <c r="P201" s="53" t="s">
        <v>631</v>
      </c>
      <c r="Q201">
        <f>VLOOKUP(P201,GroupLabels!$E:$K,7,FALSE)</f>
        <v>0</v>
      </c>
    </row>
    <row r="202" spans="1:17" x14ac:dyDescent="0.25">
      <c r="A202" s="2" t="s">
        <v>3159</v>
      </c>
      <c r="B202" s="53" t="s">
        <v>809</v>
      </c>
      <c r="C202" s="53" t="s">
        <v>810</v>
      </c>
      <c r="D202" s="83">
        <v>2</v>
      </c>
      <c r="E202" s="53">
        <v>0.79996999999999996</v>
      </c>
      <c r="F202" s="53">
        <v>-1.5324599999999999</v>
      </c>
      <c r="G202" s="53"/>
      <c r="H202" s="53"/>
      <c r="I202" s="53"/>
      <c r="J202" s="53"/>
      <c r="K202" s="53"/>
      <c r="L202" s="33"/>
      <c r="M202" s="33"/>
      <c r="N202" s="33"/>
      <c r="O202" s="33"/>
      <c r="P202" s="53" t="s">
        <v>632</v>
      </c>
      <c r="Q202">
        <f>VLOOKUP(P202,GroupLabels!$E:$K,7,FALSE)</f>
        <v>0</v>
      </c>
    </row>
    <row r="203" spans="1:17" x14ac:dyDescent="0.25">
      <c r="A203" s="2" t="s">
        <v>3159</v>
      </c>
      <c r="B203" s="53" t="s">
        <v>817</v>
      </c>
      <c r="C203" s="53" t="s">
        <v>818</v>
      </c>
      <c r="D203" s="83">
        <v>2</v>
      </c>
      <c r="E203" s="53">
        <v>0.66703999999999997</v>
      </c>
      <c r="F203" s="53">
        <v>-1.5108999999999999</v>
      </c>
      <c r="G203" s="53"/>
      <c r="H203" s="53"/>
      <c r="I203" s="53"/>
      <c r="J203" s="53"/>
      <c r="K203" s="53"/>
      <c r="L203" s="33"/>
      <c r="M203" s="33"/>
      <c r="N203" s="33"/>
      <c r="O203" s="33"/>
      <c r="P203" s="53" t="s">
        <v>632</v>
      </c>
      <c r="Q203">
        <f>VLOOKUP(P203,GroupLabels!$E:$K,7,FALSE)</f>
        <v>0</v>
      </c>
    </row>
    <row r="204" spans="1:17" x14ac:dyDescent="0.25">
      <c r="A204" s="2" t="s">
        <v>3003</v>
      </c>
      <c r="B204" s="53" t="s">
        <v>783</v>
      </c>
      <c r="C204" s="53" t="s">
        <v>784</v>
      </c>
      <c r="D204" s="83">
        <v>2</v>
      </c>
      <c r="E204" s="53">
        <v>0.53302000000000005</v>
      </c>
      <c r="F204" s="53">
        <v>-0.87856000000000001</v>
      </c>
      <c r="G204" s="53"/>
      <c r="H204" s="53"/>
      <c r="I204" s="53"/>
      <c r="J204" s="53"/>
      <c r="K204" s="53"/>
      <c r="L204" s="33"/>
      <c r="M204" s="33"/>
      <c r="N204" s="33"/>
      <c r="O204" s="33"/>
      <c r="P204" s="53" t="s">
        <v>636</v>
      </c>
      <c r="Q204">
        <f>VLOOKUP(P204,GroupLabels!$E:$K,7,FALSE)</f>
        <v>0</v>
      </c>
    </row>
    <row r="205" spans="1:17" x14ac:dyDescent="0.25">
      <c r="A205" s="2" t="s">
        <v>3003</v>
      </c>
      <c r="B205" s="53" t="s">
        <v>813</v>
      </c>
      <c r="C205" s="53" t="s">
        <v>814</v>
      </c>
      <c r="D205" s="83">
        <v>2</v>
      </c>
      <c r="E205" s="53">
        <v>0.35098000000000001</v>
      </c>
      <c r="F205" s="53">
        <v>-1.0121199999999999</v>
      </c>
      <c r="G205" s="53"/>
      <c r="H205" s="53"/>
      <c r="I205" s="53"/>
      <c r="J205" s="53"/>
      <c r="K205" s="53"/>
      <c r="L205" s="33"/>
      <c r="M205" s="33"/>
      <c r="N205" s="33"/>
      <c r="O205" s="33"/>
      <c r="P205" s="53" t="s">
        <v>636</v>
      </c>
      <c r="Q205">
        <f>VLOOKUP(P205,GroupLabels!$E:$K,7,FALSE)</f>
        <v>0</v>
      </c>
    </row>
    <row r="206" spans="1:17" x14ac:dyDescent="0.25">
      <c r="A206" s="2" t="s">
        <v>3003</v>
      </c>
      <c r="B206" s="53" t="s">
        <v>813</v>
      </c>
      <c r="C206" s="53" t="s">
        <v>814</v>
      </c>
      <c r="D206" s="83">
        <v>2</v>
      </c>
      <c r="E206" s="53">
        <v>0.35098000000000001</v>
      </c>
      <c r="F206" s="53">
        <v>-1.0121199999999999</v>
      </c>
      <c r="G206" s="53"/>
      <c r="H206" s="53"/>
      <c r="I206" s="53"/>
      <c r="J206" s="53"/>
      <c r="K206" s="53"/>
      <c r="L206" s="33"/>
      <c r="M206" s="33"/>
      <c r="N206" s="33"/>
      <c r="O206" s="33"/>
      <c r="P206" s="53" t="s">
        <v>636</v>
      </c>
      <c r="Q206">
        <f>VLOOKUP(P206,GroupLabels!$E:$K,7,FALSE)</f>
        <v>0</v>
      </c>
    </row>
    <row r="207" spans="1:17" x14ac:dyDescent="0.25">
      <c r="A207" s="2" t="s">
        <v>3084</v>
      </c>
      <c r="B207" s="53" t="s">
        <v>783</v>
      </c>
      <c r="C207" s="53" t="s">
        <v>784</v>
      </c>
      <c r="D207" s="83">
        <v>2</v>
      </c>
      <c r="E207" s="53">
        <v>0.33531</v>
      </c>
      <c r="F207" s="53">
        <v>-0.53451000000000004</v>
      </c>
      <c r="G207" s="53"/>
      <c r="H207" s="53"/>
      <c r="I207" s="53"/>
      <c r="J207" s="53"/>
      <c r="K207" s="53"/>
      <c r="L207" s="33"/>
      <c r="M207" s="33"/>
      <c r="N207" s="33"/>
      <c r="O207" s="33"/>
      <c r="P207" s="53" t="s">
        <v>637</v>
      </c>
      <c r="Q207">
        <f>VLOOKUP(P207,GroupLabels!$E:$K,7,FALSE)</f>
        <v>0</v>
      </c>
    </row>
    <row r="208" spans="1:17" x14ac:dyDescent="0.25">
      <c r="A208" s="2" t="s">
        <v>3084</v>
      </c>
      <c r="B208" s="53" t="s">
        <v>809</v>
      </c>
      <c r="C208" s="53" t="s">
        <v>810</v>
      </c>
      <c r="D208" s="83">
        <v>2</v>
      </c>
      <c r="E208" s="53">
        <v>0.39645999999999998</v>
      </c>
      <c r="F208" s="53">
        <v>-0.98636999999999997</v>
      </c>
      <c r="G208" s="53"/>
      <c r="H208" s="53"/>
      <c r="I208" s="53"/>
      <c r="J208" s="53"/>
      <c r="K208" s="53"/>
      <c r="L208" s="33"/>
      <c r="M208" s="33"/>
      <c r="N208" s="33"/>
      <c r="O208" s="33"/>
      <c r="P208" s="53" t="s">
        <v>637</v>
      </c>
      <c r="Q208">
        <f>VLOOKUP(P208,GroupLabels!$E:$K,7,FALSE)</f>
        <v>0</v>
      </c>
    </row>
    <row r="209" spans="1:17" x14ac:dyDescent="0.25">
      <c r="A209" s="2" t="s">
        <v>3084</v>
      </c>
      <c r="B209" s="53" t="s">
        <v>813</v>
      </c>
      <c r="C209" s="53" t="s">
        <v>814</v>
      </c>
      <c r="D209" s="83">
        <v>2</v>
      </c>
      <c r="E209" s="53">
        <v>0.39561000000000002</v>
      </c>
      <c r="F209" s="53">
        <v>-2.1337600000000001</v>
      </c>
      <c r="G209" s="53"/>
      <c r="H209" s="53"/>
      <c r="I209" s="53"/>
      <c r="J209" s="53"/>
      <c r="K209" s="53"/>
      <c r="L209" s="33"/>
      <c r="M209" s="33"/>
      <c r="N209" s="33"/>
      <c r="O209" s="33"/>
      <c r="P209" s="53" t="s">
        <v>637</v>
      </c>
      <c r="Q209">
        <f>VLOOKUP(P209,GroupLabels!$E:$K,7,FALSE)</f>
        <v>0</v>
      </c>
    </row>
    <row r="210" spans="1:17" x14ac:dyDescent="0.25">
      <c r="A210" s="2" t="s">
        <v>3192</v>
      </c>
      <c r="B210" s="53" t="s">
        <v>819</v>
      </c>
      <c r="C210" s="53" t="s">
        <v>820</v>
      </c>
      <c r="D210" s="83">
        <v>2</v>
      </c>
      <c r="E210" s="53">
        <v>0.81923000000000001</v>
      </c>
      <c r="F210" s="53">
        <v>-1.6456900000000001</v>
      </c>
      <c r="G210" s="53"/>
      <c r="H210" s="53"/>
      <c r="I210" s="53"/>
      <c r="J210" s="53"/>
      <c r="K210" s="53"/>
      <c r="L210" s="33"/>
      <c r="M210" s="33"/>
      <c r="N210" s="33"/>
      <c r="O210" s="33"/>
      <c r="P210" s="53" t="s">
        <v>639</v>
      </c>
      <c r="Q210">
        <f>VLOOKUP(P210,GroupLabels!$E:$K,7,FALSE)</f>
        <v>1</v>
      </c>
    </row>
    <row r="211" spans="1:17" x14ac:dyDescent="0.25">
      <c r="A211" s="2" t="s">
        <v>3004</v>
      </c>
      <c r="B211" s="53" t="s">
        <v>817</v>
      </c>
      <c r="C211" s="53" t="s">
        <v>818</v>
      </c>
      <c r="D211" s="83">
        <v>2</v>
      </c>
      <c r="E211" s="53">
        <v>0.65061000000000002</v>
      </c>
      <c r="F211" s="53">
        <v>2.25895</v>
      </c>
      <c r="G211" s="53"/>
      <c r="H211" s="53"/>
      <c r="I211" s="53"/>
      <c r="J211" s="53"/>
      <c r="K211" s="53"/>
      <c r="L211" s="33"/>
      <c r="M211" s="33"/>
      <c r="N211" s="33"/>
      <c r="O211" s="33"/>
      <c r="P211" s="53" t="s">
        <v>641</v>
      </c>
      <c r="Q211">
        <f>VLOOKUP(P211,GroupLabels!$E:$K,7,FALSE)</f>
        <v>1</v>
      </c>
    </row>
    <row r="212" spans="1:17" x14ac:dyDescent="0.25">
      <c r="A212" s="2" t="s">
        <v>3007</v>
      </c>
      <c r="B212" s="53" t="s">
        <v>825</v>
      </c>
      <c r="C212" s="53" t="s">
        <v>826</v>
      </c>
      <c r="D212" s="83">
        <v>2</v>
      </c>
      <c r="E212" s="53">
        <v>0.93581000000000003</v>
      </c>
      <c r="F212" s="53">
        <v>-1.9101399999999999</v>
      </c>
      <c r="G212" s="53"/>
      <c r="H212" s="53"/>
      <c r="I212" s="53"/>
      <c r="J212" s="53"/>
      <c r="K212" s="53"/>
      <c r="L212" s="33"/>
      <c r="M212" s="33"/>
      <c r="N212" s="33"/>
      <c r="O212" s="33"/>
      <c r="P212" s="53" t="s">
        <v>644</v>
      </c>
      <c r="Q212">
        <f>VLOOKUP(P212,GroupLabels!$E:$K,7,FALSE)</f>
        <v>0</v>
      </c>
    </row>
    <row r="213" spans="1:17" x14ac:dyDescent="0.25">
      <c r="A213" s="2" t="s">
        <v>3007</v>
      </c>
      <c r="B213" s="53" t="s">
        <v>825</v>
      </c>
      <c r="C213" s="53" t="s">
        <v>826</v>
      </c>
      <c r="D213" s="83">
        <v>2</v>
      </c>
      <c r="E213" s="53">
        <v>0.93581000000000003</v>
      </c>
      <c r="F213" s="53">
        <v>-1.9101399999999999</v>
      </c>
      <c r="G213" s="53"/>
      <c r="H213" s="53"/>
      <c r="I213" s="53"/>
      <c r="J213" s="53"/>
      <c r="K213" s="53"/>
      <c r="L213" s="33"/>
      <c r="M213" s="33"/>
      <c r="N213" s="33"/>
      <c r="O213" s="33"/>
      <c r="P213" s="53" t="s">
        <v>644</v>
      </c>
      <c r="Q213">
        <f>VLOOKUP(P213,GroupLabels!$E:$K,7,FALSE)</f>
        <v>0</v>
      </c>
    </row>
    <row r="214" spans="1:17" x14ac:dyDescent="0.25">
      <c r="A214" s="2" t="s">
        <v>3279</v>
      </c>
      <c r="B214" s="53" t="s">
        <v>813</v>
      </c>
      <c r="C214" s="53" t="s">
        <v>814</v>
      </c>
      <c r="D214" s="83">
        <v>2</v>
      </c>
      <c r="E214" s="53">
        <v>0.35098000000000001</v>
      </c>
      <c r="F214" s="53">
        <v>-1.0121199999999999</v>
      </c>
      <c r="G214" s="53"/>
      <c r="H214" s="53"/>
      <c r="I214" s="53"/>
      <c r="J214" s="53"/>
      <c r="K214" s="53"/>
      <c r="L214" s="33"/>
      <c r="M214" s="33"/>
      <c r="N214" s="33"/>
      <c r="O214" s="33"/>
      <c r="P214" s="53" t="s">
        <v>646</v>
      </c>
      <c r="Q214">
        <f>VLOOKUP(P214,GroupLabels!$E:$K,7,FALSE)</f>
        <v>0</v>
      </c>
    </row>
    <row r="215" spans="1:17" x14ac:dyDescent="0.25">
      <c r="A215" s="2" t="s">
        <v>3279</v>
      </c>
      <c r="B215" s="53" t="s">
        <v>813</v>
      </c>
      <c r="C215" s="53" t="s">
        <v>814</v>
      </c>
      <c r="D215" s="83">
        <v>2</v>
      </c>
      <c r="E215" s="53">
        <v>0.35098000000000001</v>
      </c>
      <c r="F215" s="53">
        <v>-1.0121199999999999</v>
      </c>
      <c r="G215" s="53"/>
      <c r="H215" s="53"/>
      <c r="I215" s="53"/>
      <c r="J215" s="53"/>
      <c r="K215" s="53"/>
      <c r="L215" s="33"/>
      <c r="M215" s="33"/>
      <c r="N215" s="33"/>
      <c r="O215" s="33"/>
      <c r="P215" s="53" t="s">
        <v>646</v>
      </c>
      <c r="Q215">
        <f>VLOOKUP(P215,GroupLabels!$E:$K,7,FALSE)</f>
        <v>0</v>
      </c>
    </row>
    <row r="216" spans="1:17" x14ac:dyDescent="0.25">
      <c r="A216" s="2" t="s">
        <v>3279</v>
      </c>
      <c r="B216" s="53" t="s">
        <v>825</v>
      </c>
      <c r="C216" s="53" t="s">
        <v>826</v>
      </c>
      <c r="D216" s="83">
        <v>2</v>
      </c>
      <c r="E216" s="53">
        <v>1.0351399999999999</v>
      </c>
      <c r="F216" s="53">
        <v>-2.5930499999999999</v>
      </c>
      <c r="G216" s="53"/>
      <c r="H216" s="53"/>
      <c r="I216" s="53"/>
      <c r="J216" s="53"/>
      <c r="K216" s="53"/>
      <c r="L216" s="33"/>
      <c r="M216" s="33"/>
      <c r="N216" s="33"/>
      <c r="O216" s="33"/>
      <c r="P216" s="53" t="s">
        <v>646</v>
      </c>
      <c r="Q216">
        <f>VLOOKUP(P216,GroupLabels!$E:$K,7,FALSE)</f>
        <v>0</v>
      </c>
    </row>
    <row r="217" spans="1:17" x14ac:dyDescent="0.25">
      <c r="A217" s="2" t="s">
        <v>3234</v>
      </c>
      <c r="B217" s="53" t="s">
        <v>819</v>
      </c>
      <c r="C217" s="53" t="s">
        <v>820</v>
      </c>
      <c r="D217" s="83">
        <v>2</v>
      </c>
      <c r="E217" s="53">
        <v>0.58226</v>
      </c>
      <c r="F217" s="53">
        <v>-1.2769200000000001</v>
      </c>
      <c r="G217" s="53"/>
      <c r="H217" s="53"/>
      <c r="I217" s="53"/>
      <c r="J217" s="53"/>
      <c r="K217" s="53"/>
      <c r="L217" s="33"/>
      <c r="M217" s="33"/>
      <c r="N217" s="33"/>
      <c r="O217" s="33"/>
      <c r="P217" s="53" t="s">
        <v>647</v>
      </c>
      <c r="Q217">
        <f>VLOOKUP(P217,GroupLabels!$E:$K,7,FALSE)</f>
        <v>0</v>
      </c>
    </row>
    <row r="218" spans="1:17" x14ac:dyDescent="0.25">
      <c r="A218" s="2" t="s">
        <v>3234</v>
      </c>
      <c r="B218" s="53" t="s">
        <v>837</v>
      </c>
      <c r="C218" s="53" t="s">
        <v>838</v>
      </c>
      <c r="D218" s="83">
        <v>4</v>
      </c>
      <c r="E218" s="53">
        <v>0.60753999999999997</v>
      </c>
      <c r="F218" s="53">
        <v>0.33572000000000002</v>
      </c>
      <c r="G218" s="53">
        <v>-0.33942</v>
      </c>
      <c r="H218" s="53">
        <v>0.16603999999999999</v>
      </c>
      <c r="I218" s="53">
        <v>0.17338000000000001</v>
      </c>
      <c r="J218" s="53"/>
      <c r="K218" s="53"/>
      <c r="L218" s="33"/>
      <c r="M218" s="33"/>
      <c r="N218" s="33"/>
      <c r="O218" s="33"/>
      <c r="P218" s="53" t="s">
        <v>647</v>
      </c>
      <c r="Q218">
        <f>VLOOKUP(P218,GroupLabels!$E:$K,7,FALSE)</f>
        <v>0</v>
      </c>
    </row>
    <row r="219" spans="1:17" x14ac:dyDescent="0.25">
      <c r="A219" s="2" t="s">
        <v>3179</v>
      </c>
      <c r="B219" s="53" t="s">
        <v>795</v>
      </c>
      <c r="C219" s="53" t="s">
        <v>796</v>
      </c>
      <c r="D219" s="83">
        <v>2</v>
      </c>
      <c r="E219" s="53">
        <v>0.39226</v>
      </c>
      <c r="F219" s="53">
        <v>-0.88161999999999996</v>
      </c>
      <c r="G219" s="53"/>
      <c r="H219" s="53"/>
      <c r="I219" s="53"/>
      <c r="J219" s="53"/>
      <c r="K219" s="53"/>
      <c r="L219" s="33"/>
      <c r="M219" s="33"/>
      <c r="N219" s="33"/>
      <c r="O219" s="33"/>
      <c r="P219" s="53" t="s">
        <v>650</v>
      </c>
      <c r="Q219">
        <f>VLOOKUP(P219,GroupLabels!$E:$K,7,FALSE)</f>
        <v>0</v>
      </c>
    </row>
    <row r="220" spans="1:17" x14ac:dyDescent="0.25">
      <c r="A220" s="2" t="s">
        <v>3179</v>
      </c>
      <c r="B220" s="53" t="s">
        <v>833</v>
      </c>
      <c r="C220" s="53" t="s">
        <v>834</v>
      </c>
      <c r="D220" s="83">
        <v>4</v>
      </c>
      <c r="E220" s="53">
        <v>0.50236000000000003</v>
      </c>
      <c r="F220" s="53">
        <v>-1.2828299999999999</v>
      </c>
      <c r="G220" s="53">
        <v>-1.3331900000000001</v>
      </c>
      <c r="H220" s="53">
        <v>0.41309000000000001</v>
      </c>
      <c r="I220" s="53">
        <v>0.92010000000000003</v>
      </c>
      <c r="J220" s="53"/>
      <c r="K220" s="53"/>
      <c r="L220" s="33"/>
      <c r="M220" s="33"/>
      <c r="N220" s="33"/>
      <c r="O220" s="33"/>
      <c r="P220" s="53" t="s">
        <v>650</v>
      </c>
      <c r="Q220">
        <f>VLOOKUP(P220,GroupLabels!$E:$K,7,FALSE)</f>
        <v>0</v>
      </c>
    </row>
    <row r="221" spans="1:17" x14ac:dyDescent="0.25">
      <c r="A221" s="2" t="s">
        <v>3053</v>
      </c>
      <c r="B221" s="53" t="s">
        <v>787</v>
      </c>
      <c r="C221" s="53" t="s">
        <v>788</v>
      </c>
      <c r="D221" s="83">
        <v>2</v>
      </c>
      <c r="E221" s="53">
        <v>1.3262100000000001</v>
      </c>
      <c r="F221" s="53">
        <v>-1.98709</v>
      </c>
      <c r="G221" s="53"/>
      <c r="H221" s="53"/>
      <c r="I221" s="53"/>
      <c r="J221" s="53"/>
      <c r="K221" s="53"/>
      <c r="L221" s="33"/>
      <c r="M221" s="33"/>
      <c r="N221" s="33"/>
      <c r="O221" s="33"/>
      <c r="P221" s="53" t="s">
        <v>653</v>
      </c>
      <c r="Q221">
        <f>VLOOKUP(P221,GroupLabels!$E:$K,7,FALSE)</f>
        <v>1</v>
      </c>
    </row>
    <row r="222" spans="1:17" x14ac:dyDescent="0.25">
      <c r="A222" s="2" t="s">
        <v>3175</v>
      </c>
      <c r="B222" s="53" t="s">
        <v>813</v>
      </c>
      <c r="C222" s="53" t="s">
        <v>814</v>
      </c>
      <c r="D222" s="83">
        <v>2</v>
      </c>
      <c r="E222" s="53">
        <v>0.39561000000000002</v>
      </c>
      <c r="F222" s="53">
        <v>-2.1337600000000001</v>
      </c>
      <c r="G222" s="53"/>
      <c r="H222" s="53"/>
      <c r="I222" s="53"/>
      <c r="J222" s="53"/>
      <c r="K222" s="53"/>
      <c r="L222" s="33"/>
      <c r="M222" s="33"/>
      <c r="N222" s="33"/>
      <c r="O222" s="33"/>
      <c r="P222" s="53" t="s">
        <v>657</v>
      </c>
      <c r="Q222">
        <f>VLOOKUP(P222,GroupLabels!$E:$K,7,FALSE)</f>
        <v>0</v>
      </c>
    </row>
    <row r="223" spans="1:17" x14ac:dyDescent="0.25">
      <c r="A223" s="2" t="s">
        <v>3175</v>
      </c>
      <c r="B223" s="53" t="s">
        <v>827</v>
      </c>
      <c r="C223" s="53" t="s">
        <v>828</v>
      </c>
      <c r="D223" s="83">
        <v>2</v>
      </c>
      <c r="E223" s="53">
        <v>1.0083299999999999</v>
      </c>
      <c r="F223" s="53">
        <v>-4.1606100000000001</v>
      </c>
      <c r="G223" s="53"/>
      <c r="H223" s="53"/>
      <c r="I223" s="53"/>
      <c r="J223" s="53"/>
      <c r="K223" s="53"/>
      <c r="L223" s="33"/>
      <c r="M223" s="33"/>
      <c r="N223" s="33"/>
      <c r="O223" s="33"/>
      <c r="P223" s="53" t="s">
        <v>657</v>
      </c>
      <c r="Q223">
        <f>VLOOKUP(P223,GroupLabels!$E:$K,7,FALSE)</f>
        <v>0</v>
      </c>
    </row>
    <row r="224" spans="1:17" x14ac:dyDescent="0.25">
      <c r="A224" s="2" t="s">
        <v>2906</v>
      </c>
      <c r="B224" s="53" t="s">
        <v>805</v>
      </c>
      <c r="C224" s="53" t="s">
        <v>806</v>
      </c>
      <c r="D224" s="83">
        <v>2</v>
      </c>
      <c r="E224" s="53">
        <v>0.81266000000000005</v>
      </c>
      <c r="F224" s="53">
        <v>-5.2150699999999999</v>
      </c>
      <c r="G224" s="53"/>
      <c r="H224" s="53"/>
      <c r="I224" s="53"/>
      <c r="J224" s="53"/>
      <c r="K224" s="53"/>
      <c r="L224" s="33"/>
      <c r="M224" s="33"/>
      <c r="N224" s="33"/>
      <c r="O224" s="33"/>
      <c r="P224" s="53" t="s">
        <v>660</v>
      </c>
      <c r="Q224">
        <f>VLOOKUP(P224,GroupLabels!$E:$K,7,FALSE)</f>
        <v>0</v>
      </c>
    </row>
    <row r="225" spans="1:17" x14ac:dyDescent="0.25">
      <c r="A225" s="2" t="s">
        <v>760</v>
      </c>
      <c r="B225" s="53" t="s">
        <v>831</v>
      </c>
      <c r="C225" s="53" t="s">
        <v>832</v>
      </c>
      <c r="D225" s="83">
        <v>2</v>
      </c>
      <c r="E225" s="53">
        <v>0.95011000000000001</v>
      </c>
      <c r="F225" s="53">
        <v>-0.30820999999999998</v>
      </c>
      <c r="G225" s="53"/>
      <c r="H225" s="53"/>
      <c r="I225" s="53"/>
      <c r="J225" s="53"/>
      <c r="K225" s="53"/>
      <c r="L225" s="33"/>
      <c r="M225" s="33"/>
      <c r="N225" s="33"/>
      <c r="O225" s="33"/>
      <c r="P225" s="53" t="s">
        <v>663</v>
      </c>
      <c r="Q225">
        <f>VLOOKUP(P225,GroupLabels!$E:$K,7,FALSE)</f>
        <v>1</v>
      </c>
    </row>
    <row r="226" spans="1:17" x14ac:dyDescent="0.25">
      <c r="A226" s="2" t="s">
        <v>761</v>
      </c>
      <c r="B226" s="53" t="s">
        <v>813</v>
      </c>
      <c r="C226" s="53" t="s">
        <v>814</v>
      </c>
      <c r="D226" s="83">
        <v>2</v>
      </c>
      <c r="E226" s="53">
        <v>0.35098000000000001</v>
      </c>
      <c r="F226" s="53">
        <v>-1.0121199999999999</v>
      </c>
      <c r="G226" s="53"/>
      <c r="H226" s="53"/>
      <c r="I226" s="53"/>
      <c r="J226" s="53"/>
      <c r="K226" s="53"/>
      <c r="L226" s="33"/>
      <c r="M226" s="33"/>
      <c r="N226" s="33"/>
      <c r="O226" s="33"/>
      <c r="P226" s="53" t="s">
        <v>664</v>
      </c>
      <c r="Q226">
        <f>VLOOKUP(P226,GroupLabels!$E:$K,7,FALSE)</f>
        <v>1</v>
      </c>
    </row>
    <row r="227" spans="1:17" x14ac:dyDescent="0.25">
      <c r="A227" s="2" t="s">
        <v>761</v>
      </c>
      <c r="B227" s="53" t="s">
        <v>831</v>
      </c>
      <c r="C227" s="53" t="s">
        <v>832</v>
      </c>
      <c r="D227" s="83">
        <v>2</v>
      </c>
      <c r="E227" s="53">
        <v>0.82343999999999995</v>
      </c>
      <c r="F227" s="53">
        <v>-0.80832000000000004</v>
      </c>
      <c r="G227" s="53"/>
      <c r="H227" s="53"/>
      <c r="I227" s="53"/>
      <c r="J227" s="53"/>
      <c r="K227" s="53"/>
      <c r="L227" s="33"/>
      <c r="M227" s="33"/>
      <c r="N227" s="33"/>
      <c r="O227" s="33"/>
      <c r="P227" s="53" t="s">
        <v>664</v>
      </c>
      <c r="Q227">
        <f>VLOOKUP(P227,GroupLabels!$E:$K,7,FALSE)</f>
        <v>1</v>
      </c>
    </row>
    <row r="228" spans="1:17" x14ac:dyDescent="0.25">
      <c r="A228" s="2" t="s">
        <v>2909</v>
      </c>
      <c r="B228" s="53" t="s">
        <v>825</v>
      </c>
      <c r="C228" s="53" t="s">
        <v>826</v>
      </c>
      <c r="D228" s="83">
        <v>2</v>
      </c>
      <c r="E228" s="53">
        <v>0.93581000000000003</v>
      </c>
      <c r="F228" s="53">
        <v>-1.9101399999999999</v>
      </c>
      <c r="G228" s="53"/>
      <c r="H228" s="53"/>
      <c r="I228" s="53"/>
      <c r="J228" s="53"/>
      <c r="K228" s="53"/>
      <c r="L228" s="33"/>
      <c r="M228" s="33"/>
      <c r="N228" s="33"/>
      <c r="O228" s="33"/>
      <c r="P228" s="53" t="s">
        <v>665</v>
      </c>
      <c r="Q228">
        <f>VLOOKUP(P228,GroupLabels!$E:$K,7,FALSE)</f>
        <v>0</v>
      </c>
    </row>
    <row r="229" spans="1:17" x14ac:dyDescent="0.25">
      <c r="A229" s="2" t="s">
        <v>3059</v>
      </c>
      <c r="B229" s="53" t="s">
        <v>805</v>
      </c>
      <c r="C229" s="53" t="s">
        <v>806</v>
      </c>
      <c r="D229" s="83">
        <v>2</v>
      </c>
      <c r="E229" s="53">
        <v>1.1525000000000001</v>
      </c>
      <c r="F229" s="53">
        <v>-1.74783</v>
      </c>
      <c r="G229" s="53"/>
      <c r="H229" s="53"/>
      <c r="I229" s="53"/>
      <c r="J229" s="53"/>
      <c r="K229" s="53"/>
      <c r="L229" s="33"/>
      <c r="M229" s="33"/>
      <c r="N229" s="33"/>
      <c r="O229" s="33"/>
      <c r="P229" s="53" t="s">
        <v>667</v>
      </c>
      <c r="Q229">
        <f>VLOOKUP(P229,GroupLabels!$E:$K,7,FALSE)</f>
        <v>0</v>
      </c>
    </row>
    <row r="230" spans="1:17" x14ac:dyDescent="0.25">
      <c r="A230" s="2" t="s">
        <v>2912</v>
      </c>
      <c r="B230" s="53" t="s">
        <v>839</v>
      </c>
      <c r="C230" s="53" t="s">
        <v>840</v>
      </c>
      <c r="D230" s="83">
        <v>4</v>
      </c>
      <c r="E230" s="53">
        <v>0.30029</v>
      </c>
      <c r="F230" s="53">
        <v>0.88231999999999999</v>
      </c>
      <c r="G230" s="53">
        <v>0.67081999999999997</v>
      </c>
      <c r="H230" s="53">
        <v>-3.6089999999999997E-2</v>
      </c>
      <c r="I230" s="53">
        <v>-0.63473000000000002</v>
      </c>
      <c r="J230" s="53"/>
      <c r="K230" s="53"/>
      <c r="L230" s="33"/>
      <c r="M230" s="33"/>
      <c r="N230" s="33"/>
      <c r="O230" s="33"/>
      <c r="P230" s="53" t="s">
        <v>672</v>
      </c>
      <c r="Q230">
        <f>VLOOKUP(P230,GroupLabels!$E:$K,7,FALSE)</f>
        <v>0</v>
      </c>
    </row>
    <row r="231" spans="1:17" x14ac:dyDescent="0.25">
      <c r="A231" s="2" t="s">
        <v>758</v>
      </c>
      <c r="B231" s="53" t="s">
        <v>789</v>
      </c>
      <c r="C231" s="53" t="s">
        <v>790</v>
      </c>
      <c r="D231" s="83">
        <v>2</v>
      </c>
      <c r="E231" s="53">
        <v>0.83359000000000005</v>
      </c>
      <c r="F231" s="53">
        <v>-2.7800099999999999</v>
      </c>
      <c r="G231" s="53"/>
      <c r="H231" s="53"/>
      <c r="I231" s="53"/>
      <c r="J231" s="53"/>
      <c r="K231" s="53"/>
      <c r="L231" s="33"/>
      <c r="M231" s="33"/>
      <c r="N231" s="33"/>
      <c r="O231" s="33"/>
      <c r="P231" s="53" t="s">
        <v>676</v>
      </c>
      <c r="Q231">
        <f>VLOOKUP(P231,GroupLabels!$E:$K,7,FALSE)</f>
        <v>0</v>
      </c>
    </row>
    <row r="232" spans="1:17" x14ac:dyDescent="0.25">
      <c r="A232" s="2" t="s">
        <v>758</v>
      </c>
      <c r="B232" s="53" t="s">
        <v>789</v>
      </c>
      <c r="C232" s="53" t="s">
        <v>790</v>
      </c>
      <c r="D232" s="83">
        <v>2</v>
      </c>
      <c r="E232" s="53">
        <v>0.83359000000000005</v>
      </c>
      <c r="F232" s="53">
        <v>-2.7800099999999999</v>
      </c>
      <c r="G232" s="53"/>
      <c r="H232" s="53"/>
      <c r="I232" s="53"/>
      <c r="J232" s="53"/>
      <c r="K232" s="53"/>
      <c r="L232" s="33"/>
      <c r="M232" s="33"/>
      <c r="N232" s="33"/>
      <c r="O232" s="33"/>
      <c r="P232" s="53" t="s">
        <v>676</v>
      </c>
      <c r="Q232">
        <f>VLOOKUP(P232,GroupLabels!$E:$K,7,FALSE)</f>
        <v>0</v>
      </c>
    </row>
    <row r="233" spans="1:17" x14ac:dyDescent="0.25">
      <c r="A233" s="2" t="s">
        <v>758</v>
      </c>
      <c r="B233" s="53" t="s">
        <v>813</v>
      </c>
      <c r="C233" s="53" t="s">
        <v>814</v>
      </c>
      <c r="D233" s="83">
        <v>2</v>
      </c>
      <c r="E233" s="53">
        <v>0.35098000000000001</v>
      </c>
      <c r="F233" s="53">
        <v>-1.0121199999999999</v>
      </c>
      <c r="G233" s="53"/>
      <c r="H233" s="53"/>
      <c r="I233" s="53"/>
      <c r="J233" s="53"/>
      <c r="K233" s="53"/>
      <c r="L233" s="33"/>
      <c r="M233" s="33"/>
      <c r="N233" s="33"/>
      <c r="O233" s="33"/>
      <c r="P233" s="53" t="s">
        <v>676</v>
      </c>
      <c r="Q233">
        <f>VLOOKUP(P233,GroupLabels!$E:$K,7,FALSE)</f>
        <v>0</v>
      </c>
    </row>
    <row r="234" spans="1:17" x14ac:dyDescent="0.25">
      <c r="A234" s="2" t="s">
        <v>758</v>
      </c>
      <c r="B234" s="53" t="s">
        <v>813</v>
      </c>
      <c r="C234" s="53" t="s">
        <v>814</v>
      </c>
      <c r="D234" s="83">
        <v>2</v>
      </c>
      <c r="E234" s="53">
        <v>0.35098000000000001</v>
      </c>
      <c r="F234" s="53">
        <v>-1.0121199999999999</v>
      </c>
      <c r="G234" s="53"/>
      <c r="H234" s="53"/>
      <c r="I234" s="53"/>
      <c r="J234" s="53"/>
      <c r="K234" s="53"/>
      <c r="L234" s="33"/>
      <c r="M234" s="33"/>
      <c r="N234" s="33"/>
      <c r="O234" s="33"/>
      <c r="P234" s="53" t="s">
        <v>676</v>
      </c>
      <c r="Q234">
        <f>VLOOKUP(P234,GroupLabels!$E:$K,7,FALSE)</f>
        <v>0</v>
      </c>
    </row>
    <row r="235" spans="1:17" x14ac:dyDescent="0.25">
      <c r="A235" s="2" t="s">
        <v>758</v>
      </c>
      <c r="B235" s="53" t="s">
        <v>813</v>
      </c>
      <c r="C235" s="53" t="s">
        <v>814</v>
      </c>
      <c r="D235" s="83">
        <v>2</v>
      </c>
      <c r="E235" s="53">
        <v>0.35098000000000001</v>
      </c>
      <c r="F235" s="53">
        <v>-1.0121199999999999</v>
      </c>
      <c r="G235" s="53"/>
      <c r="H235" s="53"/>
      <c r="I235" s="53"/>
      <c r="J235" s="53"/>
      <c r="K235" s="53"/>
      <c r="L235" s="33"/>
      <c r="M235" s="33"/>
      <c r="N235" s="33"/>
      <c r="O235" s="33"/>
      <c r="P235" s="53" t="s">
        <v>676</v>
      </c>
      <c r="Q235">
        <f>VLOOKUP(P235,GroupLabels!$E:$K,7,FALSE)</f>
        <v>0</v>
      </c>
    </row>
    <row r="236" spans="1:17" x14ac:dyDescent="0.25">
      <c r="A236" s="2" t="s">
        <v>758</v>
      </c>
      <c r="B236" s="53" t="s">
        <v>829</v>
      </c>
      <c r="C236" s="53" t="s">
        <v>830</v>
      </c>
      <c r="D236" s="83">
        <v>2</v>
      </c>
      <c r="E236" s="53">
        <v>0.49742999999999998</v>
      </c>
      <c r="F236" s="53">
        <v>-0.67308000000000001</v>
      </c>
      <c r="G236" s="53"/>
      <c r="H236" s="53"/>
      <c r="I236" s="53"/>
      <c r="J236" s="53"/>
      <c r="K236" s="53"/>
      <c r="L236" s="33"/>
      <c r="M236" s="33"/>
      <c r="N236" s="33"/>
      <c r="O236" s="33"/>
      <c r="P236" s="53" t="s">
        <v>676</v>
      </c>
      <c r="Q236">
        <f>VLOOKUP(P236,GroupLabels!$E:$K,7,FALSE)</f>
        <v>0</v>
      </c>
    </row>
    <row r="237" spans="1:17" x14ac:dyDescent="0.25">
      <c r="A237" s="2" t="s">
        <v>2915</v>
      </c>
      <c r="B237" s="53" t="s">
        <v>803</v>
      </c>
      <c r="C237" s="53" t="s">
        <v>804</v>
      </c>
      <c r="D237" s="83">
        <v>2</v>
      </c>
      <c r="E237" s="53">
        <v>1.0930800000000001</v>
      </c>
      <c r="F237" s="53">
        <v>-2.1619799999999998</v>
      </c>
      <c r="G237" s="53"/>
      <c r="H237" s="53"/>
      <c r="I237" s="53"/>
      <c r="J237" s="53"/>
      <c r="K237" s="53"/>
      <c r="L237" s="33"/>
      <c r="M237" s="33"/>
      <c r="N237" s="33"/>
      <c r="O237" s="33"/>
      <c r="P237" s="53" t="s">
        <v>677</v>
      </c>
      <c r="Q237">
        <f>VLOOKUP(P237,GroupLabels!$E:$K,7,FALSE)</f>
        <v>0</v>
      </c>
    </row>
    <row r="238" spans="1:17" x14ac:dyDescent="0.25">
      <c r="A238" s="2" t="s">
        <v>2915</v>
      </c>
      <c r="B238" s="53" t="s">
        <v>829</v>
      </c>
      <c r="C238" s="53" t="s">
        <v>830</v>
      </c>
      <c r="D238" s="83">
        <v>2</v>
      </c>
      <c r="E238" s="53">
        <v>0.49742999999999998</v>
      </c>
      <c r="F238" s="53">
        <v>-0.67308000000000001</v>
      </c>
      <c r="G238" s="53"/>
      <c r="H238" s="53"/>
      <c r="I238" s="53"/>
      <c r="J238" s="53"/>
      <c r="K238" s="53"/>
      <c r="L238" s="33"/>
      <c r="M238" s="33"/>
      <c r="N238" s="33"/>
      <c r="O238" s="33"/>
      <c r="P238" s="53" t="s">
        <v>677</v>
      </c>
      <c r="Q238">
        <f>VLOOKUP(P238,GroupLabels!$E:$K,7,FALSE)</f>
        <v>0</v>
      </c>
    </row>
    <row r="239" spans="1:17" x14ac:dyDescent="0.25">
      <c r="A239" s="2" t="s">
        <v>2915</v>
      </c>
      <c r="B239" s="53" t="s">
        <v>839</v>
      </c>
      <c r="C239" s="53" t="s">
        <v>840</v>
      </c>
      <c r="D239" s="83">
        <v>4</v>
      </c>
      <c r="E239" s="53">
        <v>0.38258999999999999</v>
      </c>
      <c r="F239" s="53">
        <v>1.11971</v>
      </c>
      <c r="G239" s="53">
        <v>0.71453999999999995</v>
      </c>
      <c r="H239" s="53">
        <v>9.2200000000000008E-3</v>
      </c>
      <c r="I239" s="53">
        <v>-0.72375999999999996</v>
      </c>
      <c r="J239" s="53"/>
      <c r="K239" s="53"/>
      <c r="L239" s="33"/>
      <c r="M239" s="33"/>
      <c r="N239" s="33"/>
      <c r="O239" s="33"/>
      <c r="P239" s="53" t="s">
        <v>677</v>
      </c>
      <c r="Q239">
        <f>VLOOKUP(P239,GroupLabels!$E:$K,7,FALSE)</f>
        <v>0</v>
      </c>
    </row>
    <row r="240" spans="1:17" x14ac:dyDescent="0.25">
      <c r="A240" s="2" t="s">
        <v>3023</v>
      </c>
      <c r="B240" s="53" t="s">
        <v>829</v>
      </c>
      <c r="C240" s="53" t="s">
        <v>830</v>
      </c>
      <c r="D240" s="83">
        <v>2</v>
      </c>
      <c r="E240" s="53">
        <v>0.49742999999999998</v>
      </c>
      <c r="F240" s="53">
        <v>-0.67308000000000001</v>
      </c>
      <c r="G240" s="53"/>
      <c r="H240" s="53"/>
      <c r="I240" s="53"/>
      <c r="J240" s="53"/>
      <c r="K240" s="53"/>
      <c r="L240" s="33"/>
      <c r="M240" s="33"/>
      <c r="N240" s="33"/>
      <c r="O240" s="33"/>
      <c r="P240" s="53" t="s">
        <v>678</v>
      </c>
      <c r="Q240">
        <f>VLOOKUP(P240,GroupLabels!$E:$K,7,FALSE)</f>
        <v>0</v>
      </c>
    </row>
    <row r="241" spans="1:17" x14ac:dyDescent="0.25">
      <c r="A241" s="2" t="s">
        <v>3023</v>
      </c>
      <c r="B241" s="53" t="s">
        <v>839</v>
      </c>
      <c r="C241" s="53" t="s">
        <v>840</v>
      </c>
      <c r="D241" s="83">
        <v>4</v>
      </c>
      <c r="E241" s="53">
        <v>0.38258999999999999</v>
      </c>
      <c r="F241" s="53">
        <v>1.11971</v>
      </c>
      <c r="G241" s="53">
        <v>0.71453999999999995</v>
      </c>
      <c r="H241" s="53">
        <v>9.2200000000000008E-3</v>
      </c>
      <c r="I241" s="53">
        <v>-0.72375999999999996</v>
      </c>
      <c r="J241" s="53"/>
      <c r="K241" s="53"/>
      <c r="L241" s="33"/>
      <c r="M241" s="33"/>
      <c r="N241" s="33"/>
      <c r="O241" s="33"/>
      <c r="P241" s="53" t="s">
        <v>678</v>
      </c>
      <c r="Q241">
        <f>VLOOKUP(P241,GroupLabels!$E:$K,7,FALSE)</f>
        <v>0</v>
      </c>
    </row>
    <row r="242" spans="1:17" x14ac:dyDescent="0.25">
      <c r="A242" s="2" t="s">
        <v>3025</v>
      </c>
      <c r="B242" s="53" t="s">
        <v>783</v>
      </c>
      <c r="C242" s="53" t="s">
        <v>784</v>
      </c>
      <c r="D242" s="83">
        <v>2</v>
      </c>
      <c r="E242" s="53">
        <v>0.53302000000000005</v>
      </c>
      <c r="F242" s="53">
        <v>-0.87856000000000001</v>
      </c>
      <c r="G242" s="53"/>
      <c r="H242" s="53"/>
      <c r="I242" s="53"/>
      <c r="J242" s="53"/>
      <c r="K242" s="53"/>
      <c r="L242" s="33"/>
      <c r="M242" s="33"/>
      <c r="N242" s="33"/>
      <c r="O242" s="33"/>
      <c r="P242" s="53" t="s">
        <v>680</v>
      </c>
      <c r="Q242">
        <f>VLOOKUP(P242,GroupLabels!$E:$K,7,FALSE)</f>
        <v>0</v>
      </c>
    </row>
    <row r="243" spans="1:17" x14ac:dyDescent="0.25">
      <c r="A243" s="2" t="s">
        <v>3025</v>
      </c>
      <c r="B243" s="53" t="s">
        <v>833</v>
      </c>
      <c r="C243" s="53" t="s">
        <v>834</v>
      </c>
      <c r="D243" s="83">
        <v>4</v>
      </c>
      <c r="E243" s="53">
        <v>0.85167999999999999</v>
      </c>
      <c r="F243" s="53">
        <v>0.82174999999999998</v>
      </c>
      <c r="G243" s="53">
        <v>-1.0933600000000001</v>
      </c>
      <c r="H243" s="53">
        <v>0.61919000000000002</v>
      </c>
      <c r="I243" s="53">
        <v>0.47416999999999998</v>
      </c>
      <c r="J243" s="53"/>
      <c r="K243" s="53"/>
      <c r="L243" s="33"/>
      <c r="M243" s="33"/>
      <c r="N243" s="33"/>
      <c r="O243" s="33"/>
      <c r="P243" s="53" t="s">
        <v>680</v>
      </c>
      <c r="Q243">
        <f>VLOOKUP(P243,GroupLabels!$E:$K,7,FALSE)</f>
        <v>0</v>
      </c>
    </row>
    <row r="244" spans="1:17" x14ac:dyDescent="0.25">
      <c r="A244" s="2" t="s">
        <v>3072</v>
      </c>
      <c r="B244" s="53" t="s">
        <v>819</v>
      </c>
      <c r="C244" s="53" t="s">
        <v>820</v>
      </c>
      <c r="D244" s="83">
        <v>2</v>
      </c>
      <c r="E244" s="53">
        <v>0.80925000000000002</v>
      </c>
      <c r="F244" s="53">
        <v>0.61763000000000001</v>
      </c>
      <c r="G244" s="53"/>
      <c r="H244" s="53"/>
      <c r="I244" s="53"/>
      <c r="J244" s="53"/>
      <c r="K244" s="53"/>
      <c r="L244" s="33"/>
      <c r="M244" s="33"/>
      <c r="N244" s="33"/>
      <c r="O244" s="33"/>
      <c r="P244" s="53" t="s">
        <v>684</v>
      </c>
      <c r="Q244">
        <f>VLOOKUP(P244,GroupLabels!$E:$K,7,FALSE)</f>
        <v>1</v>
      </c>
    </row>
    <row r="245" spans="1:17" x14ac:dyDescent="0.25">
      <c r="A245" s="2" t="s">
        <v>3072</v>
      </c>
      <c r="B245" s="53" t="s">
        <v>819</v>
      </c>
      <c r="C245" s="53" t="s">
        <v>820</v>
      </c>
      <c r="D245" s="83">
        <v>2</v>
      </c>
      <c r="E245" s="53">
        <v>0.80925000000000002</v>
      </c>
      <c r="F245" s="53">
        <v>0.61763000000000001</v>
      </c>
      <c r="G245" s="53"/>
      <c r="H245" s="53"/>
      <c r="I245" s="53"/>
      <c r="J245" s="53"/>
      <c r="K245" s="53"/>
      <c r="L245" s="33"/>
      <c r="M245" s="33"/>
      <c r="N245" s="33"/>
      <c r="O245" s="33"/>
      <c r="P245" s="53" t="s">
        <v>684</v>
      </c>
      <c r="Q245">
        <f>VLOOKUP(P245,GroupLabels!$E:$K,7,FALSE)</f>
        <v>1</v>
      </c>
    </row>
    <row r="246" spans="1:17" x14ac:dyDescent="0.25">
      <c r="A246" s="2" t="s">
        <v>3072</v>
      </c>
      <c r="B246" s="53" t="s">
        <v>837</v>
      </c>
      <c r="C246" s="53" t="s">
        <v>838</v>
      </c>
      <c r="D246" s="83">
        <v>4</v>
      </c>
      <c r="E246" s="53">
        <v>0.18473999999999999</v>
      </c>
      <c r="F246" s="53">
        <v>1.0154399999999999</v>
      </c>
      <c r="G246" s="53">
        <v>0.44425999999999999</v>
      </c>
      <c r="H246" s="53">
        <v>0.49722</v>
      </c>
      <c r="I246" s="53">
        <v>-0.94147999999999998</v>
      </c>
      <c r="J246" s="53"/>
      <c r="K246" s="53"/>
      <c r="L246" s="33"/>
      <c r="M246" s="33"/>
      <c r="N246" s="33"/>
      <c r="O246" s="33"/>
      <c r="P246" s="53" t="s">
        <v>684</v>
      </c>
      <c r="Q246">
        <f>VLOOKUP(P246,GroupLabels!$E:$K,7,FALSE)</f>
        <v>1</v>
      </c>
    </row>
    <row r="247" spans="1:17" x14ac:dyDescent="0.25">
      <c r="A247" s="2" t="s">
        <v>2932</v>
      </c>
      <c r="B247" s="53" t="s">
        <v>825</v>
      </c>
      <c r="C247" s="53" t="s">
        <v>826</v>
      </c>
      <c r="D247" s="83">
        <v>2</v>
      </c>
      <c r="E247" s="53">
        <v>0.93581000000000003</v>
      </c>
      <c r="F247" s="53">
        <v>-1.9101399999999999</v>
      </c>
      <c r="G247" s="53"/>
      <c r="H247" s="53"/>
      <c r="I247" s="53"/>
      <c r="J247" s="53"/>
      <c r="K247" s="53"/>
      <c r="L247" s="33"/>
      <c r="M247" s="33"/>
      <c r="N247" s="33"/>
      <c r="O247" s="33"/>
      <c r="P247" s="53" t="s">
        <v>685</v>
      </c>
      <c r="Q247">
        <f>VLOOKUP(P247,GroupLabels!$E:$K,7,FALSE)</f>
        <v>1</v>
      </c>
    </row>
    <row r="248" spans="1:17" x14ac:dyDescent="0.25">
      <c r="A248" s="2" t="s">
        <v>3091</v>
      </c>
      <c r="B248" s="53" t="s">
        <v>819</v>
      </c>
      <c r="C248" s="53" t="s">
        <v>820</v>
      </c>
      <c r="D248" s="83">
        <v>2</v>
      </c>
      <c r="E248" s="53">
        <v>0.80925000000000002</v>
      </c>
      <c r="F248" s="53">
        <v>0.61763000000000001</v>
      </c>
      <c r="G248" s="53"/>
      <c r="H248" s="53"/>
      <c r="I248" s="53"/>
      <c r="J248" s="53"/>
      <c r="K248" s="53"/>
      <c r="L248" s="33"/>
      <c r="M248" s="33"/>
      <c r="N248" s="33"/>
      <c r="O248" s="33"/>
      <c r="P248" s="53" t="s">
        <v>686</v>
      </c>
      <c r="Q248">
        <f>VLOOKUP(P248,GroupLabels!$E:$K,7,FALSE)</f>
        <v>1</v>
      </c>
    </row>
    <row r="249" spans="1:17" x14ac:dyDescent="0.25">
      <c r="A249" s="2" t="s">
        <v>3081</v>
      </c>
      <c r="B249" s="53" t="s">
        <v>819</v>
      </c>
      <c r="C249" s="53" t="s">
        <v>820</v>
      </c>
      <c r="D249" s="83">
        <v>2</v>
      </c>
      <c r="E249" s="53">
        <v>0.80925000000000002</v>
      </c>
      <c r="F249" s="53">
        <v>0.61763000000000001</v>
      </c>
      <c r="G249" s="53"/>
      <c r="H249" s="53"/>
      <c r="I249" s="53"/>
      <c r="J249" s="53"/>
      <c r="K249" s="53"/>
      <c r="L249" s="33"/>
      <c r="M249" s="33"/>
      <c r="N249" s="33"/>
      <c r="O249" s="33"/>
      <c r="P249" s="53" t="s">
        <v>690</v>
      </c>
      <c r="Q249">
        <f>VLOOKUP(P249,GroupLabels!$E:$K,7,FALSE)</f>
        <v>1</v>
      </c>
    </row>
    <row r="250" spans="1:17" x14ac:dyDescent="0.25">
      <c r="A250" s="2" t="s">
        <v>2964</v>
      </c>
      <c r="B250" s="53" t="s">
        <v>819</v>
      </c>
      <c r="C250" s="53" t="s">
        <v>820</v>
      </c>
      <c r="D250" s="83">
        <v>2</v>
      </c>
      <c r="E250" s="53">
        <v>0.92198000000000002</v>
      </c>
      <c r="F250" s="53">
        <v>0.87680999999999998</v>
      </c>
      <c r="G250" s="53"/>
      <c r="H250" s="53"/>
      <c r="I250" s="53"/>
      <c r="J250" s="53"/>
      <c r="K250" s="53"/>
      <c r="L250" s="33"/>
      <c r="M250" s="33"/>
      <c r="N250" s="33"/>
      <c r="O250" s="33"/>
      <c r="P250" s="53" t="s">
        <v>691</v>
      </c>
      <c r="Q250">
        <f>VLOOKUP(P250,GroupLabels!$E:$K,7,FALSE)</f>
        <v>1</v>
      </c>
    </row>
    <row r="251" spans="1:17" x14ac:dyDescent="0.25">
      <c r="A251" s="2" t="s">
        <v>3282</v>
      </c>
      <c r="B251" s="53" t="s">
        <v>823</v>
      </c>
      <c r="C251" s="53" t="s">
        <v>824</v>
      </c>
      <c r="D251" s="83">
        <v>2</v>
      </c>
      <c r="E251" s="53">
        <v>0.65651000000000004</v>
      </c>
      <c r="F251" s="53">
        <v>0.52805000000000002</v>
      </c>
      <c r="G251" s="53"/>
      <c r="H251" s="53"/>
      <c r="I251" s="53"/>
      <c r="J251" s="53"/>
      <c r="K251" s="53"/>
      <c r="L251" s="33"/>
      <c r="M251" s="33"/>
      <c r="N251" s="33"/>
      <c r="O251" s="33"/>
      <c r="P251" s="53" t="s">
        <v>693</v>
      </c>
      <c r="Q251">
        <f>VLOOKUP(P251,GroupLabels!$E:$K,7,FALSE)</f>
        <v>0</v>
      </c>
    </row>
    <row r="252" spans="1:17" x14ac:dyDescent="0.25">
      <c r="A252" s="2" t="s">
        <v>3257</v>
      </c>
      <c r="B252" s="53" t="s">
        <v>807</v>
      </c>
      <c r="C252" s="53" t="s">
        <v>808</v>
      </c>
      <c r="D252" s="83">
        <v>2</v>
      </c>
      <c r="E252" s="53">
        <v>0.67542000000000002</v>
      </c>
      <c r="F252" s="53">
        <v>-1.9946999999999999</v>
      </c>
      <c r="G252" s="53"/>
      <c r="H252" s="53"/>
      <c r="I252" s="53"/>
      <c r="J252" s="53"/>
      <c r="K252" s="53"/>
      <c r="L252" s="33"/>
      <c r="M252" s="33"/>
      <c r="N252" s="33"/>
      <c r="O252" s="33"/>
      <c r="P252" s="53" t="s">
        <v>695</v>
      </c>
      <c r="Q252">
        <f>VLOOKUP(P252,GroupLabels!$E:$K,7,FALSE)</f>
        <v>1</v>
      </c>
    </row>
    <row r="253" spans="1:17" x14ac:dyDescent="0.25">
      <c r="A253" s="2" t="s">
        <v>3257</v>
      </c>
      <c r="B253" s="53" t="s">
        <v>823</v>
      </c>
      <c r="C253" s="53" t="s">
        <v>824</v>
      </c>
      <c r="D253" s="83">
        <v>2</v>
      </c>
      <c r="E253" s="53">
        <v>1.2871300000000001</v>
      </c>
      <c r="F253" s="53">
        <v>-5.5994599999999997</v>
      </c>
      <c r="G253" s="53"/>
      <c r="H253" s="53"/>
      <c r="I253" s="53"/>
      <c r="J253" s="53"/>
      <c r="K253" s="53"/>
      <c r="L253" s="33"/>
      <c r="M253" s="33"/>
      <c r="N253" s="33"/>
      <c r="O253" s="33"/>
      <c r="P253" s="53" t="s">
        <v>695</v>
      </c>
      <c r="Q253">
        <f>VLOOKUP(P253,GroupLabels!$E:$K,7,FALSE)</f>
        <v>1</v>
      </c>
    </row>
    <row r="254" spans="1:17" x14ac:dyDescent="0.25">
      <c r="A254" s="2" t="s">
        <v>2895</v>
      </c>
      <c r="B254" s="53" t="s">
        <v>783</v>
      </c>
      <c r="C254" s="53" t="s">
        <v>784</v>
      </c>
      <c r="D254" s="83">
        <v>2</v>
      </c>
      <c r="E254" s="53">
        <v>0.53302000000000005</v>
      </c>
      <c r="F254" s="53">
        <v>-0.87856000000000001</v>
      </c>
      <c r="G254" s="53"/>
      <c r="H254" s="53"/>
      <c r="I254" s="53"/>
      <c r="J254" s="53"/>
      <c r="K254" s="53"/>
      <c r="L254" s="33"/>
      <c r="M254" s="33"/>
      <c r="N254" s="33"/>
      <c r="O254" s="33"/>
      <c r="P254" s="53" t="s">
        <v>697</v>
      </c>
      <c r="Q254">
        <f>VLOOKUP(P254,GroupLabels!$E:$K,7,FALSE)</f>
        <v>0</v>
      </c>
    </row>
    <row r="255" spans="1:17" x14ac:dyDescent="0.25">
      <c r="A255" s="2" t="s">
        <v>2895</v>
      </c>
      <c r="B255" s="53" t="s">
        <v>813</v>
      </c>
      <c r="C255" s="53" t="s">
        <v>814</v>
      </c>
      <c r="D255" s="83">
        <v>2</v>
      </c>
      <c r="E255" s="53">
        <v>0.39561000000000002</v>
      </c>
      <c r="F255" s="53">
        <v>-2.1337600000000001</v>
      </c>
      <c r="G255" s="53"/>
      <c r="H255" s="53"/>
      <c r="I255" s="53"/>
      <c r="J255" s="53"/>
      <c r="K255" s="53"/>
      <c r="L255" s="33"/>
      <c r="M255" s="33"/>
      <c r="N255" s="33"/>
      <c r="O255" s="33"/>
      <c r="P255" s="53" t="s">
        <v>697</v>
      </c>
      <c r="Q255">
        <f>VLOOKUP(P255,GroupLabels!$E:$K,7,FALSE)</f>
        <v>0</v>
      </c>
    </row>
    <row r="256" spans="1:17" x14ac:dyDescent="0.25">
      <c r="A256" s="2" t="s">
        <v>2895</v>
      </c>
      <c r="B256" s="53" t="s">
        <v>817</v>
      </c>
      <c r="C256" s="53" t="s">
        <v>818</v>
      </c>
      <c r="D256" s="83">
        <v>2</v>
      </c>
      <c r="E256" s="53">
        <v>0.76834000000000002</v>
      </c>
      <c r="F256" s="53">
        <v>-0.23768</v>
      </c>
      <c r="G256" s="53"/>
      <c r="H256" s="53"/>
      <c r="I256" s="53"/>
      <c r="J256" s="53"/>
      <c r="K256" s="53"/>
      <c r="L256" s="33"/>
      <c r="M256" s="33"/>
      <c r="N256" s="33"/>
      <c r="O256" s="33"/>
      <c r="P256" s="53" t="s">
        <v>697</v>
      </c>
      <c r="Q256">
        <f>VLOOKUP(P256,GroupLabels!$E:$K,7,FALSE)</f>
        <v>0</v>
      </c>
    </row>
    <row r="257" spans="1:17" x14ac:dyDescent="0.25">
      <c r="A257" s="2" t="s">
        <v>2895</v>
      </c>
      <c r="B257" s="53" t="s">
        <v>825</v>
      </c>
      <c r="C257" s="53" t="s">
        <v>826</v>
      </c>
      <c r="D257" s="83">
        <v>2</v>
      </c>
      <c r="E257" s="53">
        <v>0.93581000000000003</v>
      </c>
      <c r="F257" s="53">
        <v>-1.9101399999999999</v>
      </c>
      <c r="G257" s="53"/>
      <c r="H257" s="53"/>
      <c r="I257" s="53"/>
      <c r="J257" s="53"/>
      <c r="K257" s="53"/>
      <c r="L257" s="33"/>
      <c r="M257" s="33"/>
      <c r="N257" s="33"/>
      <c r="O257" s="33"/>
      <c r="P257" s="53" t="s">
        <v>697</v>
      </c>
      <c r="Q257">
        <f>VLOOKUP(P257,GroupLabels!$E:$K,7,FALSE)</f>
        <v>0</v>
      </c>
    </row>
    <row r="258" spans="1:17" x14ac:dyDescent="0.25">
      <c r="A258" s="2" t="s">
        <v>2895</v>
      </c>
      <c r="B258" s="53" t="s">
        <v>829</v>
      </c>
      <c r="C258" s="53" t="s">
        <v>830</v>
      </c>
      <c r="D258" s="83">
        <v>2</v>
      </c>
      <c r="E258" s="53">
        <v>0.49742999999999998</v>
      </c>
      <c r="F258" s="53">
        <v>-0.67308000000000001</v>
      </c>
      <c r="G258" s="53"/>
      <c r="H258" s="53"/>
      <c r="I258" s="53"/>
      <c r="J258" s="53"/>
      <c r="K258" s="53"/>
      <c r="L258" s="33"/>
      <c r="M258" s="33"/>
      <c r="N258" s="33"/>
      <c r="O258" s="33"/>
      <c r="P258" s="53" t="s">
        <v>697</v>
      </c>
      <c r="Q258">
        <f>VLOOKUP(P258,GroupLabels!$E:$K,7,FALSE)</f>
        <v>0</v>
      </c>
    </row>
    <row r="259" spans="1:17" x14ac:dyDescent="0.25">
      <c r="A259" s="2" t="s">
        <v>2895</v>
      </c>
      <c r="B259" s="53" t="s">
        <v>839</v>
      </c>
      <c r="C259" s="53" t="s">
        <v>840</v>
      </c>
      <c r="D259" s="83">
        <v>4</v>
      </c>
      <c r="E259" s="53">
        <v>0.38258999999999999</v>
      </c>
      <c r="F259" s="53">
        <v>1.11971</v>
      </c>
      <c r="G259" s="53">
        <v>0.71453999999999995</v>
      </c>
      <c r="H259" s="53">
        <v>9.2200000000000008E-3</v>
      </c>
      <c r="I259" s="53">
        <v>-0.72375999999999996</v>
      </c>
      <c r="J259" s="53"/>
      <c r="K259" s="53"/>
      <c r="L259" s="33"/>
      <c r="M259" s="33"/>
      <c r="N259" s="33"/>
      <c r="O259" s="33"/>
      <c r="P259" s="53" t="s">
        <v>697</v>
      </c>
      <c r="Q259">
        <f>VLOOKUP(P259,GroupLabels!$E:$K,7,FALSE)</f>
        <v>0</v>
      </c>
    </row>
    <row r="260" spans="1:17" x14ac:dyDescent="0.25">
      <c r="A260" s="2" t="s">
        <v>2895</v>
      </c>
      <c r="B260" s="53" t="s">
        <v>841</v>
      </c>
      <c r="C260" s="53" t="s">
        <v>842</v>
      </c>
      <c r="D260" s="83">
        <v>2</v>
      </c>
      <c r="E260" s="53">
        <v>0.59926999999999997</v>
      </c>
      <c r="F260" s="53">
        <v>-0.14065</v>
      </c>
      <c r="G260" s="53"/>
      <c r="H260" s="53"/>
      <c r="I260" s="53"/>
      <c r="J260" s="53"/>
      <c r="K260" s="53"/>
      <c r="L260" s="33"/>
      <c r="M260" s="33"/>
      <c r="N260" s="33"/>
      <c r="O260" s="33"/>
      <c r="P260" s="53" t="s">
        <v>697</v>
      </c>
      <c r="Q260">
        <f>VLOOKUP(P260,GroupLabels!$E:$K,7,FALSE)</f>
        <v>0</v>
      </c>
    </row>
    <row r="261" spans="1:17" x14ac:dyDescent="0.25">
      <c r="A261" s="2" t="s">
        <v>2979</v>
      </c>
      <c r="B261" s="53" t="s">
        <v>783</v>
      </c>
      <c r="C261" s="53" t="s">
        <v>784</v>
      </c>
      <c r="D261" s="83">
        <v>2</v>
      </c>
      <c r="E261" s="53">
        <v>0.53302000000000005</v>
      </c>
      <c r="F261" s="53">
        <v>-0.87856000000000001</v>
      </c>
      <c r="G261" s="53"/>
      <c r="H261" s="53"/>
      <c r="I261" s="53"/>
      <c r="J261" s="53"/>
      <c r="K261" s="53"/>
      <c r="L261" s="33"/>
      <c r="M261" s="33"/>
      <c r="N261" s="33"/>
      <c r="O261" s="33"/>
      <c r="P261" s="53" t="s">
        <v>698</v>
      </c>
      <c r="Q261">
        <f>VLOOKUP(P261,GroupLabels!$E:$K,7,FALSE)</f>
        <v>0</v>
      </c>
    </row>
    <row r="262" spans="1:17" x14ac:dyDescent="0.25">
      <c r="A262" s="2" t="s">
        <v>2979</v>
      </c>
      <c r="B262" s="53" t="s">
        <v>829</v>
      </c>
      <c r="C262" s="53" t="s">
        <v>830</v>
      </c>
      <c r="D262" s="83">
        <v>2</v>
      </c>
      <c r="E262" s="53">
        <v>0.49742999999999998</v>
      </c>
      <c r="F262" s="53">
        <v>-0.67308000000000001</v>
      </c>
      <c r="G262" s="53"/>
      <c r="H262" s="53"/>
      <c r="I262" s="53"/>
      <c r="J262" s="53"/>
      <c r="K262" s="53"/>
      <c r="L262" s="33"/>
      <c r="M262" s="33"/>
      <c r="N262" s="33"/>
      <c r="O262" s="33"/>
      <c r="P262" s="53" t="s">
        <v>698</v>
      </c>
      <c r="Q262">
        <f>VLOOKUP(P262,GroupLabels!$E:$K,7,FALSE)</f>
        <v>0</v>
      </c>
    </row>
    <row r="263" spans="1:17" x14ac:dyDescent="0.25">
      <c r="A263" s="2" t="s">
        <v>3065</v>
      </c>
      <c r="B263" s="53" t="s">
        <v>787</v>
      </c>
      <c r="C263" s="53" t="s">
        <v>788</v>
      </c>
      <c r="D263" s="83">
        <v>2</v>
      </c>
      <c r="E263" s="53">
        <v>0.33260000000000001</v>
      </c>
      <c r="F263" s="53">
        <v>-2.4759199999999999</v>
      </c>
      <c r="G263" s="53"/>
      <c r="H263" s="53"/>
      <c r="I263" s="53"/>
      <c r="J263" s="53"/>
      <c r="K263" s="53"/>
      <c r="L263" s="33"/>
      <c r="M263" s="33"/>
      <c r="N263" s="33"/>
      <c r="O263" s="33"/>
      <c r="P263" s="53" t="s">
        <v>703</v>
      </c>
      <c r="Q263">
        <f>VLOOKUP(P263,GroupLabels!$E:$K,7,FALSE)</f>
        <v>0</v>
      </c>
    </row>
    <row r="264" spans="1:17" x14ac:dyDescent="0.25">
      <c r="A264" s="2" t="s">
        <v>3065</v>
      </c>
      <c r="B264" s="53" t="s">
        <v>805</v>
      </c>
      <c r="C264" s="53" t="s">
        <v>806</v>
      </c>
      <c r="D264" s="83">
        <v>2</v>
      </c>
      <c r="E264" s="53">
        <v>1.2587600000000001</v>
      </c>
      <c r="F264" s="53">
        <v>-2.0873599999999999</v>
      </c>
      <c r="G264" s="53"/>
      <c r="H264" s="53"/>
      <c r="I264" s="53"/>
      <c r="J264" s="53"/>
      <c r="K264" s="53"/>
      <c r="L264" s="33"/>
      <c r="M264" s="33"/>
      <c r="N264" s="33"/>
      <c r="O264" s="33"/>
      <c r="P264" s="53" t="s">
        <v>703</v>
      </c>
      <c r="Q264">
        <f>VLOOKUP(P264,GroupLabels!$E:$K,7,FALSE)</f>
        <v>0</v>
      </c>
    </row>
    <row r="265" spans="1:17" x14ac:dyDescent="0.25">
      <c r="A265" s="2" t="s">
        <v>3272</v>
      </c>
      <c r="B265" s="53" t="s">
        <v>813</v>
      </c>
      <c r="C265" s="53" t="s">
        <v>814</v>
      </c>
      <c r="D265" s="83">
        <v>2</v>
      </c>
      <c r="E265" s="53">
        <v>0.39561000000000002</v>
      </c>
      <c r="F265" s="53">
        <v>-2.1337600000000001</v>
      </c>
      <c r="G265" s="53"/>
      <c r="H265" s="53"/>
      <c r="I265" s="53"/>
      <c r="J265" s="53"/>
      <c r="K265" s="53"/>
      <c r="L265" s="33"/>
      <c r="M265" s="33"/>
      <c r="N265" s="33"/>
      <c r="O265" s="33"/>
      <c r="P265" s="53" t="s">
        <v>707</v>
      </c>
      <c r="Q265">
        <f>VLOOKUP(P265,GroupLabels!$E:$K,7,FALSE)</f>
        <v>0</v>
      </c>
    </row>
    <row r="266" spans="1:17" x14ac:dyDescent="0.25">
      <c r="A266" s="4" t="s">
        <v>759</v>
      </c>
      <c r="B266" s="78" t="s">
        <v>789</v>
      </c>
      <c r="C266" s="78" t="s">
        <v>790</v>
      </c>
      <c r="D266" s="84">
        <v>2</v>
      </c>
      <c r="E266" s="78">
        <v>0.92191000000000001</v>
      </c>
      <c r="F266" s="78">
        <v>-2.4391600000000002</v>
      </c>
      <c r="G266" s="78"/>
      <c r="H266" s="78"/>
      <c r="I266" s="78"/>
      <c r="J266" s="78"/>
      <c r="K266" s="78"/>
      <c r="L266" s="33"/>
      <c r="M266" s="33"/>
      <c r="N266" s="33"/>
      <c r="O266" s="33"/>
      <c r="P266" s="78" t="s">
        <v>708</v>
      </c>
      <c r="Q266">
        <f>VLOOKUP(P266,GroupLabels!$E:$K,7,FALSE)</f>
        <v>0</v>
      </c>
    </row>
  </sheetData>
  <sheetProtection formatColumns="0" formatRows="0"/>
  <sortState xmlns:xlrd2="http://schemas.microsoft.com/office/spreadsheetml/2017/richdata2" ref="A44:R152">
    <sortCondition ref="A44:A152"/>
    <sortCondition ref="B44:B152"/>
  </sortState>
  <hyperlinks>
    <hyperlink ref="A1" location="TOC!A1" display="Table of Contents" xr:uid="{E82DF4E3-7CA3-4494-AFFD-4D13501845F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D116"/>
  <sheetViews>
    <sheetView zoomScale="90" zoomScaleNormal="90" workbookViewId="0">
      <pane ySplit="6" topLeftCell="A65" activePane="bottomLeft" state="frozen"/>
      <selection pane="bottomLeft"/>
    </sheetView>
  </sheetViews>
  <sheetFormatPr defaultColWidth="8.7109375" defaultRowHeight="15" x14ac:dyDescent="0.25"/>
  <cols>
    <col min="1" max="1" width="15.140625" style="11" customWidth="1"/>
    <col min="2" max="2" width="110.140625" style="12" customWidth="1"/>
    <col min="3" max="3" width="52.42578125" style="11" customWidth="1"/>
    <col min="4" max="4" width="8.7109375" style="11" customWidth="1"/>
    <col min="5" max="16384" width="8.7109375" style="1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34</v>
      </c>
      <c r="B3" s="33"/>
      <c r="C3" s="33"/>
      <c r="D3" s="33"/>
    </row>
    <row r="4" spans="1:4" x14ac:dyDescent="0.25">
      <c r="A4" s="34" t="s">
        <v>35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772</v>
      </c>
      <c r="B6" s="65" t="s">
        <v>773</v>
      </c>
      <c r="C6" s="65" t="s">
        <v>897</v>
      </c>
      <c r="D6" s="33"/>
    </row>
    <row r="7" spans="1:4" ht="16.5" customHeight="1" x14ac:dyDescent="0.25">
      <c r="A7" s="176" t="s">
        <v>783</v>
      </c>
      <c r="B7" s="177" t="s">
        <v>784</v>
      </c>
      <c r="C7" s="85" t="s">
        <v>898</v>
      </c>
      <c r="D7" s="33"/>
    </row>
    <row r="8" spans="1:4" ht="16.5" customHeight="1" x14ac:dyDescent="0.25">
      <c r="A8" s="174"/>
      <c r="B8" s="174"/>
      <c r="C8" s="85" t="s">
        <v>899</v>
      </c>
      <c r="D8" s="33"/>
    </row>
    <row r="9" spans="1:4" ht="16.5" customHeight="1" x14ac:dyDescent="0.25">
      <c r="A9" s="173" t="s">
        <v>785</v>
      </c>
      <c r="B9" s="175" t="s">
        <v>786</v>
      </c>
      <c r="C9" s="85" t="s">
        <v>898</v>
      </c>
      <c r="D9" s="33"/>
    </row>
    <row r="10" spans="1:4" ht="16.5" customHeight="1" x14ac:dyDescent="0.25">
      <c r="A10" s="174"/>
      <c r="B10" s="174"/>
      <c r="C10" s="85" t="s">
        <v>899</v>
      </c>
      <c r="D10" s="33"/>
    </row>
    <row r="11" spans="1:4" ht="16.5" customHeight="1" x14ac:dyDescent="0.25">
      <c r="A11" s="173" t="s">
        <v>787</v>
      </c>
      <c r="B11" s="175" t="s">
        <v>788</v>
      </c>
      <c r="C11" s="85" t="s">
        <v>898</v>
      </c>
      <c r="D11" s="33"/>
    </row>
    <row r="12" spans="1:4" ht="16.5" customHeight="1" x14ac:dyDescent="0.25">
      <c r="A12" s="174"/>
      <c r="B12" s="174"/>
      <c r="C12" s="85" t="s">
        <v>899</v>
      </c>
      <c r="D12" s="33"/>
    </row>
    <row r="13" spans="1:4" ht="15" customHeight="1" x14ac:dyDescent="0.25">
      <c r="A13" s="173" t="s">
        <v>789</v>
      </c>
      <c r="B13" s="175" t="s">
        <v>790</v>
      </c>
      <c r="C13" s="85" t="s">
        <v>898</v>
      </c>
      <c r="D13" s="33"/>
    </row>
    <row r="14" spans="1:4" ht="15" customHeight="1" x14ac:dyDescent="0.25">
      <c r="A14" s="174"/>
      <c r="B14" s="174"/>
      <c r="C14" s="85" t="s">
        <v>899</v>
      </c>
      <c r="D14" s="33"/>
    </row>
    <row r="15" spans="1:4" ht="15" customHeight="1" x14ac:dyDescent="0.25">
      <c r="A15" s="173" t="s">
        <v>791</v>
      </c>
      <c r="B15" s="175" t="s">
        <v>900</v>
      </c>
      <c r="C15" s="85" t="s">
        <v>898</v>
      </c>
      <c r="D15" s="33"/>
    </row>
    <row r="16" spans="1:4" ht="15" customHeight="1" x14ac:dyDescent="0.25">
      <c r="A16" s="174"/>
      <c r="B16" s="174"/>
      <c r="C16" s="85" t="s">
        <v>899</v>
      </c>
      <c r="D16" s="33"/>
    </row>
    <row r="17" spans="1:4" ht="15" customHeight="1" x14ac:dyDescent="0.25">
      <c r="A17" s="173" t="s">
        <v>793</v>
      </c>
      <c r="B17" s="175" t="s">
        <v>794</v>
      </c>
      <c r="C17" s="85" t="s">
        <v>898</v>
      </c>
      <c r="D17" s="33"/>
    </row>
    <row r="18" spans="1:4" ht="15" customHeight="1" x14ac:dyDescent="0.25">
      <c r="A18" s="174"/>
      <c r="B18" s="174"/>
      <c r="C18" s="85" t="s">
        <v>899</v>
      </c>
      <c r="D18" s="33"/>
    </row>
    <row r="19" spans="1:4" ht="15" customHeight="1" x14ac:dyDescent="0.25">
      <c r="A19" s="173" t="s">
        <v>795</v>
      </c>
      <c r="B19" s="175" t="s">
        <v>796</v>
      </c>
      <c r="C19" s="85" t="s">
        <v>898</v>
      </c>
      <c r="D19" s="33"/>
    </row>
    <row r="20" spans="1:4" ht="15" customHeight="1" x14ac:dyDescent="0.25">
      <c r="A20" s="174"/>
      <c r="B20" s="174"/>
      <c r="C20" s="85" t="s">
        <v>899</v>
      </c>
      <c r="D20" s="33"/>
    </row>
    <row r="21" spans="1:4" ht="15" customHeight="1" x14ac:dyDescent="0.25">
      <c r="A21" s="173" t="s">
        <v>797</v>
      </c>
      <c r="B21" s="175" t="s">
        <v>798</v>
      </c>
      <c r="C21" s="85" t="s">
        <v>898</v>
      </c>
      <c r="D21" s="33"/>
    </row>
    <row r="22" spans="1:4" ht="15" customHeight="1" x14ac:dyDescent="0.25">
      <c r="A22" s="174"/>
      <c r="B22" s="174"/>
      <c r="C22" s="85" t="s">
        <v>899</v>
      </c>
      <c r="D22" s="33"/>
    </row>
    <row r="23" spans="1:4" ht="15" customHeight="1" x14ac:dyDescent="0.25">
      <c r="A23" s="173" t="s">
        <v>799</v>
      </c>
      <c r="B23" s="175" t="s">
        <v>800</v>
      </c>
      <c r="C23" s="85" t="s">
        <v>898</v>
      </c>
      <c r="D23" s="33"/>
    </row>
    <row r="24" spans="1:4" ht="15" customHeight="1" x14ac:dyDescent="0.25">
      <c r="A24" s="174"/>
      <c r="B24" s="174"/>
      <c r="C24" s="85" t="s">
        <v>899</v>
      </c>
      <c r="D24" s="33"/>
    </row>
    <row r="25" spans="1:4" ht="15" customHeight="1" x14ac:dyDescent="0.25">
      <c r="A25" s="173" t="s">
        <v>801</v>
      </c>
      <c r="B25" s="175" t="s">
        <v>802</v>
      </c>
      <c r="C25" s="85" t="s">
        <v>898</v>
      </c>
      <c r="D25" s="33"/>
    </row>
    <row r="26" spans="1:4" ht="15" customHeight="1" x14ac:dyDescent="0.25">
      <c r="A26" s="174"/>
      <c r="B26" s="174"/>
      <c r="C26" s="85" t="s">
        <v>899</v>
      </c>
      <c r="D26" s="33"/>
    </row>
    <row r="27" spans="1:4" ht="15" customHeight="1" x14ac:dyDescent="0.25">
      <c r="A27" s="173" t="s">
        <v>803</v>
      </c>
      <c r="B27" s="175" t="s">
        <v>804</v>
      </c>
      <c r="C27" s="85" t="s">
        <v>898</v>
      </c>
      <c r="D27" s="33"/>
    </row>
    <row r="28" spans="1:4" ht="15" customHeight="1" x14ac:dyDescent="0.25">
      <c r="A28" s="174"/>
      <c r="B28" s="174"/>
      <c r="C28" s="85" t="s">
        <v>899</v>
      </c>
      <c r="D28" s="33"/>
    </row>
    <row r="29" spans="1:4" ht="15" customHeight="1" x14ac:dyDescent="0.25">
      <c r="A29" s="173" t="s">
        <v>805</v>
      </c>
      <c r="B29" s="175" t="s">
        <v>806</v>
      </c>
      <c r="C29" s="85" t="s">
        <v>898</v>
      </c>
      <c r="D29" s="33"/>
    </row>
    <row r="30" spans="1:4" ht="15" customHeight="1" x14ac:dyDescent="0.25">
      <c r="A30" s="174"/>
      <c r="B30" s="174"/>
      <c r="C30" s="85" t="s">
        <v>899</v>
      </c>
      <c r="D30" s="33"/>
    </row>
    <row r="31" spans="1:4" ht="15" customHeight="1" x14ac:dyDescent="0.25">
      <c r="A31" s="173" t="s">
        <v>807</v>
      </c>
      <c r="B31" s="175" t="s">
        <v>808</v>
      </c>
      <c r="C31" s="85" t="s">
        <v>898</v>
      </c>
      <c r="D31" s="33"/>
    </row>
    <row r="32" spans="1:4" ht="15" customHeight="1" x14ac:dyDescent="0.25">
      <c r="A32" s="174"/>
      <c r="B32" s="174"/>
      <c r="C32" s="85" t="s">
        <v>899</v>
      </c>
      <c r="D32" s="33"/>
    </row>
    <row r="33" spans="1:4" ht="15" customHeight="1" x14ac:dyDescent="0.25">
      <c r="A33" s="173" t="s">
        <v>809</v>
      </c>
      <c r="B33" s="175" t="s">
        <v>810</v>
      </c>
      <c r="C33" s="85" t="s">
        <v>898</v>
      </c>
      <c r="D33" s="33"/>
    </row>
    <row r="34" spans="1:4" ht="15" customHeight="1" x14ac:dyDescent="0.25">
      <c r="A34" s="174"/>
      <c r="B34" s="174"/>
      <c r="C34" s="85" t="s">
        <v>899</v>
      </c>
      <c r="D34" s="33"/>
    </row>
    <row r="35" spans="1:4" ht="15" customHeight="1" x14ac:dyDescent="0.25">
      <c r="A35" s="173" t="s">
        <v>811</v>
      </c>
      <c r="B35" s="175" t="s">
        <v>812</v>
      </c>
      <c r="C35" s="85" t="s">
        <v>898</v>
      </c>
      <c r="D35" s="33"/>
    </row>
    <row r="36" spans="1:4" ht="15" customHeight="1" x14ac:dyDescent="0.25">
      <c r="A36" s="174"/>
      <c r="B36" s="174"/>
      <c r="C36" s="85" t="s">
        <v>899</v>
      </c>
      <c r="D36" s="33"/>
    </row>
    <row r="37" spans="1:4" ht="15" customHeight="1" x14ac:dyDescent="0.25">
      <c r="A37" s="173" t="s">
        <v>813</v>
      </c>
      <c r="B37" s="175" t="s">
        <v>814</v>
      </c>
      <c r="C37" s="85" t="s">
        <v>898</v>
      </c>
      <c r="D37" s="33"/>
    </row>
    <row r="38" spans="1:4" ht="15" customHeight="1" x14ac:dyDescent="0.25">
      <c r="A38" s="174"/>
      <c r="B38" s="174"/>
      <c r="C38" s="85" t="s">
        <v>899</v>
      </c>
      <c r="D38" s="33"/>
    </row>
    <row r="39" spans="1:4" ht="15" customHeight="1" x14ac:dyDescent="0.25">
      <c r="A39" s="173" t="s">
        <v>815</v>
      </c>
      <c r="B39" s="175" t="s">
        <v>816</v>
      </c>
      <c r="C39" s="85" t="s">
        <v>898</v>
      </c>
      <c r="D39" s="33"/>
    </row>
    <row r="40" spans="1:4" ht="15" customHeight="1" x14ac:dyDescent="0.25">
      <c r="A40" s="174"/>
      <c r="B40" s="174"/>
      <c r="C40" s="85" t="s">
        <v>899</v>
      </c>
      <c r="D40" s="33"/>
    </row>
    <row r="41" spans="1:4" ht="15" customHeight="1" x14ac:dyDescent="0.25">
      <c r="A41" s="173" t="s">
        <v>817</v>
      </c>
      <c r="B41" s="175" t="s">
        <v>818</v>
      </c>
      <c r="C41" s="85" t="s">
        <v>898</v>
      </c>
      <c r="D41" s="33"/>
    </row>
    <row r="42" spans="1:4" ht="15" customHeight="1" x14ac:dyDescent="0.25">
      <c r="A42" s="174"/>
      <c r="B42" s="174"/>
      <c r="C42" s="85" t="s">
        <v>899</v>
      </c>
      <c r="D42" s="33"/>
    </row>
    <row r="43" spans="1:4" ht="15" customHeight="1" x14ac:dyDescent="0.25">
      <c r="A43" s="173" t="s">
        <v>819</v>
      </c>
      <c r="B43" s="175" t="s">
        <v>820</v>
      </c>
      <c r="C43" s="85" t="s">
        <v>898</v>
      </c>
      <c r="D43" s="33"/>
    </row>
    <row r="44" spans="1:4" ht="15" customHeight="1" x14ac:dyDescent="0.25">
      <c r="A44" s="174"/>
      <c r="B44" s="174"/>
      <c r="C44" s="85" t="s">
        <v>899</v>
      </c>
      <c r="D44" s="33"/>
    </row>
    <row r="45" spans="1:4" ht="15" customHeight="1" x14ac:dyDescent="0.25">
      <c r="A45" s="173" t="s">
        <v>821</v>
      </c>
      <c r="B45" s="175" t="s">
        <v>822</v>
      </c>
      <c r="C45" s="85" t="s">
        <v>898</v>
      </c>
      <c r="D45" s="33"/>
    </row>
    <row r="46" spans="1:4" ht="15" customHeight="1" x14ac:dyDescent="0.25">
      <c r="A46" s="174"/>
      <c r="B46" s="174"/>
      <c r="C46" s="85" t="s">
        <v>899</v>
      </c>
      <c r="D46" s="33"/>
    </row>
    <row r="47" spans="1:4" ht="15" customHeight="1" x14ac:dyDescent="0.25">
      <c r="A47" s="173" t="s">
        <v>823</v>
      </c>
      <c r="B47" s="175" t="s">
        <v>824</v>
      </c>
      <c r="C47" s="85" t="s">
        <v>898</v>
      </c>
      <c r="D47" s="33"/>
    </row>
    <row r="48" spans="1:4" ht="15" customHeight="1" x14ac:dyDescent="0.25">
      <c r="A48" s="174"/>
      <c r="B48" s="174"/>
      <c r="C48" s="85" t="s">
        <v>899</v>
      </c>
      <c r="D48" s="33"/>
    </row>
    <row r="49" spans="1:4" ht="15" customHeight="1" x14ac:dyDescent="0.25">
      <c r="A49" s="173" t="s">
        <v>825</v>
      </c>
      <c r="B49" s="175" t="s">
        <v>826</v>
      </c>
      <c r="C49" s="85" t="s">
        <v>898</v>
      </c>
      <c r="D49" s="33"/>
    </row>
    <row r="50" spans="1:4" ht="15" customHeight="1" x14ac:dyDescent="0.25">
      <c r="A50" s="174"/>
      <c r="B50" s="174"/>
      <c r="C50" s="85" t="s">
        <v>899</v>
      </c>
      <c r="D50" s="33"/>
    </row>
    <row r="51" spans="1:4" ht="15" customHeight="1" x14ac:dyDescent="0.25">
      <c r="A51" s="173" t="s">
        <v>827</v>
      </c>
      <c r="B51" s="175" t="s">
        <v>828</v>
      </c>
      <c r="C51" s="85" t="s">
        <v>898</v>
      </c>
      <c r="D51" s="33"/>
    </row>
    <row r="52" spans="1:4" ht="15" customHeight="1" x14ac:dyDescent="0.25">
      <c r="A52" s="174"/>
      <c r="B52" s="174"/>
      <c r="C52" s="85" t="s">
        <v>899</v>
      </c>
      <c r="D52" s="33"/>
    </row>
    <row r="53" spans="1:4" ht="15" customHeight="1" x14ac:dyDescent="0.25">
      <c r="A53" s="173" t="s">
        <v>829</v>
      </c>
      <c r="B53" s="175" t="s">
        <v>830</v>
      </c>
      <c r="C53" s="85" t="s">
        <v>898</v>
      </c>
      <c r="D53" s="33"/>
    </row>
    <row r="54" spans="1:4" ht="15" customHeight="1" x14ac:dyDescent="0.25">
      <c r="A54" s="174"/>
      <c r="B54" s="174"/>
      <c r="C54" s="85" t="s">
        <v>899</v>
      </c>
      <c r="D54" s="33"/>
    </row>
    <row r="55" spans="1:4" ht="15" customHeight="1" x14ac:dyDescent="0.25">
      <c r="A55" s="173" t="s">
        <v>831</v>
      </c>
      <c r="B55" s="175" t="s">
        <v>832</v>
      </c>
      <c r="C55" s="85" t="s">
        <v>898</v>
      </c>
      <c r="D55" s="33"/>
    </row>
    <row r="56" spans="1:4" ht="15" customHeight="1" x14ac:dyDescent="0.25">
      <c r="A56" s="174"/>
      <c r="B56" s="174"/>
      <c r="C56" s="85" t="s">
        <v>899</v>
      </c>
      <c r="D56" s="33"/>
    </row>
    <row r="57" spans="1:4" ht="15" customHeight="1" x14ac:dyDescent="0.25">
      <c r="A57" s="173" t="s">
        <v>833</v>
      </c>
      <c r="B57" s="175" t="s">
        <v>834</v>
      </c>
      <c r="C57" s="85" t="s">
        <v>901</v>
      </c>
      <c r="D57" s="33"/>
    </row>
    <row r="58" spans="1:4" ht="15" customHeight="1" x14ac:dyDescent="0.25">
      <c r="A58" s="174"/>
      <c r="B58" s="174"/>
      <c r="C58" s="85" t="s">
        <v>902</v>
      </c>
      <c r="D58" s="33"/>
    </row>
    <row r="59" spans="1:4" ht="15" customHeight="1" x14ac:dyDescent="0.25">
      <c r="A59" s="174"/>
      <c r="B59" s="174"/>
      <c r="C59" s="85" t="s">
        <v>903</v>
      </c>
      <c r="D59" s="33"/>
    </row>
    <row r="60" spans="1:4" ht="15" customHeight="1" x14ac:dyDescent="0.25">
      <c r="A60" s="174"/>
      <c r="B60" s="174"/>
      <c r="C60" s="85" t="s">
        <v>904</v>
      </c>
      <c r="D60" s="33"/>
    </row>
    <row r="61" spans="1:4" ht="15" customHeight="1" x14ac:dyDescent="0.25">
      <c r="A61" s="173" t="s">
        <v>835</v>
      </c>
      <c r="B61" s="175" t="s">
        <v>836</v>
      </c>
      <c r="C61" s="85" t="s">
        <v>901</v>
      </c>
      <c r="D61" s="33"/>
    </row>
    <row r="62" spans="1:4" ht="15" customHeight="1" x14ac:dyDescent="0.25">
      <c r="A62" s="174"/>
      <c r="B62" s="174"/>
      <c r="C62" s="85" t="s">
        <v>902</v>
      </c>
      <c r="D62" s="33"/>
    </row>
    <row r="63" spans="1:4" ht="15" customHeight="1" x14ac:dyDescent="0.25">
      <c r="A63" s="174"/>
      <c r="B63" s="174"/>
      <c r="C63" s="85" t="s">
        <v>903</v>
      </c>
      <c r="D63" s="33"/>
    </row>
    <row r="64" spans="1:4" ht="15" customHeight="1" x14ac:dyDescent="0.25">
      <c r="A64" s="174"/>
      <c r="B64" s="174"/>
      <c r="C64" s="85" t="s">
        <v>904</v>
      </c>
      <c r="D64" s="33"/>
    </row>
    <row r="65" spans="1:4" ht="15" customHeight="1" x14ac:dyDescent="0.25">
      <c r="A65" s="173" t="s">
        <v>837</v>
      </c>
      <c r="B65" s="175" t="s">
        <v>838</v>
      </c>
      <c r="C65" s="85" t="s">
        <v>901</v>
      </c>
      <c r="D65" s="33"/>
    </row>
    <row r="66" spans="1:4" ht="15" customHeight="1" x14ac:dyDescent="0.25">
      <c r="A66" s="174"/>
      <c r="B66" s="174"/>
      <c r="C66" s="85" t="s">
        <v>902</v>
      </c>
      <c r="D66" s="33"/>
    </row>
    <row r="67" spans="1:4" ht="15" customHeight="1" x14ac:dyDescent="0.25">
      <c r="A67" s="174"/>
      <c r="B67" s="174"/>
      <c r="C67" s="85" t="s">
        <v>903</v>
      </c>
      <c r="D67" s="33"/>
    </row>
    <row r="68" spans="1:4" ht="15" customHeight="1" x14ac:dyDescent="0.25">
      <c r="A68" s="174"/>
      <c r="B68" s="174"/>
      <c r="C68" s="85" t="s">
        <v>904</v>
      </c>
      <c r="D68" s="33"/>
    </row>
    <row r="69" spans="1:4" ht="15" customHeight="1" x14ac:dyDescent="0.25">
      <c r="A69" s="173" t="s">
        <v>839</v>
      </c>
      <c r="B69" s="175" t="s">
        <v>840</v>
      </c>
      <c r="C69" s="85" t="s">
        <v>901</v>
      </c>
      <c r="D69" s="33"/>
    </row>
    <row r="70" spans="1:4" ht="15" customHeight="1" x14ac:dyDescent="0.25">
      <c r="A70" s="174"/>
      <c r="B70" s="174"/>
      <c r="C70" s="85" t="s">
        <v>902</v>
      </c>
      <c r="D70" s="33"/>
    </row>
    <row r="71" spans="1:4" ht="15" customHeight="1" x14ac:dyDescent="0.25">
      <c r="A71" s="174"/>
      <c r="B71" s="174"/>
      <c r="C71" s="85" t="s">
        <v>903</v>
      </c>
      <c r="D71" s="33"/>
    </row>
    <row r="72" spans="1:4" ht="15" customHeight="1" x14ac:dyDescent="0.25">
      <c r="A72" s="174"/>
      <c r="B72" s="174"/>
      <c r="C72" s="85" t="s">
        <v>904</v>
      </c>
      <c r="D72" s="33"/>
    </row>
    <row r="73" spans="1:4" ht="15" customHeight="1" x14ac:dyDescent="0.25">
      <c r="A73" s="173" t="s">
        <v>841</v>
      </c>
      <c r="B73" s="175" t="s">
        <v>842</v>
      </c>
      <c r="C73" s="85" t="s">
        <v>901</v>
      </c>
      <c r="D73" s="33"/>
    </row>
    <row r="74" spans="1:4" ht="15" customHeight="1" x14ac:dyDescent="0.25">
      <c r="A74" s="174"/>
      <c r="B74" s="174"/>
      <c r="C74" s="85" t="s">
        <v>902</v>
      </c>
      <c r="D74" s="33"/>
    </row>
    <row r="75" spans="1:4" ht="16.5" customHeight="1" x14ac:dyDescent="0.25">
      <c r="A75" s="174"/>
      <c r="B75" s="174"/>
      <c r="C75" s="85" t="s">
        <v>905</v>
      </c>
      <c r="D75" s="33"/>
    </row>
    <row r="76" spans="1:4" ht="16.5" customHeight="1" x14ac:dyDescent="0.25">
      <c r="A76" s="174"/>
      <c r="B76" s="174"/>
      <c r="C76" s="85" t="s">
        <v>906</v>
      </c>
      <c r="D76" s="33"/>
    </row>
    <row r="77" spans="1:4" ht="16.5" customHeight="1" x14ac:dyDescent="0.25">
      <c r="A77" s="173" t="s">
        <v>856</v>
      </c>
      <c r="B77" s="175" t="s">
        <v>857</v>
      </c>
      <c r="C77" s="85" t="s">
        <v>901</v>
      </c>
      <c r="D77" s="33"/>
    </row>
    <row r="78" spans="1:4" ht="16.5" customHeight="1" x14ac:dyDescent="0.25">
      <c r="A78" s="174"/>
      <c r="B78" s="174"/>
      <c r="C78" s="85" t="s">
        <v>902</v>
      </c>
      <c r="D78" s="33"/>
    </row>
    <row r="79" spans="1:4" ht="16.5" customHeight="1" x14ac:dyDescent="0.25">
      <c r="A79" s="174"/>
      <c r="B79" s="174"/>
      <c r="C79" s="85" t="s">
        <v>903</v>
      </c>
      <c r="D79" s="33"/>
    </row>
    <row r="80" spans="1:4" ht="16.5" customHeight="1" x14ac:dyDescent="0.25">
      <c r="A80" s="174"/>
      <c r="B80" s="174"/>
      <c r="C80" s="85" t="s">
        <v>904</v>
      </c>
      <c r="D80" s="33"/>
    </row>
    <row r="81" spans="1:4" ht="16.5" customHeight="1" x14ac:dyDescent="0.25">
      <c r="A81" s="173" t="s">
        <v>858</v>
      </c>
      <c r="B81" s="175" t="s">
        <v>907</v>
      </c>
      <c r="C81" s="85" t="s">
        <v>901</v>
      </c>
      <c r="D81" s="33"/>
    </row>
    <row r="82" spans="1:4" ht="16.5" customHeight="1" x14ac:dyDescent="0.25">
      <c r="A82" s="174"/>
      <c r="B82" s="174"/>
      <c r="C82" s="85" t="s">
        <v>902</v>
      </c>
      <c r="D82" s="33"/>
    </row>
    <row r="83" spans="1:4" ht="16.5" customHeight="1" x14ac:dyDescent="0.25">
      <c r="A83" s="174"/>
      <c r="B83" s="174"/>
      <c r="C83" s="85" t="s">
        <v>903</v>
      </c>
      <c r="D83" s="33"/>
    </row>
    <row r="84" spans="1:4" ht="16.5" customHeight="1" x14ac:dyDescent="0.25">
      <c r="A84" s="174"/>
      <c r="B84" s="174"/>
      <c r="C84" s="85" t="s">
        <v>904</v>
      </c>
      <c r="D84" s="33"/>
    </row>
    <row r="85" spans="1:4" ht="16.5" customHeight="1" x14ac:dyDescent="0.25">
      <c r="A85" s="173" t="s">
        <v>843</v>
      </c>
      <c r="B85" s="175" t="s">
        <v>844</v>
      </c>
      <c r="C85" s="85" t="s">
        <v>901</v>
      </c>
      <c r="D85" s="33"/>
    </row>
    <row r="86" spans="1:4" ht="16.5" customHeight="1" x14ac:dyDescent="0.25">
      <c r="A86" s="174"/>
      <c r="B86" s="174"/>
      <c r="C86" s="85" t="s">
        <v>908</v>
      </c>
      <c r="D86" s="33"/>
    </row>
    <row r="87" spans="1:4" ht="16.5" customHeight="1" x14ac:dyDescent="0.25">
      <c r="A87" s="174"/>
      <c r="B87" s="174"/>
      <c r="C87" s="85" t="s">
        <v>909</v>
      </c>
      <c r="D87" s="33"/>
    </row>
    <row r="88" spans="1:4" ht="16.5" customHeight="1" x14ac:dyDescent="0.25">
      <c r="A88" s="174"/>
      <c r="B88" s="174"/>
      <c r="C88" s="85" t="s">
        <v>910</v>
      </c>
      <c r="D88" s="33"/>
    </row>
    <row r="89" spans="1:4" ht="16.5" customHeight="1" x14ac:dyDescent="0.25">
      <c r="A89" s="174"/>
      <c r="B89" s="174"/>
      <c r="C89" s="85" t="s">
        <v>911</v>
      </c>
      <c r="D89" s="33"/>
    </row>
    <row r="90" spans="1:4" ht="16.5" customHeight="1" x14ac:dyDescent="0.25">
      <c r="A90" s="173" t="s">
        <v>845</v>
      </c>
      <c r="B90" s="175" t="s">
        <v>846</v>
      </c>
      <c r="C90" s="85" t="s">
        <v>901</v>
      </c>
      <c r="D90" s="33"/>
    </row>
    <row r="91" spans="1:4" ht="16.5" customHeight="1" x14ac:dyDescent="0.25">
      <c r="A91" s="174"/>
      <c r="B91" s="174"/>
      <c r="C91" s="85" t="s">
        <v>908</v>
      </c>
      <c r="D91" s="33"/>
    </row>
    <row r="92" spans="1:4" ht="16.5" customHeight="1" x14ac:dyDescent="0.25">
      <c r="A92" s="174"/>
      <c r="B92" s="174"/>
      <c r="C92" s="85" t="s">
        <v>909</v>
      </c>
      <c r="D92" s="33"/>
    </row>
    <row r="93" spans="1:4" ht="16.5" customHeight="1" x14ac:dyDescent="0.25">
      <c r="A93" s="174"/>
      <c r="B93" s="174"/>
      <c r="C93" s="85" t="s">
        <v>912</v>
      </c>
      <c r="D93" s="33"/>
    </row>
    <row r="94" spans="1:4" ht="16.5" customHeight="1" x14ac:dyDescent="0.25">
      <c r="A94" s="174"/>
      <c r="B94" s="174"/>
      <c r="C94" s="85" t="s">
        <v>911</v>
      </c>
      <c r="D94" s="33"/>
    </row>
    <row r="95" spans="1:4" ht="16.5" customHeight="1" x14ac:dyDescent="0.25">
      <c r="A95" s="173" t="s">
        <v>847</v>
      </c>
      <c r="B95" s="175" t="s">
        <v>848</v>
      </c>
      <c r="C95" s="85" t="s">
        <v>901</v>
      </c>
      <c r="D95" s="33"/>
    </row>
    <row r="96" spans="1:4" ht="16.5" customHeight="1" x14ac:dyDescent="0.25">
      <c r="A96" s="174"/>
      <c r="B96" s="174"/>
      <c r="C96" s="85" t="s">
        <v>908</v>
      </c>
      <c r="D96" s="33"/>
    </row>
    <row r="97" spans="1:4" ht="16.5" customHeight="1" x14ac:dyDescent="0.25">
      <c r="A97" s="174"/>
      <c r="B97" s="174"/>
      <c r="C97" s="85" t="s">
        <v>909</v>
      </c>
      <c r="D97" s="33"/>
    </row>
    <row r="98" spans="1:4" ht="16.5" customHeight="1" x14ac:dyDescent="0.25">
      <c r="A98" s="174"/>
      <c r="B98" s="174"/>
      <c r="C98" s="85" t="s">
        <v>912</v>
      </c>
      <c r="D98" s="33"/>
    </row>
    <row r="99" spans="1:4" ht="16.5" customHeight="1" x14ac:dyDescent="0.25">
      <c r="A99" s="174"/>
      <c r="B99" s="174"/>
      <c r="C99" s="85" t="s">
        <v>911</v>
      </c>
      <c r="D99" s="33"/>
    </row>
    <row r="100" spans="1:4" ht="16.5" customHeight="1" x14ac:dyDescent="0.25">
      <c r="A100" s="173" t="s">
        <v>849</v>
      </c>
      <c r="B100" s="175" t="s">
        <v>913</v>
      </c>
      <c r="C100" s="85" t="s">
        <v>901</v>
      </c>
      <c r="D100" s="33"/>
    </row>
    <row r="101" spans="1:4" ht="16.5" customHeight="1" x14ac:dyDescent="0.25">
      <c r="A101" s="174"/>
      <c r="B101" s="174"/>
      <c r="C101" s="85" t="s">
        <v>908</v>
      </c>
      <c r="D101" s="33"/>
    </row>
    <row r="102" spans="1:4" ht="16.5" customHeight="1" x14ac:dyDescent="0.25">
      <c r="A102" s="174"/>
      <c r="B102" s="174"/>
      <c r="C102" s="85" t="s">
        <v>909</v>
      </c>
      <c r="D102" s="33"/>
    </row>
    <row r="103" spans="1:4" ht="16.5" customHeight="1" x14ac:dyDescent="0.25">
      <c r="A103" s="174"/>
      <c r="B103" s="174"/>
      <c r="C103" s="85" t="s">
        <v>910</v>
      </c>
      <c r="D103" s="33"/>
    </row>
    <row r="104" spans="1:4" ht="16.5" customHeight="1" x14ac:dyDescent="0.25">
      <c r="A104" s="174"/>
      <c r="B104" s="174"/>
      <c r="C104" s="85" t="s">
        <v>911</v>
      </c>
      <c r="D104" s="33"/>
    </row>
    <row r="105" spans="1:4" ht="16.5" customHeight="1" x14ac:dyDescent="0.25">
      <c r="A105" s="173" t="s">
        <v>851</v>
      </c>
      <c r="B105" s="175" t="s">
        <v>914</v>
      </c>
      <c r="C105" s="85" t="s">
        <v>901</v>
      </c>
      <c r="D105" s="33"/>
    </row>
    <row r="106" spans="1:4" ht="16.5" customHeight="1" x14ac:dyDescent="0.25">
      <c r="A106" s="174"/>
      <c r="B106" s="174"/>
      <c r="C106" s="85" t="s">
        <v>908</v>
      </c>
      <c r="D106" s="33"/>
    </row>
    <row r="107" spans="1:4" ht="16.5" customHeight="1" x14ac:dyDescent="0.25">
      <c r="A107" s="174"/>
      <c r="B107" s="174"/>
      <c r="C107" s="85" t="s">
        <v>909</v>
      </c>
      <c r="D107" s="33"/>
    </row>
    <row r="108" spans="1:4" ht="16.5" customHeight="1" x14ac:dyDescent="0.25">
      <c r="A108" s="174"/>
      <c r="B108" s="174"/>
      <c r="C108" s="85" t="s">
        <v>910</v>
      </c>
      <c r="D108" s="33"/>
    </row>
    <row r="109" spans="1:4" ht="16.5" customHeight="1" x14ac:dyDescent="0.25">
      <c r="A109" s="174"/>
      <c r="B109" s="174"/>
      <c r="C109" s="85" t="s">
        <v>911</v>
      </c>
      <c r="D109" s="33"/>
    </row>
    <row r="110" spans="1:4" ht="16.5" customHeight="1" x14ac:dyDescent="0.25">
      <c r="A110" s="173" t="s">
        <v>853</v>
      </c>
      <c r="B110" s="175" t="s">
        <v>854</v>
      </c>
      <c r="C110" s="85" t="s">
        <v>901</v>
      </c>
      <c r="D110" s="33"/>
    </row>
    <row r="111" spans="1:4" ht="16.5" customHeight="1" x14ac:dyDescent="0.25">
      <c r="A111" s="174"/>
      <c r="B111" s="174"/>
      <c r="C111" s="85" t="s">
        <v>915</v>
      </c>
      <c r="D111" s="33"/>
    </row>
    <row r="112" spans="1:4" ht="16.5" customHeight="1" x14ac:dyDescent="0.25">
      <c r="A112" s="174"/>
      <c r="B112" s="174"/>
      <c r="C112" s="85" t="s">
        <v>916</v>
      </c>
      <c r="D112" s="33"/>
    </row>
    <row r="113" spans="1:4" ht="16.5" customHeight="1" x14ac:dyDescent="0.25">
      <c r="A113" s="174"/>
      <c r="B113" s="174"/>
      <c r="C113" s="85" t="s">
        <v>917</v>
      </c>
      <c r="D113" s="33"/>
    </row>
    <row r="114" spans="1:4" ht="16.5" customHeight="1" x14ac:dyDescent="0.25">
      <c r="A114" s="174"/>
      <c r="B114" s="174"/>
      <c r="C114" s="85" t="s">
        <v>918</v>
      </c>
      <c r="D114" s="33"/>
    </row>
    <row r="115" spans="1:4" ht="16.5" customHeight="1" x14ac:dyDescent="0.25">
      <c r="A115" s="174"/>
      <c r="B115" s="174"/>
      <c r="C115" s="85" t="s">
        <v>919</v>
      </c>
      <c r="D115" s="33"/>
    </row>
    <row r="116" spans="1:4" ht="16.5" customHeight="1" x14ac:dyDescent="0.25">
      <c r="A116" s="174"/>
      <c r="B116" s="174"/>
      <c r="C116" s="85" t="s">
        <v>920</v>
      </c>
      <c r="D116" s="33"/>
    </row>
  </sheetData>
  <sheetProtection formatColumns="0" formatRows="0"/>
  <mergeCells count="76">
    <mergeCell ref="A105:A109"/>
    <mergeCell ref="B43:B44"/>
    <mergeCell ref="A61:A64"/>
    <mergeCell ref="A95:A99"/>
    <mergeCell ref="A51:A52"/>
    <mergeCell ref="A69:A72"/>
    <mergeCell ref="B77:B80"/>
    <mergeCell ref="A85:A89"/>
    <mergeCell ref="A100:A104"/>
    <mergeCell ref="B61:B64"/>
    <mergeCell ref="A65:A68"/>
    <mergeCell ref="B73:B76"/>
    <mergeCell ref="A55:A56"/>
    <mergeCell ref="B95:B99"/>
    <mergeCell ref="B57:B60"/>
    <mergeCell ref="B85:B89"/>
    <mergeCell ref="B17:B18"/>
    <mergeCell ref="A7:A8"/>
    <mergeCell ref="B11:B12"/>
    <mergeCell ref="A41:A42"/>
    <mergeCell ref="A45:A46"/>
    <mergeCell ref="B29:B30"/>
    <mergeCell ref="B23:B24"/>
    <mergeCell ref="B39:B40"/>
    <mergeCell ref="A27:A28"/>
    <mergeCell ref="B21:B22"/>
    <mergeCell ref="B13:B14"/>
    <mergeCell ref="A25:A26"/>
    <mergeCell ref="A37:A38"/>
    <mergeCell ref="B15:B16"/>
    <mergeCell ref="B7:B8"/>
    <mergeCell ref="B27:B28"/>
    <mergeCell ref="B19:B20"/>
    <mergeCell ref="B37:B38"/>
    <mergeCell ref="A21:A22"/>
    <mergeCell ref="B53:B54"/>
    <mergeCell ref="A57:A60"/>
    <mergeCell ref="A19:A20"/>
    <mergeCell ref="B65:B68"/>
    <mergeCell ref="B45:B46"/>
    <mergeCell ref="A53:A54"/>
    <mergeCell ref="A35:A36"/>
    <mergeCell ref="B31:B32"/>
    <mergeCell ref="B47:B48"/>
    <mergeCell ref="B110:B116"/>
    <mergeCell ref="B9:B10"/>
    <mergeCell ref="B49:B50"/>
    <mergeCell ref="B100:B104"/>
    <mergeCell ref="A17:A18"/>
    <mergeCell ref="B69:B72"/>
    <mergeCell ref="A13:A14"/>
    <mergeCell ref="A33:A34"/>
    <mergeCell ref="A29:A30"/>
    <mergeCell ref="B33:B34"/>
    <mergeCell ref="A23:A24"/>
    <mergeCell ref="A47:A48"/>
    <mergeCell ref="B55:B56"/>
    <mergeCell ref="B90:B94"/>
    <mergeCell ref="A81:A84"/>
    <mergeCell ref="A11:A12"/>
    <mergeCell ref="A110:A116"/>
    <mergeCell ref="A43:A44"/>
    <mergeCell ref="B51:B52"/>
    <mergeCell ref="B105:B109"/>
    <mergeCell ref="A9:A10"/>
    <mergeCell ref="A39:A40"/>
    <mergeCell ref="A15:A16"/>
    <mergeCell ref="B25:B26"/>
    <mergeCell ref="B41:B42"/>
    <mergeCell ref="A77:A80"/>
    <mergeCell ref="A31:A32"/>
    <mergeCell ref="A49:A50"/>
    <mergeCell ref="A90:A94"/>
    <mergeCell ref="A73:A76"/>
    <mergeCell ref="B81:B84"/>
    <mergeCell ref="B35:B36"/>
  </mergeCells>
  <hyperlinks>
    <hyperlink ref="A1" location="TOC!A1" display="Table of Contents" xr:uid="{8E63F7A1-0233-4852-962C-2D9F015E8C18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O2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5.42578125" bestFit="1" customWidth="1"/>
    <col min="2" max="2" width="11.42578125" bestFit="1" customWidth="1"/>
    <col min="3" max="3" width="110.42578125" customWidth="1"/>
    <col min="6" max="6" width="32.42578125" bestFit="1" customWidth="1"/>
  </cols>
  <sheetData>
    <row r="1" spans="1:15" x14ac:dyDescent="0.25">
      <c r="A1" s="141" t="s">
        <v>316</v>
      </c>
      <c r="B1" s="32" t="s">
        <v>326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x14ac:dyDescent="0.25">
      <c r="A3" s="34" t="s">
        <v>34</v>
      </c>
      <c r="B3" s="33"/>
      <c r="C3" s="34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25">
      <c r="A4" s="34" t="s">
        <v>37</v>
      </c>
      <c r="B4" s="33"/>
      <c r="C4" s="34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922</v>
      </c>
      <c r="F6" s="65" t="s">
        <v>897</v>
      </c>
      <c r="G6" s="65" t="s">
        <v>775</v>
      </c>
      <c r="H6" s="65" t="s">
        <v>776</v>
      </c>
      <c r="I6" s="65" t="s">
        <v>777</v>
      </c>
      <c r="J6" s="65" t="s">
        <v>778</v>
      </c>
      <c r="K6" s="65" t="s">
        <v>779</v>
      </c>
      <c r="L6" s="65" t="s">
        <v>780</v>
      </c>
      <c r="M6" s="65" t="s">
        <v>781</v>
      </c>
      <c r="N6" s="65" t="s">
        <v>923</v>
      </c>
      <c r="O6" s="65" t="s">
        <v>924</v>
      </c>
    </row>
    <row r="7" spans="1:15" x14ac:dyDescent="0.25">
      <c r="A7" s="33" t="s">
        <v>782</v>
      </c>
      <c r="B7" s="33" t="s">
        <v>785</v>
      </c>
      <c r="C7" s="33" t="s">
        <v>925</v>
      </c>
      <c r="D7" s="33" t="s">
        <v>926</v>
      </c>
      <c r="E7" s="33" t="s">
        <v>927</v>
      </c>
      <c r="F7" s="33"/>
      <c r="G7" s="2">
        <f>IFERROR(VLOOKUP(_xlfn.CONCAT($B$1,$B7),STQ!$A$2:$I$125,4,0),"")</f>
        <v>2.8496700000000001</v>
      </c>
      <c r="H7" s="2">
        <f>IFERROR(VLOOKUP(_xlfn.CONCAT($B$1,$B7),STQ!$A$2:$I$125,5,0),"")</f>
        <v>-2.3002600000000002</v>
      </c>
      <c r="I7" s="53"/>
      <c r="J7" s="53"/>
      <c r="K7" s="53"/>
      <c r="L7" s="53"/>
      <c r="M7" s="53"/>
      <c r="N7" s="53"/>
      <c r="O7" s="53"/>
    </row>
    <row r="8" spans="1:15" x14ac:dyDescent="0.25">
      <c r="A8" s="33" t="s">
        <v>782</v>
      </c>
      <c r="B8" s="33" t="s">
        <v>787</v>
      </c>
      <c r="C8" s="33" t="s">
        <v>928</v>
      </c>
      <c r="D8" s="33" t="s">
        <v>926</v>
      </c>
      <c r="E8" s="33" t="s">
        <v>927</v>
      </c>
      <c r="F8" s="33"/>
      <c r="G8" s="2">
        <f>IFERROR(VLOOKUP(_xlfn.CONCAT($B$1,$B8),STQ!$A$2:$I$125,4,0),"")</f>
        <v>1.2694099999999999</v>
      </c>
      <c r="H8" s="2">
        <f>IFERROR(VLOOKUP(_xlfn.CONCAT($B$1,$B8),STQ!$A$2:$I$125,5,0),"")</f>
        <v>-1.0203</v>
      </c>
      <c r="I8" s="53"/>
      <c r="J8" s="53"/>
      <c r="K8" s="53"/>
      <c r="L8" s="53"/>
      <c r="M8" s="53"/>
      <c r="N8" s="53"/>
      <c r="O8" s="53"/>
    </row>
    <row r="9" spans="1:15" x14ac:dyDescent="0.25">
      <c r="A9" s="33" t="s">
        <v>782</v>
      </c>
      <c r="B9" s="33" t="s">
        <v>789</v>
      </c>
      <c r="C9" s="33" t="s">
        <v>929</v>
      </c>
      <c r="D9" s="33" t="s">
        <v>926</v>
      </c>
      <c r="E9" s="33" t="s">
        <v>927</v>
      </c>
      <c r="F9" s="33"/>
      <c r="G9" s="2">
        <f>IFERROR(VLOOKUP(_xlfn.CONCAT($B$1,$B9),STQ!$A$2:$I$125,4,0),"")</f>
        <v>1.8056300000000001</v>
      </c>
      <c r="H9" s="2">
        <f>IFERROR(VLOOKUP(_xlfn.CONCAT($B$1,$B9),STQ!$A$2:$I$125,5,0),"")</f>
        <v>-3.6455100000000011</v>
      </c>
      <c r="I9" s="53"/>
      <c r="J9" s="53"/>
      <c r="K9" s="53"/>
      <c r="L9" s="53"/>
      <c r="M9" s="53"/>
      <c r="N9" s="53"/>
      <c r="O9" s="53"/>
    </row>
    <row r="10" spans="1:15" x14ac:dyDescent="0.25">
      <c r="A10" s="33" t="s">
        <v>782</v>
      </c>
      <c r="B10" s="33" t="s">
        <v>791</v>
      </c>
      <c r="C10" s="33" t="s">
        <v>930</v>
      </c>
      <c r="D10" s="33" t="s">
        <v>926</v>
      </c>
      <c r="E10" s="33" t="s">
        <v>927</v>
      </c>
      <c r="F10" s="33"/>
      <c r="G10" s="2">
        <f>IFERROR(VLOOKUP(_xlfn.CONCAT($B$1,$B10),STQ!$A$2:$I$125,4,0),"")</f>
        <v>2.51545</v>
      </c>
      <c r="H10" s="2">
        <f>IFERROR(VLOOKUP(_xlfn.CONCAT($B$1,$B10),STQ!$A$2:$I$125,5,0),"")</f>
        <v>-3.27502</v>
      </c>
      <c r="I10" s="53"/>
      <c r="J10" s="53"/>
      <c r="K10" s="53"/>
      <c r="L10" s="53"/>
      <c r="M10" s="53"/>
      <c r="N10" s="53"/>
      <c r="O10" s="53"/>
    </row>
    <row r="11" spans="1:15" x14ac:dyDescent="0.25">
      <c r="A11" s="33" t="s">
        <v>782</v>
      </c>
      <c r="B11" s="33" t="s">
        <v>825</v>
      </c>
      <c r="C11" s="33" t="s">
        <v>931</v>
      </c>
      <c r="D11" s="33"/>
      <c r="E11" s="33" t="s">
        <v>927</v>
      </c>
      <c r="F11" s="33"/>
      <c r="G11" s="2">
        <f>IFERROR(VLOOKUP(_xlfn.CONCAT($B$1,$B11),STQ!$A$2:$I$125,4,0),"")</f>
        <v>1.3282</v>
      </c>
      <c r="H11" s="2">
        <f>IFERROR(VLOOKUP(_xlfn.CONCAT($B$1,$B11),STQ!$A$2:$I$125,5,0),"")</f>
        <v>0.30409000000000008</v>
      </c>
      <c r="I11" s="53"/>
      <c r="J11" s="53"/>
      <c r="K11" s="53"/>
      <c r="L11" s="53"/>
      <c r="M11" s="53"/>
      <c r="N11" s="53"/>
      <c r="O11" s="53"/>
    </row>
    <row r="12" spans="1:15" x14ac:dyDescent="0.25">
      <c r="A12" s="33" t="s">
        <v>782</v>
      </c>
      <c r="B12" s="33" t="s">
        <v>843</v>
      </c>
      <c r="C12" s="33" t="s">
        <v>932</v>
      </c>
      <c r="D12" s="33" t="s">
        <v>926</v>
      </c>
      <c r="E12" s="33"/>
      <c r="F12" s="33" t="s">
        <v>933</v>
      </c>
      <c r="G12" s="2">
        <f>IFERROR(VLOOKUP(_xlfn.CONCAT($B$1,$B12),STQ!$A$2:$I$125,4,0),"")</f>
        <v>1.4088799999999999</v>
      </c>
      <c r="H12" s="2">
        <f>IFERROR(VLOOKUP(_xlfn.CONCAT($B$1,$B12),STQ!$A$2:$I$125,5,0),"")</f>
        <v>3.4720000000000001E-2</v>
      </c>
      <c r="I12" s="2">
        <f>IFERROR(VLOOKUP(_xlfn.CONCAT($B$1,$B12),STQ!$A$2:$I$125,6,0),"")</f>
        <v>-3.7827799999999989</v>
      </c>
      <c r="J12" s="2">
        <f>IFERROR(VLOOKUP(_xlfn.CONCAT($B$1,$B12),STQ!$A$2:$I$125,7,0),"")</f>
        <v>1.0145200000000001</v>
      </c>
      <c r="K12" s="2">
        <f>IFERROR(VLOOKUP(_xlfn.CONCAT($B$1,$B12),STQ!$A$2:$I$125,8,0),"")</f>
        <v>2.7682600000000002</v>
      </c>
      <c r="L12" s="53"/>
      <c r="M12" s="53"/>
      <c r="N12" s="53"/>
      <c r="O12" s="53"/>
    </row>
    <row r="13" spans="1:15" x14ac:dyDescent="0.25">
      <c r="A13" s="33" t="s">
        <v>782</v>
      </c>
      <c r="B13" s="33" t="s">
        <v>845</v>
      </c>
      <c r="C13" s="33" t="s">
        <v>934</v>
      </c>
      <c r="D13" s="33" t="s">
        <v>926</v>
      </c>
      <c r="E13" s="33"/>
      <c r="F13" s="33" t="s">
        <v>933</v>
      </c>
      <c r="G13" s="2">
        <f>IFERROR(VLOOKUP(_xlfn.CONCAT($B$1,$B13),STQ!$A$2:$I$125,4,0),"")</f>
        <v>1.359</v>
      </c>
      <c r="H13" s="2">
        <f>IFERROR(VLOOKUP(_xlfn.CONCAT($B$1,$B13),STQ!$A$2:$I$125,5,0),"")</f>
        <v>1.7572700000000001</v>
      </c>
      <c r="I13" s="2">
        <f>IFERROR(VLOOKUP(_xlfn.CONCAT($B$1,$B13),STQ!$A$2:$I$125,6,0),"")</f>
        <v>-1.9118299999999999</v>
      </c>
      <c r="J13" s="2">
        <f>IFERROR(VLOOKUP(_xlfn.CONCAT($B$1,$B13),STQ!$A$2:$I$125,7,0),"")</f>
        <v>0.76700000000000002</v>
      </c>
      <c r="K13" s="2">
        <f>IFERROR(VLOOKUP(_xlfn.CONCAT($B$1,$B13),STQ!$A$2:$I$125,8,0),"")</f>
        <v>1.14483</v>
      </c>
      <c r="L13" s="53"/>
      <c r="M13" s="53"/>
      <c r="N13" s="53"/>
      <c r="O13" s="53"/>
    </row>
    <row r="14" spans="1:15" x14ac:dyDescent="0.25">
      <c r="A14" s="33" t="s">
        <v>782</v>
      </c>
      <c r="B14" s="33" t="s">
        <v>847</v>
      </c>
      <c r="C14" s="33" t="s">
        <v>935</v>
      </c>
      <c r="D14" s="33" t="s">
        <v>926</v>
      </c>
      <c r="E14" s="33"/>
      <c r="F14" s="33" t="s">
        <v>933</v>
      </c>
      <c r="G14" s="2">
        <f>IFERROR(VLOOKUP(_xlfn.CONCAT($B$1,$B14),STQ!$A$2:$I$125,4,0),"")</f>
        <v>2.62405</v>
      </c>
      <c r="H14" s="2">
        <f>IFERROR(VLOOKUP(_xlfn.CONCAT($B$1,$B14),STQ!$A$2:$I$125,5,0),"")</f>
        <v>1.4194800000000001</v>
      </c>
      <c r="I14" s="2">
        <f>IFERROR(VLOOKUP(_xlfn.CONCAT($B$1,$B14),STQ!$A$2:$I$125,6,0),"")</f>
        <v>-3.1638600000000001</v>
      </c>
      <c r="J14" s="2">
        <f>IFERROR(VLOOKUP(_xlfn.CONCAT($B$1,$B14),STQ!$A$2:$I$125,7,0),"")</f>
        <v>0.41267999999999999</v>
      </c>
      <c r="K14" s="2">
        <f>IFERROR(VLOOKUP(_xlfn.CONCAT($B$1,$B14),STQ!$A$2:$I$125,8,0),"")</f>
        <v>2.7511800000000002</v>
      </c>
      <c r="L14" s="53"/>
      <c r="M14" s="53"/>
      <c r="N14" s="53"/>
      <c r="O14" s="53"/>
    </row>
    <row r="15" spans="1:15" x14ac:dyDescent="0.25">
      <c r="A15" s="33" t="s">
        <v>782</v>
      </c>
      <c r="B15" s="33" t="s">
        <v>849</v>
      </c>
      <c r="C15" s="33" t="s">
        <v>936</v>
      </c>
      <c r="D15" s="33" t="s">
        <v>926</v>
      </c>
      <c r="E15" s="33"/>
      <c r="F15" s="33" t="s">
        <v>933</v>
      </c>
      <c r="G15" s="2">
        <f>IFERROR(VLOOKUP(_xlfn.CONCAT($B$1,$B15),STQ!$A$2:$I$125,4,0),"")</f>
        <v>1.63706</v>
      </c>
      <c r="H15" s="2">
        <f>IFERROR(VLOOKUP(_xlfn.CONCAT($B$1,$B15),STQ!$A$2:$I$125,5,0),"")</f>
        <v>1.57446</v>
      </c>
      <c r="I15" s="2">
        <f>IFERROR(VLOOKUP(_xlfn.CONCAT($B$1,$B15),STQ!$A$2:$I$125,6,0),"")</f>
        <v>-1.88405</v>
      </c>
      <c r="J15" s="2">
        <f>IFERROR(VLOOKUP(_xlfn.CONCAT($B$1,$B15),STQ!$A$2:$I$125,7,0),"")</f>
        <v>0.59075999999999995</v>
      </c>
      <c r="K15" s="2">
        <f>IFERROR(VLOOKUP(_xlfn.CONCAT($B$1,$B15),STQ!$A$2:$I$125,8,0),"")</f>
        <v>1.2932900000000001</v>
      </c>
      <c r="L15" s="53"/>
      <c r="M15" s="53"/>
      <c r="N15" s="53"/>
      <c r="O15" s="53"/>
    </row>
    <row r="16" spans="1:15" x14ac:dyDescent="0.25">
      <c r="A16" s="33" t="s">
        <v>782</v>
      </c>
      <c r="B16" s="33" t="s">
        <v>851</v>
      </c>
      <c r="C16" s="33" t="s">
        <v>937</v>
      </c>
      <c r="D16" s="33" t="s">
        <v>926</v>
      </c>
      <c r="E16" s="33"/>
      <c r="F16" s="33" t="s">
        <v>933</v>
      </c>
      <c r="G16" s="2">
        <f>IFERROR(VLOOKUP(_xlfn.CONCAT($B$1,$B16),STQ!$A$2:$I$125,4,0),"")</f>
        <v>0.70157999999999998</v>
      </c>
      <c r="H16" s="2">
        <f>IFERROR(VLOOKUP(_xlfn.CONCAT($B$1,$B16),STQ!$A$2:$I$125,5,0),"")</f>
        <v>1.7789600000000001</v>
      </c>
      <c r="I16" s="2">
        <f>IFERROR(VLOOKUP(_xlfn.CONCAT($B$1,$B16),STQ!$A$2:$I$125,6,0),"")</f>
        <v>-7.7789999999999984E-2</v>
      </c>
      <c r="J16" s="2">
        <f>IFERROR(VLOOKUP(_xlfn.CONCAT($B$1,$B16),STQ!$A$2:$I$125,7,0),"")</f>
        <v>0.57330999999999999</v>
      </c>
      <c r="K16" s="2">
        <f>IFERROR(VLOOKUP(_xlfn.CONCAT($B$1,$B16),STQ!$A$2:$I$125,8,0),"")</f>
        <v>-0.4955199999999999</v>
      </c>
      <c r="L16" s="53"/>
      <c r="M16" s="53"/>
      <c r="N16" s="53"/>
      <c r="O16" s="53"/>
    </row>
    <row r="17" spans="1:15" x14ac:dyDescent="0.25">
      <c r="A17" s="65" t="s">
        <v>938</v>
      </c>
      <c r="B17" s="65" t="s">
        <v>772</v>
      </c>
      <c r="C17" s="65" t="s">
        <v>773</v>
      </c>
      <c r="D17" s="65" t="s">
        <v>922</v>
      </c>
      <c r="E17" s="7" t="str">
        <f>IFERROR(VLOOKUP(_xlfn.CONCAT($A$1,$B17),STQ!$A$2:$I$125,4,0),"")</f>
        <v/>
      </c>
      <c r="F17" s="7" t="str">
        <f>IFERROR(VLOOKUP(_xlfn.CONCAT($A$1,$B17),STQ!$A$2:$I$125,5,0),"")</f>
        <v/>
      </c>
      <c r="G17" s="7" t="str">
        <f>IFERROR(VLOOKUP(_xlfn.CONCAT($B$1,$B17),STQ!$A$2:$I$125,6,0),"")</f>
        <v/>
      </c>
      <c r="H17" s="7" t="str">
        <f>IFERROR(VLOOKUP(_xlfn.CONCAT($B$1,$B17),STQ!$A$2:$I$125,7,0),"")</f>
        <v/>
      </c>
      <c r="I17" s="7" t="str">
        <f>IFERROR(VLOOKUP(_xlfn.CONCAT($B$1,$B17),STQ!$A$2:$I$125,8,0),"")</f>
        <v/>
      </c>
      <c r="J17" s="7" t="str">
        <f>IFERROR(VLOOKUP(_xlfn.CONCAT($B$1,$B17),STQ!$A$2:$I$125,8,0),"")</f>
        <v/>
      </c>
      <c r="K17" s="65" t="s">
        <v>779</v>
      </c>
      <c r="L17" s="65" t="s">
        <v>780</v>
      </c>
      <c r="M17" s="65" t="s">
        <v>781</v>
      </c>
      <c r="N17" s="65" t="s">
        <v>923</v>
      </c>
      <c r="O17" s="65" t="s">
        <v>924</v>
      </c>
    </row>
    <row r="18" spans="1:15" x14ac:dyDescent="0.25">
      <c r="A18" s="33" t="s">
        <v>939</v>
      </c>
      <c r="B18" s="33" t="s">
        <v>825</v>
      </c>
      <c r="C18" s="33" t="s">
        <v>931</v>
      </c>
      <c r="D18" s="33"/>
      <c r="E18" s="33" t="s">
        <v>927</v>
      </c>
      <c r="F18" s="33"/>
      <c r="G18" s="2">
        <f>IFERROR(VLOOKUP(_xlfn.CONCAT($B$1,$B18),STQ!$A$2:$I$125,4,0),"")</f>
        <v>1.3282</v>
      </c>
      <c r="H18" s="2">
        <f>IFERROR(VLOOKUP(_xlfn.CONCAT($B$1,$B18),STQ!$A$2:$I$125,5,0),"")</f>
        <v>0.30409000000000008</v>
      </c>
      <c r="I18" s="53"/>
      <c r="J18" s="53"/>
      <c r="K18" s="53"/>
      <c r="L18" s="53"/>
      <c r="M18" s="53"/>
      <c r="N18" s="53"/>
      <c r="O18" s="53"/>
    </row>
    <row r="19" spans="1:15" x14ac:dyDescent="0.25">
      <c r="A19" s="33" t="s">
        <v>940</v>
      </c>
      <c r="B19" s="33" t="s">
        <v>789</v>
      </c>
      <c r="C19" s="33" t="s">
        <v>929</v>
      </c>
      <c r="D19" s="33" t="s">
        <v>926</v>
      </c>
      <c r="E19" s="33" t="s">
        <v>927</v>
      </c>
      <c r="F19" s="33"/>
      <c r="G19" s="2">
        <f>IFERROR(VLOOKUP(_xlfn.CONCAT($B$1,$B19),STQ!$A$2:$I$125,4,0),"")</f>
        <v>1.8056300000000001</v>
      </c>
      <c r="H19" s="2">
        <f>IFERROR(VLOOKUP(_xlfn.CONCAT($B$1,$B19),STQ!$A$2:$I$125,5,0),"")</f>
        <v>-3.6455100000000011</v>
      </c>
      <c r="I19" s="53"/>
      <c r="J19" s="53"/>
      <c r="K19" s="53"/>
      <c r="L19" s="53"/>
      <c r="M19" s="53"/>
      <c r="N19" s="53"/>
      <c r="O19" s="53"/>
    </row>
    <row r="20" spans="1:15" x14ac:dyDescent="0.25">
      <c r="A20" s="40" t="s">
        <v>759</v>
      </c>
      <c r="B20" s="40" t="s">
        <v>789</v>
      </c>
      <c r="C20" s="40" t="s">
        <v>929</v>
      </c>
      <c r="D20" s="40" t="s">
        <v>926</v>
      </c>
      <c r="E20" s="40" t="s">
        <v>927</v>
      </c>
      <c r="F20" s="40"/>
      <c r="G20" s="4">
        <f>IFERROR(VLOOKUP(_xlfn.CONCAT($B$1,$B20),STQ!$A$2:$I$125,4,0),"")</f>
        <v>1.8056300000000001</v>
      </c>
      <c r="H20" s="4">
        <f>IFERROR(VLOOKUP(_xlfn.CONCAT($B$1,$B20),STQ!$A$2:$I$125,5,0),"")</f>
        <v>-3.6455100000000011</v>
      </c>
      <c r="I20" s="78"/>
      <c r="J20" s="78"/>
      <c r="K20" s="78"/>
      <c r="L20" s="78"/>
      <c r="M20" s="78"/>
      <c r="N20" s="78"/>
      <c r="O20" s="78"/>
    </row>
  </sheetData>
  <sheetProtection formatColumns="0" formatRows="0"/>
  <hyperlinks>
    <hyperlink ref="A1" location="TOC!A1" display="Table of Contents" xr:uid="{AFE3BF01-A97C-48C2-A598-894B18766DD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I17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42578125" customWidth="1"/>
    <col min="2" max="2" width="12.140625" bestFit="1" customWidth="1"/>
    <col min="3" max="3" width="94.7109375" customWidth="1"/>
  </cols>
  <sheetData>
    <row r="1" spans="1:9" x14ac:dyDescent="0.25">
      <c r="A1" s="141" t="s">
        <v>316</v>
      </c>
      <c r="B1" s="32" t="s">
        <v>321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38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39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941</v>
      </c>
      <c r="C7" s="33" t="s">
        <v>942</v>
      </c>
      <c r="D7" s="33" t="s">
        <v>926</v>
      </c>
      <c r="E7" s="2">
        <v>1.8697299999999999</v>
      </c>
      <c r="F7" s="2">
        <v>-0.56916</v>
      </c>
      <c r="G7" s="2">
        <v>-1.4322900000000001</v>
      </c>
      <c r="H7" s="2">
        <v>0.27522000000000002</v>
      </c>
      <c r="I7" s="2">
        <v>1.15707</v>
      </c>
    </row>
    <row r="8" spans="1:9" x14ac:dyDescent="0.25">
      <c r="A8" s="33" t="s">
        <v>782</v>
      </c>
      <c r="B8" s="33" t="s">
        <v>943</v>
      </c>
      <c r="C8" s="33" t="s">
        <v>944</v>
      </c>
      <c r="D8" s="33" t="s">
        <v>926</v>
      </c>
      <c r="E8" s="2">
        <v>1.7172799999999999</v>
      </c>
      <c r="F8" s="2">
        <v>0.48736000000000002</v>
      </c>
      <c r="G8" s="2">
        <v>-0.66610000000000003</v>
      </c>
      <c r="H8" s="2">
        <v>-0.33814</v>
      </c>
      <c r="I8" s="2">
        <v>1.00424</v>
      </c>
    </row>
    <row r="9" spans="1:9" x14ac:dyDescent="0.25">
      <c r="A9" s="33" t="s">
        <v>782</v>
      </c>
      <c r="B9" s="33" t="s">
        <v>945</v>
      </c>
      <c r="C9" s="33" t="s">
        <v>946</v>
      </c>
      <c r="D9" s="33" t="s">
        <v>926</v>
      </c>
      <c r="E9" s="2">
        <v>1.6807099999999999</v>
      </c>
      <c r="F9" s="2">
        <v>0.34358</v>
      </c>
      <c r="G9" s="2">
        <v>-0.20150000000000001</v>
      </c>
      <c r="H9" s="2">
        <v>0.15870999999999999</v>
      </c>
      <c r="I9" s="2">
        <v>4.2790000000000002E-2</v>
      </c>
    </row>
    <row r="10" spans="1:9" x14ac:dyDescent="0.25">
      <c r="A10" s="33" t="s">
        <v>782</v>
      </c>
      <c r="B10" s="33" t="s">
        <v>947</v>
      </c>
      <c r="C10" s="33" t="s">
        <v>948</v>
      </c>
      <c r="D10" s="33" t="s">
        <v>926</v>
      </c>
      <c r="E10" s="2">
        <v>1.2232799999999999</v>
      </c>
      <c r="F10" s="2">
        <v>-1.017E-2</v>
      </c>
      <c r="G10" s="2">
        <v>-0.39015</v>
      </c>
      <c r="H10" s="2">
        <v>0.27972999999999998</v>
      </c>
      <c r="I10" s="2">
        <v>0.11042</v>
      </c>
    </row>
    <row r="11" spans="1:9" x14ac:dyDescent="0.25">
      <c r="A11" s="40" t="s">
        <v>782</v>
      </c>
      <c r="B11" s="40" t="s">
        <v>949</v>
      </c>
      <c r="C11" s="40" t="s">
        <v>950</v>
      </c>
      <c r="D11" s="40" t="s">
        <v>926</v>
      </c>
      <c r="E11" s="4">
        <v>1.41821</v>
      </c>
      <c r="F11" s="4">
        <v>0.59338999999999997</v>
      </c>
      <c r="G11" s="4">
        <v>0.19645000000000001</v>
      </c>
      <c r="H11" s="4">
        <v>9.5310000000000006E-2</v>
      </c>
      <c r="I11" s="4">
        <v>-0.29176000000000002</v>
      </c>
    </row>
    <row r="12" spans="1:9" x14ac:dyDescent="0.25">
      <c r="A12" s="33"/>
      <c r="B12" s="33"/>
      <c r="C12" s="33"/>
      <c r="D12" t="str">
        <f>IFERROR(VLOOKUP(_xlfn.CONCAT($B$1,$B12),STQ!$A$2:$I$125,4,0),"")</f>
        <v/>
      </c>
      <c r="E12" t="str">
        <f>IFERROR(VLOOKUP(_xlfn.CONCAT($B$1,$B12),STQ!$A$2:$I$125,4,0),"")</f>
        <v/>
      </c>
      <c r="F12" t="str">
        <f>IFERROR(VLOOKUP(_xlfn.CONCAT($B$1,$B12),STQ!$A$2:$I$125,5,0),"")</f>
        <v/>
      </c>
      <c r="G12" t="str">
        <f>IFERROR(VLOOKUP(_xlfn.CONCAT($B$1,$B12),STQ!$A$2:$I$125,6,0),"")</f>
        <v/>
      </c>
      <c r="H12" t="str">
        <f>IFERROR(VLOOKUP(_xlfn.CONCAT($B$1,$B12),STQ!$A$2:$I$125,7,0),"")</f>
        <v/>
      </c>
      <c r="I12" t="str">
        <f>IFERROR(VLOOKUP(_xlfn.CONCAT($B$1,$B12),STQ!$A$2:$I$125,8,0),"")</f>
        <v/>
      </c>
    </row>
    <row r="13" spans="1:9" ht="17.25" customHeight="1" x14ac:dyDescent="0.25">
      <c r="A13" s="33" t="s">
        <v>951</v>
      </c>
      <c r="B13" s="33"/>
      <c r="C13" s="33"/>
      <c r="D13" t="str">
        <f>IFERROR(VLOOKUP(_xlfn.CONCAT($B$1,$B13),STQ!$A$2:$I$125,4,0),"")</f>
        <v/>
      </c>
      <c r="E13" t="str">
        <f>IFERROR(VLOOKUP(_xlfn.CONCAT($B$1,$B13),STQ!$A$2:$I$125,5,0),"")</f>
        <v/>
      </c>
      <c r="F13" t="str">
        <f>IFERROR(VLOOKUP(_xlfn.CONCAT($B$1,$B13),STQ!$A$2:$I$125,6,0),"")</f>
        <v/>
      </c>
      <c r="G13" t="str">
        <f>IFERROR(VLOOKUP(_xlfn.CONCAT($B$1,$B13),STQ!$A$2:$I$125,7,0),"")</f>
        <v/>
      </c>
      <c r="H13" t="str">
        <f>IFERROR(VLOOKUP(_xlfn.CONCAT($B$1,$B13),STQ!$A$2:$I$125,8,0),"")</f>
        <v/>
      </c>
      <c r="I13" t="str">
        <f>IFERROR(VLOOKUP(_xlfn.CONCAT($B$1,$B13),STQ!$A$2:$I$125,8,0),"")</f>
        <v/>
      </c>
    </row>
    <row r="14" spans="1:9" x14ac:dyDescent="0.25">
      <c r="A14" s="33"/>
      <c r="B14" s="33"/>
      <c r="C14" s="33"/>
      <c r="D14" t="str">
        <f>IFERROR(VLOOKUP(_xlfn.CONCAT($B$1,$B14),STQ!$A$2:$I$125,4,0),"")</f>
        <v/>
      </c>
      <c r="E14" t="str">
        <f>IFERROR(VLOOKUP(_xlfn.CONCAT($B$1,$B14),STQ!$A$2:$I$125,5,0),"")</f>
        <v/>
      </c>
      <c r="F14" t="str">
        <f>IFERROR(VLOOKUP(_xlfn.CONCAT($B$1,$B14),STQ!$A$2:$I$125,6,0),"")</f>
        <v/>
      </c>
      <c r="G14" t="str">
        <f>IFERROR(VLOOKUP(_xlfn.CONCAT($B$1,$B14),STQ!$A$2:$I$125,7,0),"")</f>
        <v/>
      </c>
      <c r="H14" t="str">
        <f>IFERROR(VLOOKUP(_xlfn.CONCAT($B$1,$B14),STQ!$A$2:$I$125,8,0),"")</f>
        <v/>
      </c>
      <c r="I14" t="str">
        <f>IFERROR(VLOOKUP(_xlfn.CONCAT($B$1,$B14),STQ!$A$2:$I$125,8,0),"")</f>
        <v/>
      </c>
    </row>
    <row r="15" spans="1:9" x14ac:dyDescent="0.25">
      <c r="A15" s="33"/>
      <c r="B15" s="33"/>
      <c r="C15" s="33"/>
      <c r="D15" t="str">
        <f>IFERROR(VLOOKUP(_xlfn.CONCAT($B$1,$B15),STQ!$A$2:$I$125,4,0),"")</f>
        <v/>
      </c>
      <c r="E15" t="str">
        <f>IFERROR(VLOOKUP(_xlfn.CONCAT($B$1,$B15),STQ!$A$2:$I$125,5,0),"")</f>
        <v/>
      </c>
      <c r="F15" t="str">
        <f>IFERROR(VLOOKUP(_xlfn.CONCAT($B$1,$B15),STQ!$A$2:$I$125,6,0),"")</f>
        <v/>
      </c>
      <c r="G15" t="str">
        <f>IFERROR(VLOOKUP(_xlfn.CONCAT($B$1,$B15),STQ!$A$2:$I$125,7,0),"")</f>
        <v/>
      </c>
      <c r="H15" t="str">
        <f>IFERROR(VLOOKUP(_xlfn.CONCAT($B$1,$B15),STQ!$A$2:$I$125,8,0),"")</f>
        <v/>
      </c>
      <c r="I15" t="str">
        <f>IFERROR(VLOOKUP(_xlfn.CONCAT($B$1,$B15),STQ!$A$2:$I$125,8,0),"")</f>
        <v/>
      </c>
    </row>
    <row r="16" spans="1:9" x14ac:dyDescent="0.25">
      <c r="A16" s="33"/>
      <c r="B16" s="33"/>
      <c r="C16" s="33"/>
      <c r="D16" s="33"/>
      <c r="E16" s="120"/>
      <c r="F16" s="120"/>
      <c r="G16" s="120"/>
      <c r="H16" s="120"/>
      <c r="I16" s="120"/>
    </row>
    <row r="17" spans="1:9" x14ac:dyDescent="0.25">
      <c r="A17" s="33"/>
      <c r="B17" s="33"/>
      <c r="C17" s="33"/>
      <c r="D17" s="33"/>
      <c r="E17" t="str">
        <f>IFERROR(VLOOKUP(_xlfn.CONCAT($B$1,$B17),STQ!$A$2:$I$125,4,0),"")</f>
        <v/>
      </c>
      <c r="F17" t="str">
        <f>IFERROR(VLOOKUP(_xlfn.CONCAT($B$1,$B17),STQ!$A$2:$I$125,5,0),"")</f>
        <v/>
      </c>
      <c r="G17" t="str">
        <f>IFERROR(VLOOKUP(_xlfn.CONCAT($B$1,$B17),STQ!$A$2:$I$125,6,0),"")</f>
        <v/>
      </c>
      <c r="H17" t="str">
        <f>IFERROR(VLOOKUP(_xlfn.CONCAT($B$1,$B17),STQ!$A$2:$I$125,7,0),"")</f>
        <v/>
      </c>
      <c r="I17" t="str">
        <f>IFERROR(VLOOKUP(_xlfn.CONCAT($B$1,$B17),STQ!$A$2:$I$125,8,0),"")</f>
        <v/>
      </c>
    </row>
  </sheetData>
  <sheetProtection formatColumns="0" formatRows="0"/>
  <hyperlinks>
    <hyperlink ref="A1" location="TOC!A1" display="Table of Contents" xr:uid="{F387C1DB-4995-4A5E-8A0C-934F24220C2E}"/>
  </hyperlink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10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140625" bestFit="1" customWidth="1"/>
    <col min="2" max="2" width="11.42578125" bestFit="1" customWidth="1"/>
    <col min="3" max="3" width="79.42578125" bestFit="1" customWidth="1"/>
  </cols>
  <sheetData>
    <row r="1" spans="1:10" x14ac:dyDescent="0.25">
      <c r="A1" s="141" t="s">
        <v>316</v>
      </c>
      <c r="B1" s="32" t="s">
        <v>325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40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41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  <c r="H6" s="65" t="s">
        <v>777</v>
      </c>
      <c r="I6" s="65" t="s">
        <v>778</v>
      </c>
      <c r="J6" s="65" t="s">
        <v>779</v>
      </c>
    </row>
    <row r="7" spans="1:10" x14ac:dyDescent="0.25">
      <c r="A7" s="33" t="s">
        <v>782</v>
      </c>
      <c r="B7" s="33" t="s">
        <v>952</v>
      </c>
      <c r="C7" s="33" t="s">
        <v>953</v>
      </c>
      <c r="D7" s="33" t="s">
        <v>927</v>
      </c>
      <c r="E7" s="33" t="s">
        <v>926</v>
      </c>
      <c r="F7" s="2">
        <v>2.3955600000000001</v>
      </c>
      <c r="G7" s="2">
        <v>0.17044999999999999</v>
      </c>
      <c r="H7" s="2">
        <v>-3.60215</v>
      </c>
      <c r="I7" s="2">
        <v>-1.4633700000000001</v>
      </c>
      <c r="J7" s="2">
        <v>5.0655200000000002</v>
      </c>
    </row>
    <row r="8" spans="1:10" x14ac:dyDescent="0.25">
      <c r="A8" s="33" t="s">
        <v>782</v>
      </c>
      <c r="B8" s="33" t="s">
        <v>954</v>
      </c>
      <c r="C8" s="33" t="s">
        <v>955</v>
      </c>
      <c r="D8" s="33" t="s">
        <v>927</v>
      </c>
      <c r="E8" s="33" t="s">
        <v>926</v>
      </c>
      <c r="F8" s="2">
        <v>2.0436299999999998</v>
      </c>
      <c r="G8" s="2">
        <v>3.338E-2</v>
      </c>
      <c r="H8" s="2">
        <v>-3.1688200000000002</v>
      </c>
      <c r="I8" s="2">
        <v>-1.2823599999999999</v>
      </c>
      <c r="J8" s="2">
        <v>4.4511799999999999</v>
      </c>
    </row>
    <row r="9" spans="1:10" x14ac:dyDescent="0.25">
      <c r="A9" s="33" t="s">
        <v>782</v>
      </c>
      <c r="B9" s="33" t="s">
        <v>956</v>
      </c>
      <c r="C9" s="33" t="s">
        <v>957</v>
      </c>
      <c r="D9" s="33" t="s">
        <v>927</v>
      </c>
      <c r="E9" s="33" t="s">
        <v>926</v>
      </c>
      <c r="F9" s="2">
        <v>1.30894</v>
      </c>
      <c r="G9" s="2">
        <v>-0.27123999999999998</v>
      </c>
      <c r="H9" s="2">
        <v>-1.81073</v>
      </c>
      <c r="I9" s="2">
        <v>-1.47631</v>
      </c>
      <c r="J9" s="2">
        <v>3.2870400000000002</v>
      </c>
    </row>
    <row r="10" spans="1:10" x14ac:dyDescent="0.25">
      <c r="A10" s="40" t="s">
        <v>782</v>
      </c>
      <c r="B10" s="40" t="s">
        <v>958</v>
      </c>
      <c r="C10" s="40" t="s">
        <v>959</v>
      </c>
      <c r="D10" s="40" t="s">
        <v>927</v>
      </c>
      <c r="E10" s="40" t="s">
        <v>926</v>
      </c>
      <c r="F10" s="4">
        <v>1.0518700000000001</v>
      </c>
      <c r="G10" s="4">
        <v>6.7409999999999998E-2</v>
      </c>
      <c r="H10" s="4">
        <v>-1.62792</v>
      </c>
      <c r="I10" s="4">
        <v>-1.0870899999999999</v>
      </c>
      <c r="J10" s="4">
        <v>2.7150099999999999</v>
      </c>
    </row>
  </sheetData>
  <sheetProtection formatColumns="0" formatRows="0"/>
  <hyperlinks>
    <hyperlink ref="A1" location="TOC!A1" display="Table of Contents" xr:uid="{5B55838D-CEA3-47D6-84C6-90DC9409730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J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7.42578125" bestFit="1" customWidth="1"/>
    <col min="2" max="2" width="11.42578125" bestFit="1" customWidth="1"/>
    <col min="3" max="3" width="64.42578125" bestFit="1" customWidth="1"/>
  </cols>
  <sheetData>
    <row r="1" spans="1:10" x14ac:dyDescent="0.25">
      <c r="A1" s="141" t="s">
        <v>316</v>
      </c>
      <c r="B1" s="32" t="s">
        <v>320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42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43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  <c r="H6" s="65" t="s">
        <v>777</v>
      </c>
      <c r="I6" s="65" t="s">
        <v>778</v>
      </c>
      <c r="J6" s="65" t="s">
        <v>779</v>
      </c>
    </row>
    <row r="7" spans="1:10" x14ac:dyDescent="0.25">
      <c r="A7" s="33" t="s">
        <v>782</v>
      </c>
      <c r="B7" s="33" t="s">
        <v>960</v>
      </c>
      <c r="C7" s="33" t="s">
        <v>961</v>
      </c>
      <c r="D7" s="33"/>
      <c r="E7" s="33" t="s">
        <v>926</v>
      </c>
      <c r="F7" s="2">
        <v>2.2508599999999999</v>
      </c>
      <c r="G7" s="2">
        <v>5.5969999999999999E-2</v>
      </c>
      <c r="H7" s="2">
        <v>-1.5272699999999999</v>
      </c>
      <c r="I7" s="2">
        <v>-0.68891000000000002</v>
      </c>
      <c r="J7" s="2">
        <v>2.21618</v>
      </c>
    </row>
    <row r="8" spans="1:10" x14ac:dyDescent="0.25">
      <c r="A8" s="33" t="s">
        <v>782</v>
      </c>
      <c r="B8" s="33" t="s">
        <v>962</v>
      </c>
      <c r="C8" s="33" t="s">
        <v>963</v>
      </c>
      <c r="D8" s="33" t="s">
        <v>927</v>
      </c>
      <c r="E8" s="33" t="s">
        <v>926</v>
      </c>
      <c r="F8" s="2">
        <v>1.05141</v>
      </c>
      <c r="G8" s="2">
        <v>-2.9579999999999999E-2</v>
      </c>
      <c r="H8" s="2">
        <v>-1.2578499999999999</v>
      </c>
      <c r="I8" s="2">
        <v>-0.63302000000000003</v>
      </c>
      <c r="J8" s="2">
        <v>1.8908700000000001</v>
      </c>
    </row>
    <row r="9" spans="1:10" x14ac:dyDescent="0.25">
      <c r="A9" s="33" t="s">
        <v>782</v>
      </c>
      <c r="B9" s="33" t="s">
        <v>964</v>
      </c>
      <c r="C9" s="33" t="s">
        <v>965</v>
      </c>
      <c r="D9" s="33" t="s">
        <v>927</v>
      </c>
      <c r="E9" s="33" t="s">
        <v>926</v>
      </c>
      <c r="F9" s="2">
        <v>0.97516999999999998</v>
      </c>
      <c r="G9" s="2">
        <v>0.12148</v>
      </c>
      <c r="H9" s="2">
        <v>-1.2004699999999999</v>
      </c>
      <c r="I9" s="2">
        <v>-0.62578999999999996</v>
      </c>
      <c r="J9" s="2">
        <v>1.82626</v>
      </c>
    </row>
    <row r="10" spans="1:10" x14ac:dyDescent="0.25">
      <c r="A10" s="33" t="s">
        <v>782</v>
      </c>
      <c r="B10" s="33" t="s">
        <v>966</v>
      </c>
      <c r="C10" s="33" t="s">
        <v>967</v>
      </c>
      <c r="D10" s="33"/>
      <c r="E10" s="33" t="s">
        <v>926</v>
      </c>
      <c r="F10" s="2">
        <v>2.0909200000000001</v>
      </c>
      <c r="G10" s="2">
        <v>2.0539999999999999E-2</v>
      </c>
      <c r="H10" s="2">
        <v>-1.66995</v>
      </c>
      <c r="I10" s="2">
        <v>-0.61617</v>
      </c>
      <c r="J10" s="2">
        <v>2.2861199999999999</v>
      </c>
    </row>
    <row r="11" spans="1:10" x14ac:dyDescent="0.25">
      <c r="A11" s="33" t="s">
        <v>782</v>
      </c>
      <c r="B11" s="33" t="s">
        <v>968</v>
      </c>
      <c r="C11" s="33" t="s">
        <v>969</v>
      </c>
      <c r="D11" s="33" t="s">
        <v>927</v>
      </c>
      <c r="E11" s="33" t="s">
        <v>926</v>
      </c>
      <c r="F11" s="2">
        <v>1.00315</v>
      </c>
      <c r="G11" s="2">
        <v>5.5969999999999999E-2</v>
      </c>
      <c r="H11" s="2">
        <v>-1.29644</v>
      </c>
      <c r="I11" s="2">
        <v>-0.91556000000000004</v>
      </c>
      <c r="J11" s="2">
        <v>2.2120000000000002</v>
      </c>
    </row>
    <row r="12" spans="1:10" x14ac:dyDescent="0.25">
      <c r="A12" s="40" t="s">
        <v>782</v>
      </c>
      <c r="B12" s="40" t="s">
        <v>970</v>
      </c>
      <c r="C12" s="40" t="s">
        <v>971</v>
      </c>
      <c r="D12" s="40"/>
      <c r="E12" s="40" t="s">
        <v>926</v>
      </c>
      <c r="F12" s="4">
        <v>2.8284899999999999</v>
      </c>
      <c r="G12" s="4">
        <v>-0.22438</v>
      </c>
      <c r="H12" s="4">
        <v>-1.7379800000000001</v>
      </c>
      <c r="I12" s="4">
        <v>-0.70552000000000004</v>
      </c>
      <c r="J12" s="4">
        <v>2.4434999999999998</v>
      </c>
    </row>
  </sheetData>
  <sheetProtection formatColumns="0" formatRows="0"/>
  <hyperlinks>
    <hyperlink ref="A1" location="TOC!A1" display="Table of Contents" xr:uid="{51C6FE8E-94D1-4C5C-A317-6145F500977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6.42578125" customWidth="1"/>
    <col min="2" max="2" width="11.42578125" bestFit="1" customWidth="1"/>
    <col min="3" max="3" width="139" customWidth="1"/>
  </cols>
  <sheetData>
    <row r="1" spans="1:8" x14ac:dyDescent="0.25">
      <c r="A1" s="141" t="s">
        <v>316</v>
      </c>
      <c r="B1" s="32" t="s">
        <v>370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44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45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972</v>
      </c>
      <c r="C7" s="33" t="s">
        <v>973</v>
      </c>
      <c r="D7" s="2">
        <v>2.1207400000000001</v>
      </c>
      <c r="E7" s="2">
        <v>-1.26715</v>
      </c>
      <c r="F7" s="2">
        <v>-1.8811899999999999</v>
      </c>
      <c r="G7" s="2">
        <v>-1.26803</v>
      </c>
      <c r="H7" s="2">
        <v>3.1492200000000001</v>
      </c>
    </row>
    <row r="8" spans="1:8" x14ac:dyDescent="0.25">
      <c r="A8" s="33" t="s">
        <v>782</v>
      </c>
      <c r="B8" s="33" t="s">
        <v>974</v>
      </c>
      <c r="C8" s="33" t="s">
        <v>975</v>
      </c>
      <c r="D8" s="2">
        <v>3.07816</v>
      </c>
      <c r="E8" s="2">
        <v>-2.2830499999999998</v>
      </c>
      <c r="F8" s="2">
        <v>-3.2233000000000001</v>
      </c>
      <c r="G8" s="2">
        <v>-1.2603899999999999</v>
      </c>
      <c r="H8" s="2">
        <v>4.4836900000000002</v>
      </c>
    </row>
    <row r="9" spans="1:8" x14ac:dyDescent="0.25">
      <c r="A9" s="33" t="s">
        <v>782</v>
      </c>
      <c r="B9" s="33" t="s">
        <v>976</v>
      </c>
      <c r="C9" s="33" t="s">
        <v>977</v>
      </c>
      <c r="D9" s="2">
        <v>2.2736800000000001</v>
      </c>
      <c r="E9" s="2">
        <v>-1.2736499999999999</v>
      </c>
      <c r="F9" s="2">
        <v>-2.65347</v>
      </c>
      <c r="G9" s="2">
        <v>-0.83613000000000004</v>
      </c>
      <c r="H9" s="2">
        <v>3.4895999999999998</v>
      </c>
    </row>
    <row r="10" spans="1:8" x14ac:dyDescent="0.25">
      <c r="A10" s="40" t="s">
        <v>782</v>
      </c>
      <c r="B10" s="40" t="s">
        <v>978</v>
      </c>
      <c r="C10" s="40" t="s">
        <v>979</v>
      </c>
      <c r="D10" s="4">
        <v>1.8944300000000001</v>
      </c>
      <c r="E10" s="4">
        <v>-1.23692</v>
      </c>
      <c r="F10" s="4">
        <v>-2.00013</v>
      </c>
      <c r="G10" s="4">
        <v>-0.93884999999999996</v>
      </c>
      <c r="H10" s="4">
        <v>2.9389799999999999</v>
      </c>
    </row>
  </sheetData>
  <sheetProtection formatColumns="0" formatRows="0"/>
  <hyperlinks>
    <hyperlink ref="A1" location="TOC!A1" display="Table of Contents" xr:uid="{12CC9C17-48E6-4BC0-BED9-9CBB320F07D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140625" bestFit="1" customWidth="1"/>
    <col min="2" max="2" width="15.7109375" customWidth="1"/>
    <col min="3" max="3" width="79.42578125" bestFit="1" customWidth="1"/>
  </cols>
  <sheetData>
    <row r="1" spans="1:9" x14ac:dyDescent="0.25">
      <c r="A1" s="141" t="s">
        <v>316</v>
      </c>
      <c r="B1" s="32" t="s">
        <v>327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46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47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980</v>
      </c>
      <c r="C7" s="33" t="s">
        <v>981</v>
      </c>
      <c r="D7" s="33" t="s">
        <v>926</v>
      </c>
      <c r="E7" s="2">
        <v>1.51834</v>
      </c>
      <c r="F7" s="2">
        <v>-5.6680000000000001E-2</v>
      </c>
      <c r="G7" s="2">
        <v>-3.02725</v>
      </c>
      <c r="H7" s="2">
        <v>-0.67718</v>
      </c>
      <c r="I7" s="2">
        <v>3.7044299999999999</v>
      </c>
    </row>
    <row r="8" spans="1:9" x14ac:dyDescent="0.25">
      <c r="A8" s="33" t="s">
        <v>782</v>
      </c>
      <c r="B8" s="33" t="s">
        <v>982</v>
      </c>
      <c r="C8" s="33" t="s">
        <v>983</v>
      </c>
      <c r="D8" s="33" t="s">
        <v>926</v>
      </c>
      <c r="E8" s="2">
        <v>1.41896</v>
      </c>
      <c r="F8" s="2">
        <v>0.56771000000000005</v>
      </c>
      <c r="G8" s="2">
        <v>-3.3008600000000001</v>
      </c>
      <c r="H8" s="2">
        <v>-0.20146</v>
      </c>
      <c r="I8" s="2">
        <v>3.5023200000000001</v>
      </c>
    </row>
    <row r="9" spans="1:9" x14ac:dyDescent="0.25">
      <c r="A9" s="33" t="s">
        <v>782</v>
      </c>
      <c r="B9" s="33" t="s">
        <v>984</v>
      </c>
      <c r="C9" s="33" t="s">
        <v>985</v>
      </c>
      <c r="D9" s="33" t="s">
        <v>926</v>
      </c>
      <c r="E9" s="2">
        <v>1.94886</v>
      </c>
      <c r="F9" s="2">
        <v>-0.56723999999999997</v>
      </c>
      <c r="G9" s="2">
        <v>-3.6970499999999999</v>
      </c>
      <c r="H9" s="2">
        <v>-0.75839999999999996</v>
      </c>
      <c r="I9" s="2">
        <v>4.4554499999999999</v>
      </c>
    </row>
    <row r="10" spans="1:9" x14ac:dyDescent="0.25">
      <c r="A10" s="40" t="s">
        <v>782</v>
      </c>
      <c r="B10" s="40" t="s">
        <v>986</v>
      </c>
      <c r="C10" s="40" t="s">
        <v>987</v>
      </c>
      <c r="D10" s="40" t="s">
        <v>926</v>
      </c>
      <c r="E10" s="4">
        <v>1.9668699999999999</v>
      </c>
      <c r="F10" s="4">
        <v>-0.33979999999999999</v>
      </c>
      <c r="G10" s="4">
        <v>-3.7393100000000001</v>
      </c>
      <c r="H10" s="4">
        <v>-0.57696000000000003</v>
      </c>
      <c r="I10" s="4">
        <v>4.3162700000000003</v>
      </c>
    </row>
  </sheetData>
  <sheetProtection formatColumns="0" formatRows="0"/>
  <hyperlinks>
    <hyperlink ref="A1" location="TOC!A1" display="Table of Contents" xr:uid="{29508EFC-9825-4ABB-8DEC-89E7203018B7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6.42578125" customWidth="1"/>
    <col min="2" max="2" width="11.42578125" bestFit="1" customWidth="1"/>
    <col min="3" max="3" width="85.140625" customWidth="1"/>
  </cols>
  <sheetData>
    <row r="1" spans="1:8" x14ac:dyDescent="0.25">
      <c r="A1" s="141" t="s">
        <v>316</v>
      </c>
      <c r="B1" s="32" t="s">
        <v>379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48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49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988</v>
      </c>
      <c r="C7" s="33" t="s">
        <v>989</v>
      </c>
      <c r="D7" s="2">
        <v>1.2291000000000001</v>
      </c>
      <c r="E7" s="2">
        <v>0.49758999999999998</v>
      </c>
      <c r="F7" s="2">
        <v>-1.2026699999999999</v>
      </c>
      <c r="G7" s="2">
        <v>-0.51083999999999996</v>
      </c>
      <c r="H7" s="2">
        <v>1.7135100000000001</v>
      </c>
    </row>
    <row r="8" spans="1:8" x14ac:dyDescent="0.25">
      <c r="A8" s="33" t="s">
        <v>782</v>
      </c>
      <c r="B8" s="33" t="s">
        <v>990</v>
      </c>
      <c r="C8" s="33" t="s">
        <v>991</v>
      </c>
      <c r="D8" s="2">
        <v>2.5998100000000002</v>
      </c>
      <c r="E8" s="2">
        <v>4.0349999999999997E-2</v>
      </c>
      <c r="F8" s="2">
        <v>-2.9142399999999999</v>
      </c>
      <c r="G8" s="2">
        <v>-0.84935000000000005</v>
      </c>
      <c r="H8" s="2">
        <v>3.7635800000000001</v>
      </c>
    </row>
    <row r="9" spans="1:8" x14ac:dyDescent="0.25">
      <c r="A9" s="33" t="s">
        <v>782</v>
      </c>
      <c r="B9" s="33" t="s">
        <v>992</v>
      </c>
      <c r="C9" s="33" t="s">
        <v>993</v>
      </c>
      <c r="D9" s="2">
        <v>2.79474</v>
      </c>
      <c r="E9" s="2">
        <v>-0.27951999999999999</v>
      </c>
      <c r="F9" s="2">
        <v>-2.9677099999999998</v>
      </c>
      <c r="G9" s="2">
        <v>-1.0004200000000001</v>
      </c>
      <c r="H9" s="2">
        <v>3.9681299999999999</v>
      </c>
    </row>
    <row r="10" spans="1:8" x14ac:dyDescent="0.25">
      <c r="A10" s="40" t="s">
        <v>782</v>
      </c>
      <c r="B10" s="40" t="s">
        <v>994</v>
      </c>
      <c r="C10" s="40" t="s">
        <v>995</v>
      </c>
      <c r="D10" s="4">
        <v>1.4319299999999999</v>
      </c>
      <c r="E10" s="4">
        <v>-5.2920000000000002E-2</v>
      </c>
      <c r="F10" s="4">
        <v>-1.59812</v>
      </c>
      <c r="G10" s="4">
        <v>-0.67888000000000004</v>
      </c>
      <c r="H10" s="4">
        <v>2.2770000000000001</v>
      </c>
    </row>
  </sheetData>
  <sheetProtection formatColumns="0" formatRows="0"/>
  <hyperlinks>
    <hyperlink ref="A1" location="TOC!A1" display="Table of Contents" xr:uid="{272F55E9-C8E7-42EC-9B61-09EF882A6BB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7.42578125" bestFit="1" customWidth="1"/>
    <col min="2" max="2" width="11.42578125" bestFit="1" customWidth="1"/>
    <col min="3" max="3" width="94.140625" customWidth="1"/>
    <col min="4" max="4" width="9.42578125" customWidth="1"/>
  </cols>
  <sheetData>
    <row r="1" spans="1:9" x14ac:dyDescent="0.25">
      <c r="A1" s="141" t="s">
        <v>316</v>
      </c>
      <c r="B1" s="32" t="s">
        <v>372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50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51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996</v>
      </c>
      <c r="D6" s="65" t="s">
        <v>922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997</v>
      </c>
      <c r="C7" s="33" t="s">
        <v>998</v>
      </c>
      <c r="D7" s="33" t="s">
        <v>927</v>
      </c>
      <c r="E7" s="9">
        <v>1.0741099999999999</v>
      </c>
      <c r="F7" s="9">
        <v>-0.96892999999999996</v>
      </c>
      <c r="G7" s="9">
        <v>-1.0787</v>
      </c>
      <c r="H7" s="9">
        <v>-0.36021999999999998</v>
      </c>
      <c r="I7" s="9">
        <v>1.4389099999999999</v>
      </c>
    </row>
    <row r="8" spans="1:9" x14ac:dyDescent="0.25">
      <c r="A8" s="33" t="s">
        <v>782</v>
      </c>
      <c r="B8" s="33" t="s">
        <v>999</v>
      </c>
      <c r="C8" s="33" t="s">
        <v>1000</v>
      </c>
      <c r="D8" s="33" t="s">
        <v>927</v>
      </c>
      <c r="E8" s="9">
        <v>1.75973</v>
      </c>
      <c r="F8" s="9">
        <v>-1.8927099999999999</v>
      </c>
      <c r="G8" s="9">
        <v>-1.82605</v>
      </c>
      <c r="H8" s="9">
        <v>-0.39118999999999998</v>
      </c>
      <c r="I8" s="9">
        <v>2.2172399999999999</v>
      </c>
    </row>
    <row r="9" spans="1:9" x14ac:dyDescent="0.25">
      <c r="A9" s="33" t="s">
        <v>782</v>
      </c>
      <c r="B9" s="33" t="s">
        <v>1001</v>
      </c>
      <c r="C9" s="33" t="s">
        <v>1002</v>
      </c>
      <c r="D9" s="33" t="s">
        <v>927</v>
      </c>
      <c r="E9" s="9">
        <v>2.0030299999999999</v>
      </c>
      <c r="F9" s="9">
        <v>-2.25271</v>
      </c>
      <c r="G9" s="9">
        <v>-2.0596399999999999</v>
      </c>
      <c r="H9" s="9">
        <v>-0.28155000000000002</v>
      </c>
      <c r="I9" s="9">
        <v>2.3411900000000001</v>
      </c>
    </row>
    <row r="10" spans="1:9" x14ac:dyDescent="0.25">
      <c r="A10" s="33" t="s">
        <v>782</v>
      </c>
      <c r="B10" s="33" t="s">
        <v>1003</v>
      </c>
      <c r="C10" s="33" t="s">
        <v>1004</v>
      </c>
      <c r="D10" s="33" t="s">
        <v>927</v>
      </c>
      <c r="E10" s="9">
        <v>1.70564</v>
      </c>
      <c r="F10" s="9">
        <v>-1.5319700000000001</v>
      </c>
      <c r="G10" s="9">
        <v>-1.94394</v>
      </c>
      <c r="H10" s="9">
        <v>-0.20014000000000001</v>
      </c>
      <c r="I10" s="9">
        <v>2.1440899999999998</v>
      </c>
    </row>
    <row r="11" spans="1:9" x14ac:dyDescent="0.25">
      <c r="A11" s="33" t="s">
        <v>782</v>
      </c>
      <c r="B11" s="33" t="s">
        <v>1005</v>
      </c>
      <c r="C11" s="33" t="s">
        <v>1006</v>
      </c>
      <c r="D11" s="33" t="s">
        <v>927</v>
      </c>
      <c r="E11" s="9">
        <v>1.6906399999999999</v>
      </c>
      <c r="F11" s="9">
        <v>-1.5239799999999999</v>
      </c>
      <c r="G11" s="9">
        <v>-1.9578800000000001</v>
      </c>
      <c r="H11" s="9">
        <v>-0.22534000000000001</v>
      </c>
      <c r="I11" s="9">
        <v>2.1832199999999999</v>
      </c>
    </row>
    <row r="12" spans="1:9" x14ac:dyDescent="0.25">
      <c r="A12" s="40" t="s">
        <v>782</v>
      </c>
      <c r="B12" s="40" t="s">
        <v>1007</v>
      </c>
      <c r="C12" s="40" t="s">
        <v>1008</v>
      </c>
      <c r="D12" s="40" t="s">
        <v>927</v>
      </c>
      <c r="E12" s="10">
        <v>1.50265</v>
      </c>
      <c r="F12" s="10">
        <v>-1.42645</v>
      </c>
      <c r="G12" s="10">
        <v>-1.3641399999999999</v>
      </c>
      <c r="H12" s="10">
        <v>-0.21510000000000001</v>
      </c>
      <c r="I12" s="10">
        <v>1.57924</v>
      </c>
    </row>
  </sheetData>
  <sheetProtection formatColumns="0" formatRows="0"/>
  <hyperlinks>
    <hyperlink ref="A1" location="TOC!A1" display="Table of Contents" xr:uid="{81626A00-6C86-4C87-8E14-7C26F38531E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6.42578125" customWidth="1"/>
    <col min="2" max="2" width="11.42578125" bestFit="1" customWidth="1"/>
    <col min="3" max="3" width="85.140625" customWidth="1"/>
  </cols>
  <sheetData>
    <row r="1" spans="1:8" x14ac:dyDescent="0.25">
      <c r="A1" s="141" t="s">
        <v>316</v>
      </c>
      <c r="B1" s="32" t="s">
        <v>383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52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53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1009</v>
      </c>
      <c r="C7" s="33" t="s">
        <v>1010</v>
      </c>
      <c r="D7" s="2">
        <v>2.1725500000000002</v>
      </c>
      <c r="E7" s="2">
        <v>-1.47435</v>
      </c>
      <c r="F7" s="2">
        <v>-1.4663999999999999</v>
      </c>
      <c r="G7" s="2">
        <v>-1.5544</v>
      </c>
      <c r="H7" s="2">
        <v>3.0207899999999999</v>
      </c>
    </row>
    <row r="8" spans="1:8" x14ac:dyDescent="0.25">
      <c r="A8" s="33" t="s">
        <v>782</v>
      </c>
      <c r="B8" s="33" t="s">
        <v>1011</v>
      </c>
      <c r="C8" s="33" t="s">
        <v>1012</v>
      </c>
      <c r="D8" s="2">
        <v>2.48996</v>
      </c>
      <c r="E8" s="2">
        <v>-1.99919</v>
      </c>
      <c r="F8" s="2">
        <v>-2.33744</v>
      </c>
      <c r="G8" s="2">
        <v>-1.1938500000000001</v>
      </c>
      <c r="H8" s="2">
        <v>3.5312899999999998</v>
      </c>
    </row>
    <row r="9" spans="1:8" x14ac:dyDescent="0.25">
      <c r="A9" s="33" t="s">
        <v>782</v>
      </c>
      <c r="B9" s="33" t="s">
        <v>1013</v>
      </c>
      <c r="C9" s="33" t="s">
        <v>1014</v>
      </c>
      <c r="D9" s="2">
        <v>2.4958200000000001</v>
      </c>
      <c r="E9" s="2">
        <v>-2.0809899999999999</v>
      </c>
      <c r="F9" s="2">
        <v>-2.1821600000000001</v>
      </c>
      <c r="G9" s="2">
        <v>-1.0856399999999999</v>
      </c>
      <c r="H9" s="2">
        <v>3.2677999999999998</v>
      </c>
    </row>
    <row r="10" spans="1:8" x14ac:dyDescent="0.25">
      <c r="A10" s="33" t="s">
        <v>782</v>
      </c>
      <c r="B10" s="33" t="s">
        <v>1015</v>
      </c>
      <c r="C10" s="33" t="s">
        <v>1016</v>
      </c>
      <c r="D10" s="2">
        <v>1.1570499999999999</v>
      </c>
      <c r="E10" s="2">
        <v>-0.98399999999999999</v>
      </c>
      <c r="F10" s="2">
        <v>-1.07576</v>
      </c>
      <c r="G10" s="2">
        <v>-0.76602000000000003</v>
      </c>
      <c r="H10" s="2">
        <v>1.8417699999999999</v>
      </c>
    </row>
    <row r="11" spans="1:8" x14ac:dyDescent="0.25">
      <c r="A11" s="40" t="s">
        <v>782</v>
      </c>
      <c r="B11" s="40" t="s">
        <v>1017</v>
      </c>
      <c r="C11" s="40" t="s">
        <v>1018</v>
      </c>
      <c r="D11" s="4">
        <v>1.95445</v>
      </c>
      <c r="E11" s="4">
        <v>-1.6223799999999999</v>
      </c>
      <c r="F11" s="4">
        <v>-1.7252700000000001</v>
      </c>
      <c r="G11" s="4">
        <v>-1.0309200000000001</v>
      </c>
      <c r="H11" s="4">
        <v>2.7562000000000002</v>
      </c>
    </row>
  </sheetData>
  <sheetProtection formatColumns="0" formatRows="0"/>
  <hyperlinks>
    <hyperlink ref="A1" location="TOC!A1" display="Table of Contents" xr:uid="{D9DC8B47-D8CE-4D92-BCDF-0DDFA672A14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6.42578125" customWidth="1"/>
    <col min="2" max="2" width="11.42578125" bestFit="1" customWidth="1"/>
    <col min="3" max="3" width="85.140625" customWidth="1"/>
  </cols>
  <sheetData>
    <row r="1" spans="1:8" x14ac:dyDescent="0.25">
      <c r="A1" s="141" t="s">
        <v>316</v>
      </c>
      <c r="B1" s="32" t="s">
        <v>376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54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55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1019</v>
      </c>
      <c r="C7" s="33" t="s">
        <v>1020</v>
      </c>
      <c r="D7" s="2">
        <v>1.68466</v>
      </c>
      <c r="E7" s="2">
        <v>-0.95982000000000001</v>
      </c>
      <c r="F7" s="2">
        <v>-1.87734</v>
      </c>
      <c r="G7" s="2">
        <v>-1.1258600000000001</v>
      </c>
      <c r="H7" s="2">
        <v>3.0032000000000001</v>
      </c>
    </row>
    <row r="8" spans="1:8" x14ac:dyDescent="0.25">
      <c r="A8" s="33" t="s">
        <v>782</v>
      </c>
      <c r="B8" s="33" t="s">
        <v>1021</v>
      </c>
      <c r="C8" s="33" t="s">
        <v>1022</v>
      </c>
      <c r="D8" s="2">
        <v>2.5286300000000002</v>
      </c>
      <c r="E8" s="2">
        <v>-2.2152500000000002</v>
      </c>
      <c r="F8" s="2">
        <v>-2.67021</v>
      </c>
      <c r="G8" s="2">
        <v>-1.34182</v>
      </c>
      <c r="H8" s="2">
        <v>4.0120300000000002</v>
      </c>
    </row>
    <row r="9" spans="1:8" x14ac:dyDescent="0.25">
      <c r="A9" s="33" t="s">
        <v>782</v>
      </c>
      <c r="B9" s="33" t="s">
        <v>1023</v>
      </c>
      <c r="C9" s="33" t="s">
        <v>1024</v>
      </c>
      <c r="D9" s="2">
        <v>2.0909499999999999</v>
      </c>
      <c r="E9" s="2">
        <v>-2.1920700000000002</v>
      </c>
      <c r="F9" s="2">
        <v>-1.74763</v>
      </c>
      <c r="G9" s="2">
        <v>-1.24112</v>
      </c>
      <c r="H9" s="2">
        <v>2.98875</v>
      </c>
    </row>
    <row r="10" spans="1:8" x14ac:dyDescent="0.25">
      <c r="A10" s="40" t="s">
        <v>782</v>
      </c>
      <c r="B10" s="40" t="s">
        <v>1025</v>
      </c>
      <c r="C10" s="40" t="s">
        <v>1026</v>
      </c>
      <c r="D10" s="4">
        <v>1.6065199999999999</v>
      </c>
      <c r="E10" s="4">
        <v>-1.5096000000000001</v>
      </c>
      <c r="F10" s="4">
        <v>-1.46712</v>
      </c>
      <c r="G10" s="4">
        <v>-0.98760000000000003</v>
      </c>
      <c r="H10" s="4">
        <v>2.45472</v>
      </c>
    </row>
  </sheetData>
  <sheetProtection formatColumns="0" formatRows="0"/>
  <hyperlinks>
    <hyperlink ref="A1" location="TOC!A1" display="Table of Contents" xr:uid="{F2A8B30E-E0DF-4F98-8C54-FB68EDEB68A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7.42578125" bestFit="1" customWidth="1"/>
    <col min="2" max="2" width="11.42578125" bestFit="1" customWidth="1"/>
    <col min="3" max="3" width="60.42578125" customWidth="1"/>
    <col min="4" max="4" width="9.42578125" customWidth="1"/>
  </cols>
  <sheetData>
    <row r="1" spans="1:9" x14ac:dyDescent="0.25">
      <c r="A1" s="141" t="s">
        <v>316</v>
      </c>
      <c r="B1" s="32" t="s">
        <v>323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58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57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996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1027</v>
      </c>
      <c r="C7" s="33" t="s">
        <v>1028</v>
      </c>
      <c r="D7" s="33" t="s">
        <v>926</v>
      </c>
      <c r="E7" s="9">
        <v>1.2835799999999999</v>
      </c>
      <c r="F7" s="9">
        <v>0.36260999999999999</v>
      </c>
      <c r="G7" s="9">
        <v>-1.5627800000000001</v>
      </c>
      <c r="H7" s="9">
        <v>-4.2139999999999997E-2</v>
      </c>
      <c r="I7" s="9">
        <v>1.6049199999999999</v>
      </c>
    </row>
    <row r="8" spans="1:9" x14ac:dyDescent="0.25">
      <c r="A8" s="33" t="s">
        <v>782</v>
      </c>
      <c r="B8" s="33" t="s">
        <v>1029</v>
      </c>
      <c r="C8" s="33" t="s">
        <v>1030</v>
      </c>
      <c r="D8" s="33" t="s">
        <v>926</v>
      </c>
      <c r="E8" s="9">
        <v>1.26939</v>
      </c>
      <c r="F8" s="9">
        <v>0.52051000000000003</v>
      </c>
      <c r="G8" s="9">
        <v>-1.9861899999999999</v>
      </c>
      <c r="H8" s="9">
        <v>0.10496999999999999</v>
      </c>
      <c r="I8" s="9">
        <v>1.8812199999999999</v>
      </c>
    </row>
    <row r="9" spans="1:9" x14ac:dyDescent="0.25">
      <c r="A9" s="33" t="s">
        <v>782</v>
      </c>
      <c r="B9" s="33" t="s">
        <v>1031</v>
      </c>
      <c r="C9" s="33" t="s">
        <v>1032</v>
      </c>
      <c r="D9" s="33" t="s">
        <v>926</v>
      </c>
      <c r="E9" s="9">
        <v>1.60103</v>
      </c>
      <c r="F9" s="9">
        <v>-0.24789</v>
      </c>
      <c r="G9" s="9">
        <v>-1.5420400000000001</v>
      </c>
      <c r="H9" s="9">
        <v>-0.15711</v>
      </c>
      <c r="I9" s="9">
        <v>1.6991499999999999</v>
      </c>
    </row>
    <row r="10" spans="1:9" x14ac:dyDescent="0.25">
      <c r="A10" s="33" t="s">
        <v>782</v>
      </c>
      <c r="B10" s="33" t="s">
        <v>1033</v>
      </c>
      <c r="C10" s="33" t="s">
        <v>1034</v>
      </c>
      <c r="D10" s="33" t="s">
        <v>926</v>
      </c>
      <c r="E10" s="9">
        <v>2.5051700000000001</v>
      </c>
      <c r="F10" s="9">
        <v>-0.64161999999999997</v>
      </c>
      <c r="G10" s="9">
        <v>-2.6438799999999998</v>
      </c>
      <c r="H10" s="9">
        <v>-0.20116999999999999</v>
      </c>
      <c r="I10" s="9">
        <v>2.8450500000000001</v>
      </c>
    </row>
    <row r="11" spans="1:9" x14ac:dyDescent="0.25">
      <c r="A11" s="33" t="s">
        <v>782</v>
      </c>
      <c r="B11" s="33" t="s">
        <v>1035</v>
      </c>
      <c r="C11" s="33" t="s">
        <v>1036</v>
      </c>
      <c r="D11" s="33" t="s">
        <v>926</v>
      </c>
      <c r="E11" s="9">
        <v>1.58222</v>
      </c>
      <c r="F11" s="9">
        <v>-0.22228999999999999</v>
      </c>
      <c r="G11" s="9">
        <v>-1.6685300000000001</v>
      </c>
      <c r="H11" s="9">
        <v>-0.17376</v>
      </c>
      <c r="I11" s="9">
        <v>1.84229</v>
      </c>
    </row>
    <row r="12" spans="1:9" x14ac:dyDescent="0.25">
      <c r="A12" s="40" t="s">
        <v>782</v>
      </c>
      <c r="B12" s="40" t="s">
        <v>1037</v>
      </c>
      <c r="C12" s="40" t="s">
        <v>1038</v>
      </c>
      <c r="D12" s="40"/>
      <c r="E12" s="10">
        <v>2.0642200000000002</v>
      </c>
      <c r="F12" s="10">
        <v>-0.72711000000000003</v>
      </c>
      <c r="G12" s="10">
        <v>-2.1548400000000001</v>
      </c>
      <c r="H12" s="10">
        <v>-0.20608000000000001</v>
      </c>
      <c r="I12" s="10">
        <v>2.3609300000000002</v>
      </c>
    </row>
  </sheetData>
  <sheetProtection formatColumns="0" formatRows="0"/>
  <hyperlinks>
    <hyperlink ref="A1" location="TOC!A1" display="Table of Contents" xr:uid="{D5F3CF62-BE9B-4282-92FC-FE9A85ABE5A8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3.42578125" customWidth="1"/>
    <col min="2" max="2" width="11.42578125" bestFit="1" customWidth="1"/>
    <col min="3" max="3" width="110.42578125" customWidth="1"/>
  </cols>
  <sheetData>
    <row r="1" spans="1:8" x14ac:dyDescent="0.25">
      <c r="A1" s="141" t="s">
        <v>316</v>
      </c>
      <c r="B1" s="32" t="s">
        <v>375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56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59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1039</v>
      </c>
      <c r="C7" s="33" t="s">
        <v>1040</v>
      </c>
      <c r="D7" s="2">
        <v>1.0922000000000001</v>
      </c>
      <c r="E7" s="2">
        <v>1.6039000000000001</v>
      </c>
      <c r="F7" s="2">
        <v>-0.26517000000000002</v>
      </c>
      <c r="G7" s="2">
        <v>-0.47649999999999998</v>
      </c>
      <c r="H7" s="2">
        <v>0.74167000000000005</v>
      </c>
    </row>
    <row r="8" spans="1:8" x14ac:dyDescent="0.25">
      <c r="A8" s="33" t="s">
        <v>782</v>
      </c>
      <c r="B8" s="33" t="s">
        <v>1041</v>
      </c>
      <c r="C8" s="33" t="s">
        <v>1042</v>
      </c>
      <c r="D8" s="2">
        <v>1.36815</v>
      </c>
      <c r="E8" s="2">
        <v>1.8153999999999999</v>
      </c>
      <c r="F8" s="2">
        <v>-0.50488999999999995</v>
      </c>
      <c r="G8" s="2">
        <v>-0.65049999999999997</v>
      </c>
      <c r="H8" s="2">
        <v>1.1553899999999999</v>
      </c>
    </row>
    <row r="9" spans="1:8" x14ac:dyDescent="0.25">
      <c r="A9" s="33" t="s">
        <v>782</v>
      </c>
      <c r="B9" s="33" t="s">
        <v>1043</v>
      </c>
      <c r="C9" s="33" t="s">
        <v>1044</v>
      </c>
      <c r="D9" s="2">
        <v>1.0558099999999999</v>
      </c>
      <c r="E9" s="2">
        <v>0.70104</v>
      </c>
      <c r="F9" s="2">
        <v>-0.38407999999999998</v>
      </c>
      <c r="G9" s="2">
        <v>-0.71769000000000005</v>
      </c>
      <c r="H9" s="2">
        <v>1.1017699999999999</v>
      </c>
    </row>
    <row r="10" spans="1:8" x14ac:dyDescent="0.25">
      <c r="A10" s="33" t="s">
        <v>782</v>
      </c>
      <c r="B10" s="33" t="s">
        <v>1045</v>
      </c>
      <c r="C10" s="33" t="s">
        <v>1046</v>
      </c>
      <c r="D10" s="2">
        <v>1.4117200000000001</v>
      </c>
      <c r="E10" s="2">
        <v>1.13435</v>
      </c>
      <c r="F10" s="2">
        <v>-0.49757000000000001</v>
      </c>
      <c r="G10" s="2">
        <v>-0.66554999999999997</v>
      </c>
      <c r="H10" s="2">
        <v>1.1631199999999999</v>
      </c>
    </row>
    <row r="11" spans="1:8" x14ac:dyDescent="0.25">
      <c r="A11" s="40" t="s">
        <v>782</v>
      </c>
      <c r="B11" s="40" t="s">
        <v>1047</v>
      </c>
      <c r="C11" s="40" t="s">
        <v>1048</v>
      </c>
      <c r="D11" s="4">
        <v>1.1005499999999999</v>
      </c>
      <c r="E11" s="4">
        <v>0.52200000000000002</v>
      </c>
      <c r="F11" s="4">
        <v>-0.49337999999999999</v>
      </c>
      <c r="G11" s="4">
        <v>-0.51439000000000001</v>
      </c>
      <c r="H11" s="4">
        <v>1.0077700000000001</v>
      </c>
    </row>
    <row r="12" spans="1:8" x14ac:dyDescent="0.25">
      <c r="A12" s="33"/>
      <c r="B12" s="33"/>
      <c r="C12" s="33"/>
      <c r="D12" t="str">
        <f>IFERROR(VLOOKUP(_xlfn.CONCAT($B$1,$B12),STQ!$A$2:$I$125,4,0),"")</f>
        <v/>
      </c>
      <c r="E12" t="str">
        <f>IFERROR(VLOOKUP(_xlfn.CONCAT($B$1,$B12),STQ!$A$2:$I$125,5,0),"")</f>
        <v/>
      </c>
      <c r="F12" t="str">
        <f>IFERROR(VLOOKUP(_xlfn.CONCAT($B$1,$B12),STQ!$A$2:$I$125,6,0),"")</f>
        <v/>
      </c>
      <c r="G12" t="str">
        <f>IFERROR(VLOOKUP(_xlfn.CONCAT($B$1,$B12),STQ!$A$2:$I$125,7,0),"")</f>
        <v/>
      </c>
      <c r="H12" t="str">
        <f>IFERROR(VLOOKUP(_xlfn.CONCAT($B$1,$B12),STQ!$A$2:$I$125,8,0),"")</f>
        <v/>
      </c>
    </row>
  </sheetData>
  <sheetProtection formatColumns="0" formatRows="0"/>
  <hyperlinks>
    <hyperlink ref="A1" location="TOC!A1" display="Table of Contents" xr:uid="{3E5E7B57-1097-46E1-8A6B-60FC3F53C6F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01"/>
  <dimension ref="A1:J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2" width="15.7109375" customWidth="1"/>
    <col min="3" max="3" width="49.28515625" customWidth="1"/>
    <col min="5" max="10" width="9.140625" style="2" customWidth="1"/>
  </cols>
  <sheetData>
    <row r="1" spans="1:10" x14ac:dyDescent="0.25">
      <c r="A1" s="141" t="s">
        <v>316</v>
      </c>
      <c r="B1" s="32" t="s">
        <v>371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60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61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996</v>
      </c>
      <c r="D6" s="65" t="s">
        <v>921</v>
      </c>
      <c r="E6" s="86" t="s">
        <v>775</v>
      </c>
      <c r="F6" s="86" t="s">
        <v>776</v>
      </c>
      <c r="G6" s="86" t="s">
        <v>777</v>
      </c>
      <c r="H6" s="86" t="s">
        <v>778</v>
      </c>
      <c r="I6" s="86" t="s">
        <v>779</v>
      </c>
      <c r="J6" s="86" t="s">
        <v>780</v>
      </c>
    </row>
    <row r="7" spans="1:10" x14ac:dyDescent="0.25">
      <c r="A7" s="33" t="s">
        <v>782</v>
      </c>
      <c r="B7" s="33" t="s">
        <v>1049</v>
      </c>
      <c r="C7" s="33" t="s">
        <v>1050</v>
      </c>
      <c r="D7" s="33" t="s">
        <v>926</v>
      </c>
      <c r="E7" s="2">
        <v>2.43452</v>
      </c>
      <c r="F7" s="2">
        <v>-2.11347</v>
      </c>
      <c r="G7" s="2">
        <v>-1.77382</v>
      </c>
      <c r="H7" s="2">
        <v>-1.39266</v>
      </c>
      <c r="I7" s="2">
        <v>-0.31459999999999999</v>
      </c>
      <c r="J7" s="2">
        <v>3.48108</v>
      </c>
    </row>
    <row r="8" spans="1:10" x14ac:dyDescent="0.25">
      <c r="A8" s="33" t="s">
        <v>782</v>
      </c>
      <c r="B8" s="33" t="s">
        <v>1051</v>
      </c>
      <c r="C8" s="33" t="s">
        <v>1052</v>
      </c>
      <c r="D8" s="33" t="s">
        <v>926</v>
      </c>
      <c r="E8" s="2">
        <v>3.2882699999999998</v>
      </c>
      <c r="F8" s="2">
        <v>-3.2198799999999999</v>
      </c>
      <c r="G8" s="2">
        <v>-3.3730199999999999</v>
      </c>
      <c r="H8" s="2">
        <v>-1.63852</v>
      </c>
      <c r="I8" s="2">
        <v>7.5209999999999999E-2</v>
      </c>
      <c r="J8" s="2">
        <v>4.9363299999999999</v>
      </c>
    </row>
    <row r="9" spans="1:10" x14ac:dyDescent="0.25">
      <c r="A9" s="33" t="s">
        <v>782</v>
      </c>
      <c r="B9" s="33" t="s">
        <v>1053</v>
      </c>
      <c r="C9" s="33" t="s">
        <v>1054</v>
      </c>
      <c r="D9" s="33" t="s">
        <v>926</v>
      </c>
      <c r="E9" s="2">
        <v>1.5161</v>
      </c>
      <c r="F9" s="2">
        <v>-1.1824399999999999</v>
      </c>
      <c r="G9" s="2">
        <v>-1.8717999999999999</v>
      </c>
      <c r="H9" s="2">
        <v>-1.1380600000000001</v>
      </c>
      <c r="I9" s="2">
        <v>0.47567999999999999</v>
      </c>
      <c r="J9" s="2">
        <v>2.5341800000000001</v>
      </c>
    </row>
    <row r="10" spans="1:10" x14ac:dyDescent="0.25">
      <c r="A10" s="40" t="s">
        <v>782</v>
      </c>
      <c r="B10" s="40" t="s">
        <v>1055</v>
      </c>
      <c r="C10" s="40" t="s">
        <v>1056</v>
      </c>
      <c r="D10" s="40" t="s">
        <v>926</v>
      </c>
      <c r="E10" s="4">
        <v>1.3347</v>
      </c>
      <c r="F10" s="4">
        <v>-1.4288000000000001</v>
      </c>
      <c r="G10" s="4">
        <v>-0.91661999999999999</v>
      </c>
      <c r="H10" s="4">
        <v>-1.3279000000000001</v>
      </c>
      <c r="I10" s="4">
        <v>-7.7719999999999997E-2</v>
      </c>
      <c r="J10" s="4">
        <v>2.3222399999999999</v>
      </c>
    </row>
  </sheetData>
  <sheetProtection formatColumns="0" formatRows="0"/>
  <hyperlinks>
    <hyperlink ref="A1" location="TOC!A1" display="Table of Contents" xr:uid="{DBED0F4B-73BB-4BB2-8C26-F6BD000EC6C0}"/>
  </hyperlink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02"/>
  <dimension ref="A1:J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28515625" customWidth="1"/>
    <col min="2" max="2" width="25.42578125" customWidth="1"/>
    <col min="3" max="3" width="58.42578125" customWidth="1"/>
    <col min="5" max="10" width="9.140625" style="2" customWidth="1"/>
  </cols>
  <sheetData>
    <row r="1" spans="1:10" x14ac:dyDescent="0.25">
      <c r="A1" s="141" t="s">
        <v>316</v>
      </c>
      <c r="B1" s="32" t="s">
        <v>380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62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63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996</v>
      </c>
      <c r="D6" s="65" t="s">
        <v>921</v>
      </c>
      <c r="E6" s="86" t="s">
        <v>775</v>
      </c>
      <c r="F6" s="86" t="s">
        <v>776</v>
      </c>
      <c r="G6" s="86" t="s">
        <v>777</v>
      </c>
      <c r="H6" s="86" t="s">
        <v>778</v>
      </c>
      <c r="I6" s="86" t="s">
        <v>779</v>
      </c>
      <c r="J6" s="86" t="s">
        <v>780</v>
      </c>
    </row>
    <row r="7" spans="1:10" x14ac:dyDescent="0.25">
      <c r="A7" s="33" t="s">
        <v>782</v>
      </c>
      <c r="B7" s="33" t="s">
        <v>1057</v>
      </c>
      <c r="C7" s="33" t="s">
        <v>1058</v>
      </c>
      <c r="D7" s="33" t="s">
        <v>926</v>
      </c>
      <c r="E7" s="2">
        <v>2.2345100000000002</v>
      </c>
      <c r="F7" s="2">
        <v>-1.6757500000000001</v>
      </c>
      <c r="G7" s="2">
        <v>-2.1284100000000001</v>
      </c>
      <c r="H7" s="2">
        <v>-1.4606399999999999</v>
      </c>
      <c r="I7" s="2">
        <v>2.1610000000000001E-2</v>
      </c>
      <c r="J7" s="2">
        <v>3.5674399999999999</v>
      </c>
    </row>
    <row r="8" spans="1:10" x14ac:dyDescent="0.25">
      <c r="A8" s="33" t="s">
        <v>782</v>
      </c>
      <c r="B8" s="33" t="s">
        <v>1059</v>
      </c>
      <c r="C8" s="33" t="s">
        <v>1060</v>
      </c>
      <c r="D8" s="33" t="s">
        <v>926</v>
      </c>
      <c r="E8" s="2">
        <v>2.0617700000000001</v>
      </c>
      <c r="F8" s="2">
        <v>-1.73838</v>
      </c>
      <c r="G8" s="2">
        <v>-2.5494599999999998</v>
      </c>
      <c r="H8" s="2">
        <v>-1.0912599999999999</v>
      </c>
      <c r="I8" s="2">
        <v>0.12212000000000001</v>
      </c>
      <c r="J8" s="2">
        <v>3.5186000000000002</v>
      </c>
    </row>
    <row r="9" spans="1:10" x14ac:dyDescent="0.25">
      <c r="A9" s="33" t="s">
        <v>782</v>
      </c>
      <c r="B9" s="33" t="s">
        <v>1061</v>
      </c>
      <c r="C9" s="33" t="s">
        <v>1062</v>
      </c>
      <c r="D9" s="33" t="s">
        <v>926</v>
      </c>
      <c r="E9" s="2">
        <v>1.7030000000000001</v>
      </c>
      <c r="F9" s="2">
        <v>-1.1462699999999999</v>
      </c>
      <c r="G9" s="2">
        <v>-2.2757999999999998</v>
      </c>
      <c r="H9" s="2">
        <v>-1.0246599999999999</v>
      </c>
      <c r="I9" s="2">
        <v>0.23624000000000001</v>
      </c>
      <c r="J9" s="2">
        <v>3.0642200000000002</v>
      </c>
    </row>
    <row r="10" spans="1:10" x14ac:dyDescent="0.25">
      <c r="A10" s="40" t="s">
        <v>782</v>
      </c>
      <c r="B10" s="40" t="s">
        <v>1063</v>
      </c>
      <c r="C10" s="40" t="s">
        <v>1064</v>
      </c>
      <c r="D10" s="40" t="s">
        <v>926</v>
      </c>
      <c r="E10" s="4">
        <v>1.31942</v>
      </c>
      <c r="F10" s="4">
        <v>-1.21008</v>
      </c>
      <c r="G10" s="4">
        <v>-1.3857600000000001</v>
      </c>
      <c r="H10" s="4">
        <v>-1.0008900000000001</v>
      </c>
      <c r="I10" s="4">
        <v>2.6040000000000001E-2</v>
      </c>
      <c r="J10" s="4">
        <v>2.3606099999999999</v>
      </c>
    </row>
  </sheetData>
  <sheetProtection formatColumns="0" formatRows="0"/>
  <hyperlinks>
    <hyperlink ref="A1" location="TOC!A1" display="Table of Contents" xr:uid="{D9591F27-0DEF-4E31-AAFC-B3642DBB6F13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03"/>
  <dimension ref="A1:L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9" customWidth="1"/>
    <col min="3" max="3" width="89.7109375" customWidth="1"/>
    <col min="4" max="8" width="9.140625" style="2" customWidth="1"/>
  </cols>
  <sheetData>
    <row r="1" spans="1:12" x14ac:dyDescent="0.25">
      <c r="A1" s="141" t="s">
        <v>316</v>
      </c>
      <c r="B1" s="32" t="s">
        <v>373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x14ac:dyDescent="0.25">
      <c r="A3" s="34" t="s">
        <v>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25">
      <c r="A4" s="34" t="s">
        <v>65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x14ac:dyDescent="0.25">
      <c r="A6" s="65" t="s">
        <v>771</v>
      </c>
      <c r="B6" s="65" t="s">
        <v>772</v>
      </c>
      <c r="C6" s="65" t="s">
        <v>996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33"/>
      <c r="J6" s="33"/>
      <c r="K6" s="33"/>
      <c r="L6" s="33"/>
    </row>
    <row r="7" spans="1:12" x14ac:dyDescent="0.25">
      <c r="A7" s="33" t="s">
        <v>782</v>
      </c>
      <c r="B7" s="33" t="s">
        <v>1065</v>
      </c>
      <c r="C7" s="33" t="s">
        <v>1066</v>
      </c>
      <c r="D7" s="2">
        <v>1.41822</v>
      </c>
      <c r="E7" s="2">
        <v>0.17715</v>
      </c>
      <c r="F7" s="2">
        <v>-1.02616</v>
      </c>
      <c r="G7" s="2">
        <v>0.38246999999999998</v>
      </c>
      <c r="H7" s="2">
        <v>0.64368999999999998</v>
      </c>
      <c r="I7" s="33"/>
      <c r="J7" s="33"/>
      <c r="K7" s="33"/>
      <c r="L7" s="33"/>
    </row>
    <row r="8" spans="1:12" x14ac:dyDescent="0.25">
      <c r="A8" s="33" t="s">
        <v>782</v>
      </c>
      <c r="B8" s="33" t="s">
        <v>1067</v>
      </c>
      <c r="C8" s="33" t="s">
        <v>1068</v>
      </c>
      <c r="D8" s="2">
        <v>2.0275500000000002</v>
      </c>
      <c r="E8" s="2">
        <v>-3.6679999999999997E-2</v>
      </c>
      <c r="F8" s="2">
        <v>-2.5472000000000001</v>
      </c>
      <c r="G8" s="2">
        <v>0.24915000000000001</v>
      </c>
      <c r="H8" s="2">
        <v>2.2980499999999999</v>
      </c>
      <c r="I8" s="33"/>
      <c r="J8" s="33"/>
      <c r="K8" s="33"/>
      <c r="L8" s="33"/>
    </row>
    <row r="9" spans="1:12" x14ac:dyDescent="0.25">
      <c r="A9" s="33" t="s">
        <v>782</v>
      </c>
      <c r="B9" s="33" t="s">
        <v>1069</v>
      </c>
      <c r="C9" s="33" t="s">
        <v>1070</v>
      </c>
      <c r="D9" s="2">
        <v>2.0981999999999998</v>
      </c>
      <c r="E9" s="2">
        <v>-0.60155000000000003</v>
      </c>
      <c r="F9" s="2">
        <v>-2.58853</v>
      </c>
      <c r="G9" s="2">
        <v>0.16017000000000001</v>
      </c>
      <c r="H9" s="2">
        <v>2.4283600000000001</v>
      </c>
      <c r="I9" s="33"/>
      <c r="J9" s="33"/>
      <c r="K9" s="33"/>
      <c r="L9" s="33"/>
    </row>
    <row r="10" spans="1:12" x14ac:dyDescent="0.25">
      <c r="A10" s="33" t="s">
        <v>782</v>
      </c>
      <c r="B10" s="33" t="s">
        <v>1071</v>
      </c>
      <c r="C10" s="33" t="s">
        <v>1072</v>
      </c>
      <c r="D10" s="2">
        <v>2.5716199999999998</v>
      </c>
      <c r="E10" s="2">
        <v>-0.24056</v>
      </c>
      <c r="F10" s="2">
        <v>-2.68126</v>
      </c>
      <c r="G10" s="2">
        <v>0.14421</v>
      </c>
      <c r="H10" s="2">
        <v>2.5370499999999998</v>
      </c>
      <c r="I10" s="33"/>
      <c r="J10" s="33"/>
      <c r="K10" s="33"/>
      <c r="L10" s="33"/>
    </row>
    <row r="11" spans="1:12" x14ac:dyDescent="0.25">
      <c r="A11" s="33" t="s">
        <v>782</v>
      </c>
      <c r="B11" s="33" t="s">
        <v>1073</v>
      </c>
      <c r="C11" s="33" t="s">
        <v>1074</v>
      </c>
      <c r="D11" s="2">
        <v>2.7571099999999999</v>
      </c>
      <c r="E11" s="2">
        <v>-0.33956999999999998</v>
      </c>
      <c r="F11" s="2">
        <v>-2.8508200000000001</v>
      </c>
      <c r="G11" s="2">
        <v>0.15853999999999999</v>
      </c>
      <c r="H11" s="2">
        <v>2.6922799999999998</v>
      </c>
      <c r="I11" s="33"/>
      <c r="J11" s="33"/>
      <c r="K11" s="33"/>
      <c r="L11" s="87"/>
    </row>
    <row r="12" spans="1:12" x14ac:dyDescent="0.25">
      <c r="A12" s="40" t="s">
        <v>782</v>
      </c>
      <c r="B12" s="40" t="s">
        <v>1075</v>
      </c>
      <c r="C12" s="40" t="s">
        <v>1076</v>
      </c>
      <c r="D12" s="4">
        <v>1.9982800000000001</v>
      </c>
      <c r="E12" s="4">
        <v>-6.13E-3</v>
      </c>
      <c r="F12" s="4">
        <v>-2.0734400000000002</v>
      </c>
      <c r="G12" s="4">
        <v>0.1656</v>
      </c>
      <c r="H12" s="4">
        <v>1.90784</v>
      </c>
      <c r="I12" s="33"/>
      <c r="J12" s="33"/>
      <c r="K12" s="33"/>
      <c r="L12" s="87"/>
    </row>
    <row r="13" spans="1:12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87"/>
    </row>
  </sheetData>
  <sheetProtection formatColumns="0" formatRows="0"/>
  <hyperlinks>
    <hyperlink ref="A1" location="TOC!A1" display="Table of Contents" xr:uid="{93C67C91-DA66-4B8D-A95A-088791D4E1C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1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3.42578125" customWidth="1"/>
    <col min="2" max="2" width="11.42578125" bestFit="1" customWidth="1"/>
    <col min="3" max="3" width="110.42578125" customWidth="1"/>
  </cols>
  <sheetData>
    <row r="1" spans="1:9" x14ac:dyDescent="0.25">
      <c r="A1" s="141" t="s">
        <v>316</v>
      </c>
      <c r="B1" s="32" t="s">
        <v>369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66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67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1077</v>
      </c>
      <c r="C7" s="33" t="s">
        <v>1078</v>
      </c>
      <c r="D7" s="2">
        <v>0.98138999999999998</v>
      </c>
      <c r="E7" s="2">
        <v>1.174E-2</v>
      </c>
      <c r="F7" s="2">
        <v>-0.90476000000000001</v>
      </c>
      <c r="G7" s="2">
        <v>-0.40360000000000001</v>
      </c>
      <c r="H7" s="2">
        <v>0.52908999999999995</v>
      </c>
      <c r="I7" s="2">
        <v>0.77925999999999995</v>
      </c>
    </row>
    <row r="8" spans="1:9" x14ac:dyDescent="0.25">
      <c r="A8" s="33" t="s">
        <v>782</v>
      </c>
      <c r="B8" s="33" t="s">
        <v>1079</v>
      </c>
      <c r="C8" s="33" t="s">
        <v>1080</v>
      </c>
      <c r="D8" s="2">
        <v>1.1115900000000001</v>
      </c>
      <c r="E8" s="2">
        <v>-0.61778999999999995</v>
      </c>
      <c r="F8" s="2">
        <v>-1.0369299999999999</v>
      </c>
      <c r="G8" s="2">
        <v>-0.35770999999999997</v>
      </c>
      <c r="H8" s="2">
        <v>0.38935999999999998</v>
      </c>
      <c r="I8" s="2">
        <v>1.00529</v>
      </c>
    </row>
    <row r="9" spans="1:9" x14ac:dyDescent="0.25">
      <c r="A9" s="33" t="s">
        <v>782</v>
      </c>
      <c r="B9" s="33" t="s">
        <v>1081</v>
      </c>
      <c r="C9" s="33" t="s">
        <v>1082</v>
      </c>
      <c r="D9" s="2">
        <v>1.3585</v>
      </c>
      <c r="E9" s="2">
        <v>-0.66281000000000001</v>
      </c>
      <c r="F9" s="2">
        <v>-1.24407</v>
      </c>
      <c r="G9" s="2">
        <v>-0.51485000000000003</v>
      </c>
      <c r="H9" s="2">
        <v>0.50107999999999997</v>
      </c>
      <c r="I9" s="2">
        <v>1.2578400000000001</v>
      </c>
    </row>
    <row r="10" spans="1:9" x14ac:dyDescent="0.25">
      <c r="A10" s="33" t="s">
        <v>782</v>
      </c>
      <c r="B10" s="33" t="s">
        <v>1083</v>
      </c>
      <c r="C10" s="33" t="s">
        <v>1084</v>
      </c>
      <c r="D10" s="2">
        <v>1.5229600000000001</v>
      </c>
      <c r="E10" s="2">
        <v>-0.55461000000000005</v>
      </c>
      <c r="F10" s="2">
        <v>-1.5250900000000001</v>
      </c>
      <c r="G10" s="2">
        <v>-0.56386999999999998</v>
      </c>
      <c r="H10" s="2">
        <v>0.51234000000000002</v>
      </c>
      <c r="I10" s="2">
        <v>1.57663</v>
      </c>
    </row>
    <row r="11" spans="1:9" x14ac:dyDescent="0.25">
      <c r="A11" s="40" t="s">
        <v>782</v>
      </c>
      <c r="B11" s="40" t="s">
        <v>1085</v>
      </c>
      <c r="C11" s="40" t="s">
        <v>1086</v>
      </c>
      <c r="D11" s="4">
        <v>1.34335</v>
      </c>
      <c r="E11" s="4">
        <v>-0.29137999999999997</v>
      </c>
      <c r="F11" s="4">
        <v>-1.21166</v>
      </c>
      <c r="G11" s="4">
        <v>-0.47848000000000002</v>
      </c>
      <c r="H11" s="4">
        <v>0.47538999999999998</v>
      </c>
      <c r="I11" s="4">
        <v>1.21475</v>
      </c>
    </row>
    <row r="12" spans="1:9" x14ac:dyDescent="0.25">
      <c r="A12" s="33"/>
      <c r="B12" s="33"/>
      <c r="C12" s="33"/>
      <c r="D12" t="str">
        <f>IFERROR(VLOOKUP(_xlfn.CONCAT($B$1,$B12),STQ!$A$2:$I$125,4,0),"")</f>
        <v/>
      </c>
      <c r="E12" t="str">
        <f>IFERROR(VLOOKUP(_xlfn.CONCAT($B$1,$B12),STQ!$A$2:$I$125,5,0),"")</f>
        <v/>
      </c>
      <c r="F12" t="str">
        <f>IFERROR(VLOOKUP(_xlfn.CONCAT($B$1,$B12),STQ!$A$2:$I$125,6,0),"")</f>
        <v/>
      </c>
      <c r="G12" t="str">
        <f>IFERROR(VLOOKUP(_xlfn.CONCAT($B$1,$B12),STQ!$A$2:$I$125,7,0),"")</f>
        <v/>
      </c>
      <c r="H12" t="str">
        <f>IFERROR(VLOOKUP(_xlfn.CONCAT($B$1,$B12),STQ!$A$2:$I$125,8,0),"")</f>
        <v/>
      </c>
      <c r="I12" s="33"/>
    </row>
  </sheetData>
  <sheetProtection formatColumns="0" formatRows="0"/>
  <hyperlinks>
    <hyperlink ref="A1" location="TOC!A1" display="Table of Contents" xr:uid="{3CE49E72-D8E4-45BC-947A-2746FC8196D7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2"/>
  <dimension ref="A1:I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3.42578125" customWidth="1"/>
    <col min="2" max="2" width="11.42578125" bestFit="1" customWidth="1"/>
    <col min="3" max="3" width="110.42578125" customWidth="1"/>
  </cols>
  <sheetData>
    <row r="1" spans="1:9" x14ac:dyDescent="0.25">
      <c r="A1" s="141" t="s">
        <v>316</v>
      </c>
      <c r="B1" s="32" t="s">
        <v>381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68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69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1087</v>
      </c>
      <c r="C7" s="33" t="s">
        <v>1088</v>
      </c>
      <c r="D7" s="2">
        <v>1.65035</v>
      </c>
      <c r="E7" s="2">
        <v>-0.31833</v>
      </c>
      <c r="F7" s="2">
        <v>-1.59212</v>
      </c>
      <c r="G7" s="2">
        <v>-0.54730000000000001</v>
      </c>
      <c r="H7" s="2">
        <v>0.61270000000000002</v>
      </c>
      <c r="I7" s="2">
        <v>1.5267200000000001</v>
      </c>
    </row>
    <row r="8" spans="1:9" x14ac:dyDescent="0.25">
      <c r="A8" s="33" t="s">
        <v>782</v>
      </c>
      <c r="B8" s="33" t="s">
        <v>1089</v>
      </c>
      <c r="C8" s="33" t="s">
        <v>1090</v>
      </c>
      <c r="D8" s="2">
        <v>1.27041</v>
      </c>
      <c r="E8" s="2">
        <v>9.7879999999999995E-2</v>
      </c>
      <c r="F8" s="2">
        <v>-1.1173299999999999</v>
      </c>
      <c r="G8" s="2">
        <v>-0.46145999999999998</v>
      </c>
      <c r="H8" s="2">
        <v>0.52385000000000004</v>
      </c>
      <c r="I8" s="2">
        <v>1.05494</v>
      </c>
    </row>
    <row r="9" spans="1:9" x14ac:dyDescent="0.25">
      <c r="A9" s="33" t="s">
        <v>782</v>
      </c>
      <c r="B9" s="33" t="s">
        <v>1091</v>
      </c>
      <c r="C9" s="33" t="s">
        <v>1092</v>
      </c>
      <c r="D9" s="2">
        <v>1.2162200000000001</v>
      </c>
      <c r="E9" s="2">
        <v>-0.11471000000000001</v>
      </c>
      <c r="F9" s="2">
        <v>-1.2584900000000001</v>
      </c>
      <c r="G9" s="2">
        <v>-0.47184999999999999</v>
      </c>
      <c r="H9" s="2">
        <v>0.56101000000000001</v>
      </c>
      <c r="I9" s="2">
        <v>1.16933</v>
      </c>
    </row>
    <row r="10" spans="1:9" x14ac:dyDescent="0.25">
      <c r="A10" s="40" t="s">
        <v>782</v>
      </c>
      <c r="B10" s="40" t="s">
        <v>1093</v>
      </c>
      <c r="C10" s="40" t="s">
        <v>1094</v>
      </c>
      <c r="D10" s="4">
        <v>1.0017499999999999</v>
      </c>
      <c r="E10" s="4">
        <v>-0.34247</v>
      </c>
      <c r="F10" s="4">
        <v>-1.20296</v>
      </c>
      <c r="G10" s="4">
        <v>-0.35382000000000002</v>
      </c>
      <c r="H10" s="4">
        <v>0.42120999999999997</v>
      </c>
      <c r="I10" s="4">
        <v>1.1355599999999999</v>
      </c>
    </row>
    <row r="11" spans="1:9" x14ac:dyDescent="0.25">
      <c r="A11" s="33"/>
      <c r="B11" s="33"/>
      <c r="C11" s="33"/>
      <c r="D11" t="str">
        <f>IFERROR(VLOOKUP(_xlfn.CONCAT($B$1,$B11),STQ!$A$2:$I$125,4,0),"")</f>
        <v/>
      </c>
      <c r="E11" t="str">
        <f>IFERROR(VLOOKUP(_xlfn.CONCAT($B$1,$B11),STQ!$A$2:$I$125,5,0),"")</f>
        <v/>
      </c>
      <c r="F11" t="str">
        <f>IFERROR(VLOOKUP(_xlfn.CONCAT($B$1,$B11),STQ!$A$2:$I$125,6,0),"")</f>
        <v/>
      </c>
      <c r="G11" t="str">
        <f>IFERROR(VLOOKUP(_xlfn.CONCAT($B$1,$B11),STQ!$A$2:$I$125,7,0),"")</f>
        <v/>
      </c>
      <c r="H11" t="str">
        <f>IFERROR(VLOOKUP(_xlfn.CONCAT($B$1,$B11),STQ!$A$2:$I$125,8,0),"")</f>
        <v/>
      </c>
      <c r="I11" s="33"/>
    </row>
  </sheetData>
  <sheetProtection formatColumns="0" formatRows="0"/>
  <hyperlinks>
    <hyperlink ref="A1" location="TOC!A1" display="Table of Contents" xr:uid="{C6A7CAA0-AA5F-4AF2-9203-7120CB82CAE3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/>
  <dimension ref="A1:I12"/>
  <sheetViews>
    <sheetView topLeftCell="B1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5.42578125" bestFit="1" customWidth="1"/>
    <col min="2" max="2" width="12.7109375" customWidth="1"/>
    <col min="3" max="3" width="110.42578125" customWidth="1"/>
  </cols>
  <sheetData>
    <row r="1" spans="1:9" x14ac:dyDescent="0.25">
      <c r="A1" s="141" t="s">
        <v>316</v>
      </c>
      <c r="B1" s="32" t="s">
        <v>322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70</v>
      </c>
      <c r="B3" s="34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71</v>
      </c>
      <c r="B4" s="34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1095</v>
      </c>
      <c r="C7" s="33" t="s">
        <v>1096</v>
      </c>
      <c r="D7" s="33" t="s">
        <v>926</v>
      </c>
      <c r="E7" s="2">
        <v>1.61165</v>
      </c>
      <c r="F7" s="2">
        <v>0.30668000000000001</v>
      </c>
      <c r="G7" s="2">
        <v>-2.0195400000000001</v>
      </c>
      <c r="H7" s="2">
        <v>-0.83382000000000001</v>
      </c>
      <c r="I7" s="2">
        <v>2.8533599999999999</v>
      </c>
    </row>
    <row r="8" spans="1:9" x14ac:dyDescent="0.25">
      <c r="A8" s="33" t="s">
        <v>782</v>
      </c>
      <c r="B8" s="33" t="s">
        <v>1097</v>
      </c>
      <c r="C8" s="33" t="s">
        <v>1098</v>
      </c>
      <c r="D8" s="33" t="s">
        <v>926</v>
      </c>
      <c r="E8" s="2">
        <v>2.2053400000000001</v>
      </c>
      <c r="F8" s="2">
        <v>0.42798999999999998</v>
      </c>
      <c r="G8" s="2">
        <v>-2.7055099999999999</v>
      </c>
      <c r="H8" s="2">
        <v>-0.77156000000000002</v>
      </c>
      <c r="I8" s="2">
        <v>3.4770699999999999</v>
      </c>
    </row>
    <row r="9" spans="1:9" x14ac:dyDescent="0.25">
      <c r="A9" s="33" t="s">
        <v>782</v>
      </c>
      <c r="B9" s="33" t="s">
        <v>1099</v>
      </c>
      <c r="C9" s="33" t="s">
        <v>1100</v>
      </c>
      <c r="D9" s="33" t="s">
        <v>926</v>
      </c>
      <c r="E9" s="2">
        <v>1.9517500000000001</v>
      </c>
      <c r="F9" s="2">
        <v>-1.7330000000000002E-2</v>
      </c>
      <c r="G9" s="2">
        <v>-2.0901900000000002</v>
      </c>
      <c r="H9" s="2">
        <v>-0.61795999999999995</v>
      </c>
      <c r="I9" s="2">
        <v>2.7081499999999998</v>
      </c>
    </row>
    <row r="10" spans="1:9" x14ac:dyDescent="0.25">
      <c r="A10" s="33" t="s">
        <v>782</v>
      </c>
      <c r="B10" s="33" t="s">
        <v>1101</v>
      </c>
      <c r="C10" s="33" t="s">
        <v>1102</v>
      </c>
      <c r="D10" s="33" t="s">
        <v>926</v>
      </c>
      <c r="E10" s="2">
        <v>1.3523000000000001</v>
      </c>
      <c r="F10" s="2">
        <v>-0.45721000000000001</v>
      </c>
      <c r="G10" s="2">
        <v>-1.46326</v>
      </c>
      <c r="H10" s="2">
        <v>-0.65573000000000004</v>
      </c>
      <c r="I10" s="2">
        <v>2.1189900000000002</v>
      </c>
    </row>
    <row r="11" spans="1:9" x14ac:dyDescent="0.25">
      <c r="A11" s="33" t="s">
        <v>782</v>
      </c>
      <c r="B11" s="33" t="s">
        <v>1103</v>
      </c>
      <c r="C11" s="33" t="s">
        <v>1104</v>
      </c>
      <c r="D11" s="33" t="s">
        <v>926</v>
      </c>
      <c r="E11" s="2">
        <v>1.3789400000000001</v>
      </c>
      <c r="F11" s="2">
        <v>-0.26014999999999999</v>
      </c>
      <c r="G11" s="2">
        <v>-1.37324</v>
      </c>
      <c r="H11" s="2">
        <v>-0.52234000000000003</v>
      </c>
      <c r="I11" s="2">
        <v>1.89558</v>
      </c>
    </row>
    <row r="12" spans="1:9" x14ac:dyDescent="0.25">
      <c r="A12" s="40" t="s">
        <v>782</v>
      </c>
      <c r="B12" s="40" t="s">
        <v>1105</v>
      </c>
      <c r="C12" s="40" t="s">
        <v>1106</v>
      </c>
      <c r="D12" s="40"/>
      <c r="E12" s="4">
        <v>0.63807999999999998</v>
      </c>
      <c r="F12" s="4">
        <v>-0.18770999999999999</v>
      </c>
      <c r="G12" s="4">
        <v>-0.31140000000000001</v>
      </c>
      <c r="H12" s="4">
        <v>-0.26355000000000001</v>
      </c>
      <c r="I12" s="4">
        <v>0.57494999999999996</v>
      </c>
    </row>
  </sheetData>
  <sheetProtection formatColumns="0" formatRows="0"/>
  <hyperlinks>
    <hyperlink ref="A1" location="TOC!A1" display="Table of Contents" xr:uid="{7EE46127-74C4-47AC-8BDC-E745B259EEBD}"/>
  </hyperlink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4"/>
  <dimension ref="A1:J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2.140625" customWidth="1"/>
    <col min="4" max="4" width="9.42578125" customWidth="1"/>
  </cols>
  <sheetData>
    <row r="1" spans="1:10" x14ac:dyDescent="0.25">
      <c r="A1" s="141" t="s">
        <v>316</v>
      </c>
      <c r="B1" s="32" t="s">
        <v>328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72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73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  <c r="H6" s="65" t="s">
        <v>777</v>
      </c>
      <c r="I6" s="65" t="s">
        <v>778</v>
      </c>
      <c r="J6" s="65" t="s">
        <v>779</v>
      </c>
    </row>
    <row r="7" spans="1:10" x14ac:dyDescent="0.25">
      <c r="A7" s="33" t="s">
        <v>782</v>
      </c>
      <c r="B7" s="33" t="s">
        <v>1107</v>
      </c>
      <c r="C7" s="33" t="s">
        <v>1108</v>
      </c>
      <c r="D7" s="33" t="s">
        <v>927</v>
      </c>
      <c r="E7" s="33" t="s">
        <v>926</v>
      </c>
      <c r="F7" s="2">
        <v>1.3146100000000001</v>
      </c>
      <c r="G7" s="2">
        <v>-9.8600000000000007E-3</v>
      </c>
      <c r="H7" s="2">
        <v>-1.65845</v>
      </c>
      <c r="I7" s="2">
        <v>0.11204</v>
      </c>
      <c r="J7" s="2">
        <v>1.5464100000000001</v>
      </c>
    </row>
    <row r="8" spans="1:10" x14ac:dyDescent="0.25">
      <c r="A8" s="33" t="s">
        <v>782</v>
      </c>
      <c r="B8" s="33" t="s">
        <v>1109</v>
      </c>
      <c r="C8" s="33" t="s">
        <v>1110</v>
      </c>
      <c r="D8" s="33" t="s">
        <v>927</v>
      </c>
      <c r="E8" s="33" t="s">
        <v>926</v>
      </c>
      <c r="F8" s="2">
        <v>1.8696600000000001</v>
      </c>
      <c r="G8" s="2">
        <v>-6.6040000000000001E-2</v>
      </c>
      <c r="H8" s="2">
        <v>-2.3400099999999999</v>
      </c>
      <c r="I8" s="2">
        <v>9.0469999999999995E-2</v>
      </c>
      <c r="J8" s="2">
        <v>2.2495400000000001</v>
      </c>
    </row>
    <row r="9" spans="1:10" x14ac:dyDescent="0.25">
      <c r="A9" s="33" t="s">
        <v>782</v>
      </c>
      <c r="B9" s="33" t="s">
        <v>1111</v>
      </c>
      <c r="C9" s="33" t="s">
        <v>1112</v>
      </c>
      <c r="D9" s="33" t="s">
        <v>927</v>
      </c>
      <c r="E9" s="33" t="s">
        <v>926</v>
      </c>
      <c r="F9" s="2">
        <v>2.24648</v>
      </c>
      <c r="G9" s="2">
        <v>-2.334E-2</v>
      </c>
      <c r="H9" s="2">
        <v>-2.4730599999999998</v>
      </c>
      <c r="I9" s="2">
        <v>4.7469999999999998E-2</v>
      </c>
      <c r="J9" s="2">
        <v>2.4255900000000001</v>
      </c>
    </row>
    <row r="10" spans="1:10" x14ac:dyDescent="0.25">
      <c r="A10" s="33" t="s">
        <v>782</v>
      </c>
      <c r="B10" s="33" t="s">
        <v>1113</v>
      </c>
      <c r="C10" s="33" t="s">
        <v>1114</v>
      </c>
      <c r="D10" s="33" t="s">
        <v>927</v>
      </c>
      <c r="E10" s="33" t="s">
        <v>926</v>
      </c>
      <c r="F10" s="2">
        <v>1.7256</v>
      </c>
      <c r="G10" s="2">
        <v>7.6560000000000003E-2</v>
      </c>
      <c r="H10" s="2">
        <v>-1.95095</v>
      </c>
      <c r="I10" s="2">
        <v>0.13486999999999999</v>
      </c>
      <c r="J10" s="2">
        <v>1.8160799999999999</v>
      </c>
    </row>
    <row r="11" spans="1:10" x14ac:dyDescent="0.25">
      <c r="A11" s="40" t="s">
        <v>782</v>
      </c>
      <c r="B11" s="40" t="s">
        <v>1115</v>
      </c>
      <c r="C11" s="40" t="s">
        <v>1116</v>
      </c>
      <c r="D11" s="40" t="s">
        <v>927</v>
      </c>
      <c r="E11" s="40" t="s">
        <v>926</v>
      </c>
      <c r="F11" s="4">
        <v>1.34365</v>
      </c>
      <c r="G11" s="4">
        <v>2.2669999999999999E-2</v>
      </c>
      <c r="H11" s="4">
        <v>-1.6525799999999999</v>
      </c>
      <c r="I11" s="4">
        <v>0.14005000000000001</v>
      </c>
      <c r="J11" s="4">
        <v>1.5125299999999999</v>
      </c>
    </row>
  </sheetData>
  <sheetProtection formatColumns="0" formatRows="0"/>
  <hyperlinks>
    <hyperlink ref="A1" location="TOC!A1" display="Table of Contents" xr:uid="{6A33551A-B4F1-4907-A422-D89582A05DF1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5"/>
  <dimension ref="A1:I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8.140625" bestFit="1" customWidth="1"/>
  </cols>
  <sheetData>
    <row r="1" spans="1:9" x14ac:dyDescent="0.25">
      <c r="A1" s="141" t="s">
        <v>316</v>
      </c>
      <c r="B1" s="32" t="s">
        <v>324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74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75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1117</v>
      </c>
      <c r="C7" s="33" t="s">
        <v>1118</v>
      </c>
      <c r="D7" s="33" t="s">
        <v>926</v>
      </c>
      <c r="E7" s="2">
        <v>1.2418400000000001</v>
      </c>
      <c r="F7" s="2">
        <v>9.1500000000000001E-3</v>
      </c>
      <c r="G7" s="2">
        <v>-0.55100000000000005</v>
      </c>
      <c r="H7" s="2">
        <v>-0.73695999999999995</v>
      </c>
      <c r="I7" s="2">
        <v>0.13309000000000001</v>
      </c>
    </row>
    <row r="8" spans="1:9" x14ac:dyDescent="0.25">
      <c r="A8" s="33" t="s">
        <v>782</v>
      </c>
      <c r="B8" s="33" t="s">
        <v>1119</v>
      </c>
      <c r="C8" s="33" t="s">
        <v>1120</v>
      </c>
      <c r="D8" s="33" t="s">
        <v>926</v>
      </c>
      <c r="E8" s="2">
        <v>1.92258</v>
      </c>
      <c r="F8" s="2">
        <v>0.28877000000000003</v>
      </c>
      <c r="G8" s="2">
        <v>-0.99322999999999995</v>
      </c>
      <c r="H8" s="2">
        <v>-0.93772</v>
      </c>
      <c r="I8" s="2">
        <v>0.28544000000000003</v>
      </c>
    </row>
    <row r="9" spans="1:9" x14ac:dyDescent="0.25">
      <c r="A9" s="33" t="s">
        <v>782</v>
      </c>
      <c r="B9" s="33" t="s">
        <v>1121</v>
      </c>
      <c r="C9" s="33" t="s">
        <v>1122</v>
      </c>
      <c r="D9" s="33" t="s">
        <v>926</v>
      </c>
      <c r="E9" s="2">
        <v>2.1100699999999999</v>
      </c>
      <c r="F9" s="2">
        <v>-7.9259999999999997E-2</v>
      </c>
      <c r="G9" s="2">
        <v>-1.0922499999999999</v>
      </c>
      <c r="H9" s="2">
        <v>-0.93157999999999996</v>
      </c>
      <c r="I9" s="2">
        <v>0.29353000000000001</v>
      </c>
    </row>
    <row r="10" spans="1:9" x14ac:dyDescent="0.25">
      <c r="A10" s="33" t="s">
        <v>782</v>
      </c>
      <c r="B10" s="33" t="s">
        <v>1123</v>
      </c>
      <c r="C10" s="33" t="s">
        <v>1124</v>
      </c>
      <c r="D10" s="33" t="s">
        <v>926</v>
      </c>
      <c r="E10" s="2">
        <v>1.57986</v>
      </c>
      <c r="F10" s="2">
        <v>-0.14205999999999999</v>
      </c>
      <c r="G10" s="2">
        <v>-1.1770700000000001</v>
      </c>
      <c r="H10" s="2">
        <v>-0.86311000000000004</v>
      </c>
      <c r="I10" s="2">
        <v>0.54693000000000003</v>
      </c>
    </row>
    <row r="11" spans="1:9" x14ac:dyDescent="0.25">
      <c r="A11" s="40" t="s">
        <v>782</v>
      </c>
      <c r="B11" s="40" t="s">
        <v>1125</v>
      </c>
      <c r="C11" s="40" t="s">
        <v>1126</v>
      </c>
      <c r="D11" s="40" t="s">
        <v>926</v>
      </c>
      <c r="E11" s="4">
        <v>1.55657</v>
      </c>
      <c r="F11" s="4">
        <v>-0.31090000000000001</v>
      </c>
      <c r="G11" s="4">
        <v>-0.18262999999999999</v>
      </c>
      <c r="H11" s="4">
        <v>-0.63505999999999996</v>
      </c>
      <c r="I11" s="4">
        <v>9.0450000000000003E-2</v>
      </c>
    </row>
  </sheetData>
  <sheetProtection formatColumns="0" formatRows="0"/>
  <hyperlinks>
    <hyperlink ref="A1" location="TOC!A1" display="Table of Contents" xr:uid="{659279B6-D608-4768-906D-20ED764908EC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6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8.140625" bestFit="1" customWidth="1"/>
  </cols>
  <sheetData>
    <row r="1" spans="1:8" x14ac:dyDescent="0.25">
      <c r="A1" s="141" t="s">
        <v>316</v>
      </c>
      <c r="B1" s="32" t="s">
        <v>367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76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77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1127</v>
      </c>
      <c r="C7" s="33" t="s">
        <v>1128</v>
      </c>
      <c r="D7" s="2">
        <v>1.93008</v>
      </c>
      <c r="E7" s="2">
        <v>-0.44262000000000001</v>
      </c>
      <c r="F7" s="2">
        <v>-1.27938</v>
      </c>
      <c r="G7" s="2">
        <v>-0.87156999999999996</v>
      </c>
      <c r="H7" s="2">
        <v>0.20265</v>
      </c>
    </row>
    <row r="8" spans="1:8" x14ac:dyDescent="0.25">
      <c r="A8" s="33" t="s">
        <v>782</v>
      </c>
      <c r="B8" s="33" t="s">
        <v>1129</v>
      </c>
      <c r="C8" s="33" t="s">
        <v>1130</v>
      </c>
      <c r="D8" s="2">
        <v>2.19204</v>
      </c>
      <c r="E8" s="2">
        <v>-0.66998999999999997</v>
      </c>
      <c r="F8" s="2">
        <v>-1.7332799999999999</v>
      </c>
      <c r="G8" s="2">
        <v>-1.0050300000000001</v>
      </c>
      <c r="H8" s="2">
        <v>0.38273000000000001</v>
      </c>
    </row>
    <row r="9" spans="1:8" x14ac:dyDescent="0.25">
      <c r="A9" s="33" t="s">
        <v>782</v>
      </c>
      <c r="B9" s="33" t="s">
        <v>1131</v>
      </c>
      <c r="C9" s="33" t="s">
        <v>1132</v>
      </c>
      <c r="D9" s="2">
        <v>1.9877899999999999</v>
      </c>
      <c r="E9" s="2">
        <v>-0.47194000000000003</v>
      </c>
      <c r="F9" s="2">
        <v>-1.36259</v>
      </c>
      <c r="G9" s="2">
        <v>-0.96126</v>
      </c>
      <c r="H9" s="2">
        <v>0.32462999999999997</v>
      </c>
    </row>
    <row r="10" spans="1:8" x14ac:dyDescent="0.25">
      <c r="A10" s="40" t="s">
        <v>782</v>
      </c>
      <c r="B10" s="40" t="s">
        <v>1133</v>
      </c>
      <c r="C10" s="40" t="s">
        <v>1134</v>
      </c>
      <c r="D10" s="4">
        <v>1.4115899999999999</v>
      </c>
      <c r="E10" s="4">
        <v>-0.92457999999999996</v>
      </c>
      <c r="F10" s="4">
        <v>-0.82589999999999997</v>
      </c>
      <c r="G10" s="4">
        <v>-0.60202</v>
      </c>
      <c r="H10" s="4">
        <v>8.2170000000000007E-2</v>
      </c>
    </row>
  </sheetData>
  <sheetProtection formatColumns="0" formatRows="0"/>
  <hyperlinks>
    <hyperlink ref="A1" location="TOC!A1" display="Table of Contents" xr:uid="{1C65C69A-FD35-44D7-BA17-00AB8F39171B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7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8.140625" bestFit="1" customWidth="1"/>
  </cols>
  <sheetData>
    <row r="1" spans="1:8" x14ac:dyDescent="0.25">
      <c r="A1" s="141" t="s">
        <v>316</v>
      </c>
      <c r="B1" s="32" t="s">
        <v>368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78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79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1135</v>
      </c>
      <c r="C7" s="33" t="s">
        <v>1136</v>
      </c>
      <c r="D7" s="2">
        <v>1.6335900000000001</v>
      </c>
      <c r="E7" s="2">
        <v>-1.1694500000000001</v>
      </c>
      <c r="F7" s="2">
        <v>-2.1738599999999999</v>
      </c>
      <c r="G7" s="2">
        <v>-1.2865200000000001</v>
      </c>
      <c r="H7" s="2">
        <v>0.98617999999999995</v>
      </c>
    </row>
    <row r="8" spans="1:8" x14ac:dyDescent="0.25">
      <c r="A8" s="33" t="s">
        <v>782</v>
      </c>
      <c r="B8" s="33" t="s">
        <v>1137</v>
      </c>
      <c r="C8" s="33" t="s">
        <v>1138</v>
      </c>
      <c r="D8" s="2">
        <v>2.3119800000000001</v>
      </c>
      <c r="E8" s="2">
        <v>-1.5241100000000001</v>
      </c>
      <c r="F8" s="2">
        <v>-2.9174799999999999</v>
      </c>
      <c r="G8" s="2">
        <v>-1.2508999999999999</v>
      </c>
      <c r="H8" s="2">
        <v>0.84489000000000003</v>
      </c>
    </row>
    <row r="9" spans="1:8" x14ac:dyDescent="0.25">
      <c r="A9" s="33" t="s">
        <v>782</v>
      </c>
      <c r="B9" s="33" t="s">
        <v>1139</v>
      </c>
      <c r="C9" s="33" t="s">
        <v>1140</v>
      </c>
      <c r="D9" s="2">
        <v>1.3007200000000001</v>
      </c>
      <c r="E9" s="2">
        <v>-0.87973000000000001</v>
      </c>
      <c r="F9" s="2">
        <v>-1.9164399999999999</v>
      </c>
      <c r="G9" s="2">
        <v>-0.84757000000000005</v>
      </c>
      <c r="H9" s="2">
        <v>0.75122</v>
      </c>
    </row>
    <row r="10" spans="1:8" x14ac:dyDescent="0.25">
      <c r="A10" s="40" t="s">
        <v>782</v>
      </c>
      <c r="B10" s="40" t="s">
        <v>1141</v>
      </c>
      <c r="C10" s="40" t="s">
        <v>1142</v>
      </c>
      <c r="D10" s="4">
        <v>1.5626</v>
      </c>
      <c r="E10" s="4">
        <v>-1.18042</v>
      </c>
      <c r="F10" s="4">
        <v>-1.99363</v>
      </c>
      <c r="G10" s="4">
        <v>-1.0479499999999999</v>
      </c>
      <c r="H10" s="4">
        <v>0.71352000000000004</v>
      </c>
    </row>
  </sheetData>
  <sheetProtection formatColumns="0" formatRows="0"/>
  <hyperlinks>
    <hyperlink ref="A1" location="TOC!A1" display="Table of Contents" xr:uid="{DC73BE74-CE6B-4F60-BA6C-B37BD0441A68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8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8.140625" bestFit="1" customWidth="1"/>
  </cols>
  <sheetData>
    <row r="1" spans="1:8" x14ac:dyDescent="0.25">
      <c r="A1" s="141" t="s">
        <v>316</v>
      </c>
      <c r="B1" s="88" t="s">
        <v>374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80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81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1143</v>
      </c>
      <c r="C7" s="33" t="s">
        <v>1144</v>
      </c>
      <c r="D7" s="2">
        <v>1.3490200000000001</v>
      </c>
      <c r="E7" s="2">
        <v>-1.2765500000000001</v>
      </c>
      <c r="F7" s="2">
        <v>-1.29471</v>
      </c>
      <c r="G7" s="2">
        <v>-1.1560900000000001</v>
      </c>
      <c r="H7" s="2">
        <v>2.4508000000000001</v>
      </c>
    </row>
    <row r="8" spans="1:8" x14ac:dyDescent="0.25">
      <c r="A8" s="33" t="s">
        <v>782</v>
      </c>
      <c r="B8" s="33" t="s">
        <v>1145</v>
      </c>
      <c r="C8" s="33" t="s">
        <v>1146</v>
      </c>
      <c r="D8" s="2">
        <v>2.8734500000000001</v>
      </c>
      <c r="E8" s="2">
        <v>-1.52434</v>
      </c>
      <c r="F8" s="2">
        <v>-3.8127800000000001</v>
      </c>
      <c r="G8" s="2">
        <v>-0.31772</v>
      </c>
      <c r="H8" s="2">
        <v>4.1304999999999996</v>
      </c>
    </row>
    <row r="9" spans="1:8" x14ac:dyDescent="0.25">
      <c r="A9" s="33" t="s">
        <v>782</v>
      </c>
      <c r="B9" s="33" t="s">
        <v>1147</v>
      </c>
      <c r="C9" s="33" t="s">
        <v>1148</v>
      </c>
      <c r="D9" s="2">
        <v>1.9606300000000001</v>
      </c>
      <c r="E9" s="2">
        <v>-0.54171999999999998</v>
      </c>
      <c r="F9" s="2">
        <v>-2.75047</v>
      </c>
      <c r="G9" s="2">
        <v>-4.231E-2</v>
      </c>
      <c r="H9" s="2">
        <v>2.79278</v>
      </c>
    </row>
    <row r="10" spans="1:8" x14ac:dyDescent="0.25">
      <c r="A10" s="40" t="s">
        <v>782</v>
      </c>
      <c r="B10" s="40" t="s">
        <v>1149</v>
      </c>
      <c r="C10" s="40" t="s">
        <v>1150</v>
      </c>
      <c r="D10" s="4">
        <v>1.45502</v>
      </c>
      <c r="E10" s="4">
        <v>-0.98016000000000003</v>
      </c>
      <c r="F10" s="4">
        <v>-1.95448</v>
      </c>
      <c r="G10" s="4">
        <v>-0.59470999999999996</v>
      </c>
      <c r="H10" s="4">
        <v>2.5491999999999999</v>
      </c>
    </row>
  </sheetData>
  <sheetProtection formatColumns="0" formatRows="0"/>
  <hyperlinks>
    <hyperlink ref="A1" location="TOC!A1" display="Table of Contents" xr:uid="{BBA77D6D-6FF8-4731-BB25-8AC41F5E4A2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9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2.7109375" customWidth="1"/>
    <col min="3" max="3" width="109" customWidth="1"/>
  </cols>
  <sheetData>
    <row r="1" spans="1:8" x14ac:dyDescent="0.25">
      <c r="A1" s="141" t="s">
        <v>316</v>
      </c>
      <c r="B1" s="88" t="s">
        <v>377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82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83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1151</v>
      </c>
      <c r="C7" s="33" t="s">
        <v>1152</v>
      </c>
      <c r="D7" s="2">
        <v>1.6356599999999999</v>
      </c>
      <c r="E7" s="2">
        <v>-0.63487000000000005</v>
      </c>
      <c r="F7" s="2">
        <v>-2.2298900000000001</v>
      </c>
      <c r="G7" s="2">
        <v>0.29396</v>
      </c>
      <c r="H7" s="2">
        <v>1.9359299999999999</v>
      </c>
    </row>
    <row r="8" spans="1:8" x14ac:dyDescent="0.25">
      <c r="A8" s="33" t="s">
        <v>782</v>
      </c>
      <c r="B8" s="33" t="s">
        <v>1153</v>
      </c>
      <c r="C8" s="33" t="s">
        <v>1154</v>
      </c>
      <c r="D8" s="2">
        <v>1.89777</v>
      </c>
      <c r="E8" s="2">
        <v>-0.46148</v>
      </c>
      <c r="F8" s="2">
        <v>-2.5610900000000001</v>
      </c>
      <c r="G8" s="2">
        <v>0.18579999999999999</v>
      </c>
      <c r="H8" s="2">
        <v>2.3752900000000001</v>
      </c>
    </row>
    <row r="9" spans="1:8" x14ac:dyDescent="0.25">
      <c r="A9" s="33" t="s">
        <v>782</v>
      </c>
      <c r="B9" s="33" t="s">
        <v>1155</v>
      </c>
      <c r="C9" s="33" t="s">
        <v>1156</v>
      </c>
      <c r="D9" s="2">
        <v>1.9942800000000001</v>
      </c>
      <c r="E9" s="2">
        <v>-1.14893</v>
      </c>
      <c r="F9" s="2">
        <v>-2.62954</v>
      </c>
      <c r="G9" s="2">
        <v>0.13555</v>
      </c>
      <c r="H9" s="2">
        <v>2.4939900000000002</v>
      </c>
    </row>
    <row r="10" spans="1:8" x14ac:dyDescent="0.25">
      <c r="A10" s="40" t="s">
        <v>782</v>
      </c>
      <c r="B10" s="40" t="s">
        <v>1157</v>
      </c>
      <c r="C10" s="40" t="s">
        <v>1158</v>
      </c>
      <c r="D10" s="4">
        <v>1.49302</v>
      </c>
      <c r="E10" s="4">
        <v>-0.81981999999999999</v>
      </c>
      <c r="F10" s="4">
        <v>-2.1843499999999998</v>
      </c>
      <c r="G10" s="4">
        <v>0.24001</v>
      </c>
      <c r="H10" s="4">
        <v>1.94434</v>
      </c>
    </row>
  </sheetData>
  <sheetProtection formatColumns="0" formatRows="0"/>
  <hyperlinks>
    <hyperlink ref="A1" location="TOC!A1" display="Table of Contents" xr:uid="{E6E2CF06-6E75-476E-98A2-5163516213DD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0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1.42578125" bestFit="1" customWidth="1"/>
    <col min="3" max="3" width="68.140625" bestFit="1" customWidth="1"/>
    <col min="4" max="4" width="21" customWidth="1"/>
  </cols>
  <sheetData>
    <row r="1" spans="1:9" x14ac:dyDescent="0.25">
      <c r="A1" s="141" t="s">
        <v>316</v>
      </c>
      <c r="B1" s="88" t="s">
        <v>382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84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85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1159</v>
      </c>
      <c r="C7" s="33" t="s">
        <v>1160</v>
      </c>
      <c r="D7" s="33" t="s">
        <v>927</v>
      </c>
      <c r="E7" s="2">
        <v>1.2379800000000001</v>
      </c>
      <c r="F7" s="2">
        <v>-1.2918499999999999</v>
      </c>
      <c r="G7" s="2">
        <v>-1.0400700000000001</v>
      </c>
      <c r="H7" s="2">
        <v>-1.1953199999999999</v>
      </c>
      <c r="I7" s="2">
        <v>2.2353900000000002</v>
      </c>
    </row>
    <row r="8" spans="1:9" x14ac:dyDescent="0.25">
      <c r="A8" s="33" t="s">
        <v>782</v>
      </c>
      <c r="B8" s="33" t="s">
        <v>1161</v>
      </c>
      <c r="C8" s="33" t="s">
        <v>1162</v>
      </c>
      <c r="D8" s="33" t="s">
        <v>927</v>
      </c>
      <c r="E8" s="2">
        <v>2.4800499999999999</v>
      </c>
      <c r="F8" s="2">
        <v>-2.2073</v>
      </c>
      <c r="G8" s="2">
        <v>-2.7861099999999999</v>
      </c>
      <c r="H8" s="2">
        <v>-0.96067999999999998</v>
      </c>
      <c r="I8" s="2">
        <v>3.7467899999999998</v>
      </c>
    </row>
    <row r="9" spans="1:9" x14ac:dyDescent="0.25">
      <c r="A9" s="33" t="s">
        <v>782</v>
      </c>
      <c r="B9" s="33" t="s">
        <v>1163</v>
      </c>
      <c r="C9" s="33" t="s">
        <v>1164</v>
      </c>
      <c r="D9" s="33" t="s">
        <v>927</v>
      </c>
      <c r="E9" s="2">
        <v>3.1234299999999999</v>
      </c>
      <c r="F9" s="2">
        <v>-2.7556699999999998</v>
      </c>
      <c r="G9" s="2">
        <v>-3.5033500000000002</v>
      </c>
      <c r="H9" s="2">
        <v>-1.0174000000000001</v>
      </c>
      <c r="I9" s="2">
        <v>4.5207499999999996</v>
      </c>
    </row>
    <row r="10" spans="1:9" x14ac:dyDescent="0.25">
      <c r="A10" s="40" t="s">
        <v>782</v>
      </c>
      <c r="B10" s="40" t="s">
        <v>1165</v>
      </c>
      <c r="C10" s="40" t="s">
        <v>1166</v>
      </c>
      <c r="D10" s="40" t="s">
        <v>927</v>
      </c>
      <c r="E10" s="4">
        <v>0.89754999999999996</v>
      </c>
      <c r="F10" s="4">
        <v>-1.0268900000000001</v>
      </c>
      <c r="G10" s="4">
        <v>-1.04115</v>
      </c>
      <c r="H10" s="4">
        <v>-0.76936000000000004</v>
      </c>
      <c r="I10" s="4">
        <v>1.8105100000000001</v>
      </c>
    </row>
  </sheetData>
  <sheetProtection formatColumns="0" formatRows="0"/>
  <hyperlinks>
    <hyperlink ref="A1" location="TOC!A1" display="Table of Contents" xr:uid="{3EECA04E-72C1-46CE-8709-825C43120BBB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1"/>
  <dimension ref="A1:D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86</v>
      </c>
      <c r="B3" s="33"/>
      <c r="C3" s="33"/>
      <c r="D3" s="33"/>
    </row>
    <row r="4" spans="1:4" x14ac:dyDescent="0.25">
      <c r="A4" s="34" t="s">
        <v>87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/>
      <c r="B6" s="65" t="s">
        <v>365</v>
      </c>
      <c r="C6" s="65" t="s">
        <v>366</v>
      </c>
      <c r="D6" s="33"/>
    </row>
    <row r="7" spans="1:4" x14ac:dyDescent="0.25">
      <c r="A7" s="33" t="s">
        <v>465</v>
      </c>
      <c r="B7" s="53">
        <v>54.869385043999998</v>
      </c>
      <c r="C7" s="53">
        <v>22.125821736999999</v>
      </c>
      <c r="D7" s="33"/>
    </row>
    <row r="8" spans="1:4" x14ac:dyDescent="0.25">
      <c r="A8" s="33" t="s">
        <v>455</v>
      </c>
      <c r="B8" s="53">
        <v>13.874696573</v>
      </c>
      <c r="C8" s="53">
        <v>2.561686522</v>
      </c>
      <c r="D8" s="33"/>
    </row>
    <row r="9" spans="1:4" x14ac:dyDescent="0.25">
      <c r="A9" s="33" t="s">
        <v>378</v>
      </c>
      <c r="B9" s="53">
        <v>7.4853999999999999E-5</v>
      </c>
      <c r="C9" s="53">
        <v>0.99996532299999996</v>
      </c>
      <c r="D9" s="33"/>
    </row>
    <row r="10" spans="1:4" x14ac:dyDescent="0.25">
      <c r="A10" s="40" t="s">
        <v>1167</v>
      </c>
      <c r="B10" s="78">
        <v>4.167858E-3</v>
      </c>
      <c r="C10" s="78">
        <v>0.77916570900000004</v>
      </c>
      <c r="D10" s="33"/>
    </row>
    <row r="11" spans="1:4" x14ac:dyDescent="0.25">
      <c r="A11" s="33"/>
      <c r="B11" s="33"/>
      <c r="C11" s="33"/>
      <c r="D11" s="33"/>
    </row>
    <row r="12" spans="1:4" x14ac:dyDescent="0.25">
      <c r="A12" s="33" t="s">
        <v>1168</v>
      </c>
      <c r="B12" s="33"/>
      <c r="C12" s="33"/>
      <c r="D12" s="33"/>
    </row>
  </sheetData>
  <sheetProtection formatColumns="0" formatRows="0"/>
  <hyperlinks>
    <hyperlink ref="A1" location="TOC!A1" display="Table of Contents" xr:uid="{F7BF43C0-FF02-4726-BCA3-D7E9A3375FF0}"/>
  </hyperlink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2"/>
  <dimension ref="A1:D2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99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88</v>
      </c>
      <c r="B3" s="33"/>
      <c r="C3" s="33"/>
      <c r="D3" s="33"/>
    </row>
    <row r="4" spans="1:4" x14ac:dyDescent="0.25">
      <c r="A4" s="34" t="s">
        <v>89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x14ac:dyDescent="0.25">
      <c r="A7" s="38" t="s">
        <v>440</v>
      </c>
      <c r="B7" s="66"/>
      <c r="C7" s="33"/>
      <c r="D7" s="33"/>
    </row>
    <row r="8" spans="1:4" x14ac:dyDescent="0.25">
      <c r="A8" s="59" t="s">
        <v>1169</v>
      </c>
      <c r="B8" s="59" t="s">
        <v>1170</v>
      </c>
      <c r="C8" s="33"/>
      <c r="D8" s="33"/>
    </row>
    <row r="9" spans="1:4" x14ac:dyDescent="0.25">
      <c r="A9" s="33" t="s">
        <v>1171</v>
      </c>
      <c r="B9" s="33" t="s">
        <v>1172</v>
      </c>
      <c r="C9" s="33"/>
      <c r="D9" s="33"/>
    </row>
    <row r="10" spans="1:4" x14ac:dyDescent="0.25">
      <c r="A10" s="40" t="s">
        <v>1173</v>
      </c>
      <c r="B10" s="40" t="s">
        <v>1174</v>
      </c>
      <c r="C10" s="33"/>
      <c r="D10" s="33"/>
    </row>
    <row r="11" spans="1:4" x14ac:dyDescent="0.25">
      <c r="A11" s="38" t="s">
        <v>497</v>
      </c>
      <c r="B11" s="38"/>
      <c r="C11" s="33"/>
      <c r="D11" s="33"/>
    </row>
    <row r="12" spans="1:4" x14ac:dyDescent="0.25">
      <c r="A12" s="59" t="s">
        <v>336</v>
      </c>
      <c r="B12" s="59" t="s">
        <v>1175</v>
      </c>
      <c r="C12" s="33"/>
      <c r="D12" s="33"/>
    </row>
    <row r="13" spans="1:4" x14ac:dyDescent="0.25">
      <c r="A13" s="33" t="s">
        <v>331</v>
      </c>
      <c r="B13" s="33" t="s">
        <v>1176</v>
      </c>
      <c r="C13" s="33"/>
      <c r="D13" s="33"/>
    </row>
    <row r="14" spans="1:4" x14ac:dyDescent="0.25">
      <c r="A14" s="33" t="s">
        <v>334</v>
      </c>
      <c r="B14" s="33" t="s">
        <v>1177</v>
      </c>
      <c r="C14" s="33"/>
      <c r="D14" s="33"/>
    </row>
    <row r="15" spans="1:4" x14ac:dyDescent="0.25">
      <c r="A15" s="33" t="s">
        <v>330</v>
      </c>
      <c r="B15" s="33" t="s">
        <v>1178</v>
      </c>
      <c r="C15" s="33"/>
      <c r="D15" s="33"/>
    </row>
    <row r="16" spans="1:4" x14ac:dyDescent="0.25">
      <c r="A16" s="33" t="s">
        <v>333</v>
      </c>
      <c r="B16" s="33" t="s">
        <v>1179</v>
      </c>
      <c r="C16" s="33"/>
      <c r="D16" s="33"/>
    </row>
    <row r="17" spans="1:4" x14ac:dyDescent="0.25">
      <c r="A17" s="33" t="s">
        <v>337</v>
      </c>
      <c r="B17" s="33" t="s">
        <v>1180</v>
      </c>
      <c r="C17" s="33"/>
      <c r="D17" s="33"/>
    </row>
    <row r="18" spans="1:4" x14ac:dyDescent="0.25">
      <c r="A18" s="33" t="s">
        <v>338</v>
      </c>
      <c r="B18" s="33" t="s">
        <v>1181</v>
      </c>
      <c r="C18" s="33"/>
      <c r="D18" s="33"/>
    </row>
    <row r="19" spans="1:4" x14ac:dyDescent="0.25">
      <c r="A19" s="33" t="s">
        <v>335</v>
      </c>
      <c r="B19" s="33" t="s">
        <v>1182</v>
      </c>
      <c r="C19" s="33"/>
      <c r="D19" s="33"/>
    </row>
    <row r="20" spans="1:4" x14ac:dyDescent="0.25">
      <c r="A20" s="33" t="s">
        <v>332</v>
      </c>
      <c r="B20" s="33" t="s">
        <v>1183</v>
      </c>
      <c r="C20" s="33"/>
      <c r="D20" s="33"/>
    </row>
    <row r="21" spans="1:4" x14ac:dyDescent="0.25">
      <c r="A21" s="33" t="s">
        <v>384</v>
      </c>
      <c r="B21" s="33" t="s">
        <v>1184</v>
      </c>
      <c r="C21" s="33"/>
      <c r="D21" s="33"/>
    </row>
    <row r="22" spans="1:4" x14ac:dyDescent="0.25">
      <c r="A22" s="33" t="s">
        <v>339</v>
      </c>
      <c r="B22" s="33" t="s">
        <v>1185</v>
      </c>
      <c r="C22" s="33"/>
      <c r="D22" s="33"/>
    </row>
    <row r="23" spans="1:4" x14ac:dyDescent="0.25">
      <c r="A23" s="40" t="s">
        <v>340</v>
      </c>
      <c r="B23" s="40" t="s">
        <v>1186</v>
      </c>
      <c r="C23" s="33"/>
      <c r="D23" s="33"/>
    </row>
  </sheetData>
  <sheetProtection formatColumns="0" formatRows="0"/>
  <hyperlinks>
    <hyperlink ref="A1" location="TOC!A1" display="Table of Contents" xr:uid="{71078759-B9AB-497B-81B1-72A95232110C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3"/>
  <dimension ref="A1:Q7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1.7109375" customWidth="1"/>
    <col min="2" max="13" width="9.140625" style="9" customWidth="1"/>
    <col min="16" max="17" width="8.7109375" hidden="1" customWidth="1"/>
  </cols>
  <sheetData>
    <row r="1" spans="1:17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90</v>
      </c>
      <c r="B3" s="89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90" t="s">
        <v>91</v>
      </c>
      <c r="B4" s="8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91"/>
      <c r="B5" s="89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92" t="s">
        <v>566</v>
      </c>
      <c r="B6" s="93" t="s">
        <v>384</v>
      </c>
      <c r="C6" s="93" t="s">
        <v>330</v>
      </c>
      <c r="D6" s="93" t="s">
        <v>331</v>
      </c>
      <c r="E6" s="93" t="s">
        <v>332</v>
      </c>
      <c r="F6" s="93" t="s">
        <v>333</v>
      </c>
      <c r="G6" s="93" t="s">
        <v>334</v>
      </c>
      <c r="H6" s="93" t="s">
        <v>335</v>
      </c>
      <c r="I6" s="93" t="s">
        <v>336</v>
      </c>
      <c r="J6" s="93" t="s">
        <v>337</v>
      </c>
      <c r="K6" s="93" t="s">
        <v>338</v>
      </c>
      <c r="L6" s="93" t="s">
        <v>339</v>
      </c>
      <c r="M6" s="93" t="s">
        <v>340</v>
      </c>
      <c r="N6" s="33"/>
      <c r="O6" s="33"/>
      <c r="P6" s="33"/>
      <c r="Q6" s="33"/>
    </row>
    <row r="7" spans="1:17" x14ac:dyDescent="0.25">
      <c r="A7" t="s">
        <v>3034</v>
      </c>
      <c r="B7" s="77">
        <v>0.88</v>
      </c>
      <c r="C7" s="77">
        <v>0.82</v>
      </c>
      <c r="D7" s="77">
        <v>0.86</v>
      </c>
      <c r="E7" s="77">
        <v>0.87</v>
      </c>
      <c r="F7" s="77">
        <v>0.89</v>
      </c>
      <c r="G7" s="77">
        <v>0.88</v>
      </c>
      <c r="H7" s="77">
        <v>0.84</v>
      </c>
      <c r="I7" s="77">
        <v>0.88</v>
      </c>
      <c r="J7" s="77">
        <v>0.84</v>
      </c>
      <c r="K7" s="77">
        <v>0.85</v>
      </c>
      <c r="L7" s="77">
        <v>0.82</v>
      </c>
      <c r="M7" s="77">
        <v>0.83</v>
      </c>
      <c r="N7" s="33"/>
      <c r="O7" s="33"/>
      <c r="P7" s="33" t="s">
        <v>568</v>
      </c>
      <c r="Q7" t="str">
        <f>VLOOKUP(P7,GroupLabels!$E$2:$H$145,3,0)</f>
        <v>Argentina - Spanish</v>
      </c>
    </row>
    <row r="8" spans="1:17" x14ac:dyDescent="0.25">
      <c r="A8" t="s">
        <v>2982</v>
      </c>
      <c r="B8" s="77">
        <v>0.9</v>
      </c>
      <c r="C8" s="77">
        <v>0.82</v>
      </c>
      <c r="D8" s="77">
        <v>0.84</v>
      </c>
      <c r="E8" s="77">
        <v>0.86</v>
      </c>
      <c r="F8" s="77">
        <v>0.9</v>
      </c>
      <c r="G8" s="77">
        <v>0.9</v>
      </c>
      <c r="H8" s="77">
        <v>0.71</v>
      </c>
      <c r="I8" s="77">
        <v>0.83</v>
      </c>
      <c r="J8" s="77">
        <v>0.84</v>
      </c>
      <c r="K8" s="77">
        <v>0.83</v>
      </c>
      <c r="L8" s="77">
        <v>0.78</v>
      </c>
      <c r="M8" s="77">
        <v>0.83</v>
      </c>
      <c r="N8" s="33"/>
      <c r="O8" s="33"/>
      <c r="P8" s="33" t="s">
        <v>570</v>
      </c>
      <c r="Q8">
        <f>VLOOKUP(P8,GroupLabels!$E$2:$H$145,4,0)</f>
        <v>1</v>
      </c>
    </row>
    <row r="9" spans="1:17" x14ac:dyDescent="0.25">
      <c r="A9" t="s">
        <v>2960</v>
      </c>
      <c r="B9" s="77">
        <v>0.88</v>
      </c>
      <c r="C9" s="77">
        <v>0.79</v>
      </c>
      <c r="D9" s="77">
        <v>0.82</v>
      </c>
      <c r="E9" s="77">
        <v>0.84</v>
      </c>
      <c r="F9" s="77">
        <v>0.88</v>
      </c>
      <c r="G9" s="77">
        <v>0.88</v>
      </c>
      <c r="H9" s="77">
        <v>0.79</v>
      </c>
      <c r="I9" s="77">
        <v>0.84</v>
      </c>
      <c r="J9" s="77">
        <v>0.82</v>
      </c>
      <c r="K9" s="77">
        <v>0.82</v>
      </c>
      <c r="L9" s="77">
        <v>0.78</v>
      </c>
      <c r="M9" s="77">
        <v>0.82</v>
      </c>
      <c r="N9" s="33"/>
      <c r="O9" s="33"/>
      <c r="P9" s="33" t="s">
        <v>571</v>
      </c>
      <c r="Q9">
        <f>VLOOKUP(P9,GroupLabels!$E$2:$H$145,4,0)</f>
        <v>1</v>
      </c>
    </row>
    <row r="10" spans="1:17" x14ac:dyDescent="0.25">
      <c r="A10" t="s">
        <v>3185</v>
      </c>
      <c r="B10" s="77">
        <v>0.88</v>
      </c>
      <c r="C10" s="77">
        <v>0.79</v>
      </c>
      <c r="D10" s="77">
        <v>0.81</v>
      </c>
      <c r="E10" s="77">
        <v>0.86</v>
      </c>
      <c r="F10" s="77">
        <v>0.88</v>
      </c>
      <c r="G10" s="77">
        <v>0.87</v>
      </c>
      <c r="H10" s="77">
        <v>0.79</v>
      </c>
      <c r="I10" s="77">
        <v>0.81</v>
      </c>
      <c r="J10" s="77">
        <v>0.84</v>
      </c>
      <c r="K10" s="77">
        <v>0.84</v>
      </c>
      <c r="L10" s="77">
        <v>0.78</v>
      </c>
      <c r="M10" s="77">
        <v>0.83</v>
      </c>
      <c r="N10" s="33"/>
      <c r="O10" s="33"/>
      <c r="P10" s="33" t="s">
        <v>574</v>
      </c>
      <c r="Q10">
        <f>VLOOKUP(P10,GroupLabels!$E$2:$H$145,4,0)</f>
        <v>1</v>
      </c>
    </row>
    <row r="11" spans="1:17" x14ac:dyDescent="0.25">
      <c r="A11" t="s">
        <v>3479</v>
      </c>
      <c r="B11" s="77">
        <v>0.89</v>
      </c>
      <c r="C11" s="77">
        <v>0.8</v>
      </c>
      <c r="D11" s="77">
        <v>0.83</v>
      </c>
      <c r="E11" s="77">
        <v>0.84</v>
      </c>
      <c r="F11" s="77">
        <v>0.87</v>
      </c>
      <c r="G11" s="77">
        <v>0.84</v>
      </c>
      <c r="H11" s="77">
        <v>0.76</v>
      </c>
      <c r="I11" s="77">
        <v>0.9</v>
      </c>
      <c r="J11" s="77">
        <v>0.83</v>
      </c>
      <c r="K11" s="77">
        <v>0.82</v>
      </c>
      <c r="L11" s="77">
        <v>0.78</v>
      </c>
      <c r="M11" s="77">
        <v>0.78</v>
      </c>
      <c r="N11" s="33"/>
      <c r="O11" s="33"/>
      <c r="P11" s="33" t="s">
        <v>575</v>
      </c>
      <c r="Q11">
        <f>VLOOKUP(P11,GroupLabels!$E$2:$H$145,4,0)</f>
        <v>1</v>
      </c>
    </row>
    <row r="12" spans="1:17" x14ac:dyDescent="0.25">
      <c r="A12" t="s">
        <v>3478</v>
      </c>
      <c r="B12" s="77">
        <v>0.87</v>
      </c>
      <c r="C12" s="77">
        <v>0.77</v>
      </c>
      <c r="D12" s="77">
        <v>0.81</v>
      </c>
      <c r="E12" s="77">
        <v>0.83</v>
      </c>
      <c r="F12" s="77">
        <v>0.86</v>
      </c>
      <c r="G12" s="77">
        <v>0.88</v>
      </c>
      <c r="H12" s="77">
        <v>0.77</v>
      </c>
      <c r="I12" s="77">
        <v>0.84</v>
      </c>
      <c r="J12" s="77">
        <v>0.85</v>
      </c>
      <c r="K12" s="77">
        <v>0.85</v>
      </c>
      <c r="L12" s="77">
        <v>0.81</v>
      </c>
      <c r="M12" s="77">
        <v>0.76</v>
      </c>
      <c r="N12" s="33"/>
      <c r="O12" s="33"/>
      <c r="P12" s="33" t="s">
        <v>576</v>
      </c>
      <c r="Q12">
        <f>VLOOKUP(P12,GroupLabels!$E$2:$H$145,4,0)</f>
        <v>1</v>
      </c>
    </row>
    <row r="13" spans="1:17" x14ac:dyDescent="0.25">
      <c r="A13" t="s">
        <v>2985</v>
      </c>
      <c r="B13" s="77">
        <v>0.86</v>
      </c>
      <c r="C13" s="77">
        <v>0.82</v>
      </c>
      <c r="D13" s="77">
        <v>0.83</v>
      </c>
      <c r="E13" s="77">
        <v>0.76</v>
      </c>
      <c r="F13" s="77">
        <v>0.87</v>
      </c>
      <c r="G13" s="77">
        <v>0.84</v>
      </c>
      <c r="H13" s="77">
        <v>0.75</v>
      </c>
      <c r="I13" s="77">
        <v>0.93</v>
      </c>
      <c r="J13" s="77">
        <v>0.82</v>
      </c>
      <c r="K13" s="77">
        <v>0.84</v>
      </c>
      <c r="L13" s="77">
        <v>0.76</v>
      </c>
      <c r="M13" s="77">
        <v>0.78</v>
      </c>
      <c r="N13" s="33"/>
      <c r="O13" s="33"/>
      <c r="P13" s="33" t="s">
        <v>578</v>
      </c>
      <c r="Q13" t="str">
        <f>VLOOKUP(P13,GroupLabels!$E$2:$H$145,3,0)</f>
        <v>Brunei Darussalam - English</v>
      </c>
    </row>
    <row r="14" spans="1:17" x14ac:dyDescent="0.25">
      <c r="A14" t="s">
        <v>3277</v>
      </c>
      <c r="B14" s="77">
        <v>0.93</v>
      </c>
      <c r="C14" s="77">
        <v>0.87</v>
      </c>
      <c r="D14" s="77">
        <v>0.93</v>
      </c>
      <c r="E14" s="77">
        <v>0.88</v>
      </c>
      <c r="F14" s="77">
        <v>0.9</v>
      </c>
      <c r="G14" s="77">
        <v>0.93</v>
      </c>
      <c r="H14" s="77">
        <v>0.86</v>
      </c>
      <c r="I14" s="77">
        <v>0.97</v>
      </c>
      <c r="J14" s="77">
        <v>0.92</v>
      </c>
      <c r="K14" s="77">
        <v>0.87</v>
      </c>
      <c r="L14" s="77">
        <v>0.74</v>
      </c>
      <c r="M14" s="77">
        <v>0.82</v>
      </c>
      <c r="N14" s="33"/>
      <c r="O14" s="33"/>
      <c r="P14" s="33" t="s">
        <v>579</v>
      </c>
      <c r="Q14">
        <f>VLOOKUP(P14,GroupLabels!$E$2:$H$145,4,0)</f>
        <v>0</v>
      </c>
    </row>
    <row r="15" spans="1:17" x14ac:dyDescent="0.25">
      <c r="A15" t="s">
        <v>2928</v>
      </c>
      <c r="B15" s="77">
        <v>0.88</v>
      </c>
      <c r="C15" s="77">
        <v>0.85</v>
      </c>
      <c r="D15" s="77">
        <v>0.88</v>
      </c>
      <c r="E15" s="77">
        <v>0.87</v>
      </c>
      <c r="F15" s="77">
        <v>0.92</v>
      </c>
      <c r="G15" s="77">
        <v>0.9</v>
      </c>
      <c r="H15" s="77">
        <v>0.85</v>
      </c>
      <c r="I15" s="77">
        <v>0.9</v>
      </c>
      <c r="J15" s="77">
        <v>0.88</v>
      </c>
      <c r="K15" s="77">
        <v>0.89</v>
      </c>
      <c r="L15" s="77">
        <v>0.84</v>
      </c>
      <c r="M15" s="77">
        <v>0.83</v>
      </c>
      <c r="N15" s="33"/>
      <c r="O15" s="33"/>
      <c r="P15" s="33" t="s">
        <v>580</v>
      </c>
      <c r="Q15">
        <f>VLOOKUP(P15,GroupLabels!$E$2:$H$145,4,0)</f>
        <v>0</v>
      </c>
    </row>
    <row r="16" spans="1:17" x14ac:dyDescent="0.25">
      <c r="A16" t="s">
        <v>3044</v>
      </c>
      <c r="B16" s="77">
        <v>0.92</v>
      </c>
      <c r="C16" s="77">
        <v>0.88</v>
      </c>
      <c r="D16" s="77">
        <v>0.94</v>
      </c>
      <c r="E16" s="77">
        <v>0.91</v>
      </c>
      <c r="F16" s="77">
        <v>0.93</v>
      </c>
      <c r="G16" s="77">
        <v>0.92</v>
      </c>
      <c r="H16" s="77">
        <v>0.85</v>
      </c>
      <c r="I16" s="77">
        <v>0.95</v>
      </c>
      <c r="J16" s="77">
        <v>0.89</v>
      </c>
      <c r="K16" s="77">
        <v>0.9</v>
      </c>
      <c r="L16" s="77">
        <v>0.86</v>
      </c>
      <c r="M16" s="77">
        <v>0.88</v>
      </c>
      <c r="N16" s="33"/>
      <c r="O16" s="33"/>
      <c r="P16" s="33" t="s">
        <v>594</v>
      </c>
      <c r="Q16">
        <f>VLOOKUP(P16,GroupLabels!$E$2:$H$145,4,0)</f>
        <v>0</v>
      </c>
    </row>
    <row r="17" spans="1:17" x14ac:dyDescent="0.25">
      <c r="A17" t="s">
        <v>3069</v>
      </c>
      <c r="B17" s="77">
        <v>0.85</v>
      </c>
      <c r="C17" s="77">
        <v>0.8</v>
      </c>
      <c r="D17" s="77">
        <v>0.79</v>
      </c>
      <c r="E17" s="77">
        <v>0.84</v>
      </c>
      <c r="F17" s="77">
        <v>0.87</v>
      </c>
      <c r="G17" s="77">
        <v>0.87</v>
      </c>
      <c r="H17" s="77">
        <v>0.8</v>
      </c>
      <c r="I17" s="77">
        <v>0.79</v>
      </c>
      <c r="J17" s="77">
        <v>0.8</v>
      </c>
      <c r="K17" s="77">
        <v>0.81</v>
      </c>
      <c r="L17" s="77">
        <v>0.73</v>
      </c>
      <c r="M17" s="77">
        <v>0.81</v>
      </c>
      <c r="N17" s="33"/>
      <c r="O17" s="33"/>
      <c r="P17" s="33" t="s">
        <v>599</v>
      </c>
      <c r="Q17">
        <f>VLOOKUP(P17,GroupLabels!$E$2:$H$145,4,0)</f>
        <v>1</v>
      </c>
    </row>
    <row r="18" spans="1:17" x14ac:dyDescent="0.25">
      <c r="A18" t="s">
        <v>3210</v>
      </c>
      <c r="B18" s="77">
        <v>0.86</v>
      </c>
      <c r="C18" s="77">
        <v>0.85</v>
      </c>
      <c r="D18" s="77">
        <v>0.82</v>
      </c>
      <c r="E18" s="77">
        <v>0.83</v>
      </c>
      <c r="F18" s="77">
        <v>0.88</v>
      </c>
      <c r="G18" s="77">
        <v>0.91</v>
      </c>
      <c r="H18" s="77">
        <v>0.82</v>
      </c>
      <c r="I18" s="77">
        <v>0.81</v>
      </c>
      <c r="J18" s="77">
        <v>0.84</v>
      </c>
      <c r="K18" s="77">
        <v>0.83</v>
      </c>
      <c r="L18" s="77">
        <v>0.75</v>
      </c>
      <c r="M18" s="77">
        <v>0.82</v>
      </c>
      <c r="N18" s="33"/>
      <c r="O18" s="33"/>
      <c r="P18" s="33" t="s">
        <v>600</v>
      </c>
      <c r="Q18">
        <f>VLOOKUP(P18,GroupLabels!$E$2:$H$145,4,0)</f>
        <v>1</v>
      </c>
    </row>
    <row r="19" spans="1:17" x14ac:dyDescent="0.25">
      <c r="A19" t="s">
        <v>3076</v>
      </c>
      <c r="B19" s="77">
        <v>0.92</v>
      </c>
      <c r="C19" s="77">
        <v>0.87</v>
      </c>
      <c r="D19" s="77">
        <v>0.84</v>
      </c>
      <c r="E19" s="77">
        <v>0.88</v>
      </c>
      <c r="F19" s="77">
        <v>0.88</v>
      </c>
      <c r="G19" s="77">
        <v>0.9</v>
      </c>
      <c r="H19" s="77">
        <v>0.85</v>
      </c>
      <c r="I19" s="77">
        <v>0.83</v>
      </c>
      <c r="J19" s="77">
        <v>0.85</v>
      </c>
      <c r="K19" s="77">
        <v>0.84</v>
      </c>
      <c r="L19" s="77">
        <v>0.84</v>
      </c>
      <c r="M19" s="77">
        <v>0.87</v>
      </c>
      <c r="N19" s="33"/>
      <c r="O19" s="33"/>
      <c r="P19" s="33" t="s">
        <v>601</v>
      </c>
      <c r="Q19" t="str">
        <f>VLOOKUP(P19,GroupLabels!$E$2:$H$145,3,0)</f>
        <v>Finland - Finnish</v>
      </c>
    </row>
    <row r="20" spans="1:17" x14ac:dyDescent="0.25">
      <c r="A20" t="s">
        <v>3244</v>
      </c>
      <c r="B20" s="77">
        <v>0.9</v>
      </c>
      <c r="C20" s="77">
        <v>0.83</v>
      </c>
      <c r="D20" s="77">
        <v>0.81</v>
      </c>
      <c r="E20" s="77">
        <v>0.87</v>
      </c>
      <c r="F20" s="77">
        <v>0.88</v>
      </c>
      <c r="G20" s="77">
        <v>0.91</v>
      </c>
      <c r="H20" s="77">
        <v>0.82</v>
      </c>
      <c r="I20" s="77">
        <v>0.86</v>
      </c>
      <c r="J20" s="77">
        <v>0.81</v>
      </c>
      <c r="K20" s="77">
        <v>0.81</v>
      </c>
      <c r="L20" s="77">
        <v>0.82</v>
      </c>
      <c r="M20" s="77">
        <v>0.83</v>
      </c>
      <c r="N20" s="33"/>
      <c r="O20" s="33"/>
      <c r="P20" s="33" t="s">
        <v>602</v>
      </c>
      <c r="Q20" t="str">
        <f>VLOOKUP(P20,GroupLabels!$E$2:$H$145,3,0)</f>
        <v>Finland - Swedish</v>
      </c>
    </row>
    <row r="21" spans="1:17" x14ac:dyDescent="0.25">
      <c r="A21" t="s">
        <v>2920</v>
      </c>
      <c r="B21" s="77">
        <v>0.88</v>
      </c>
      <c r="C21" s="77">
        <v>0.86</v>
      </c>
      <c r="D21" s="77">
        <v>0.96</v>
      </c>
      <c r="E21" s="77">
        <v>0.9</v>
      </c>
      <c r="F21" s="77">
        <v>0.92</v>
      </c>
      <c r="G21" s="77">
        <v>0.93</v>
      </c>
      <c r="H21" s="77">
        <v>0.86</v>
      </c>
      <c r="I21" s="77">
        <v>0.93</v>
      </c>
      <c r="J21" s="77">
        <v>0.87</v>
      </c>
      <c r="K21" s="77">
        <v>0.91</v>
      </c>
      <c r="L21" s="77">
        <v>0.89</v>
      </c>
      <c r="M21" s="77">
        <v>0.9</v>
      </c>
      <c r="N21" s="33"/>
      <c r="O21" s="33"/>
      <c r="P21" s="33" t="s">
        <v>604</v>
      </c>
      <c r="Q21">
        <f>VLOOKUP(P21,GroupLabels!$E$2:$H$145,4,0)</f>
        <v>0</v>
      </c>
    </row>
    <row r="22" spans="1:17" x14ac:dyDescent="0.25">
      <c r="A22" t="s">
        <v>3136</v>
      </c>
      <c r="B22" s="77">
        <v>0.88</v>
      </c>
      <c r="C22" s="77">
        <v>0.86</v>
      </c>
      <c r="D22" s="77">
        <v>0.9</v>
      </c>
      <c r="E22" s="77">
        <v>0.86</v>
      </c>
      <c r="F22" s="77">
        <v>0.91</v>
      </c>
      <c r="G22" s="77">
        <v>0.9</v>
      </c>
      <c r="H22" s="77">
        <v>0.83</v>
      </c>
      <c r="I22" s="77">
        <v>0.93</v>
      </c>
      <c r="J22" s="77">
        <v>0.87</v>
      </c>
      <c r="K22" s="77">
        <v>0.88</v>
      </c>
      <c r="L22" s="77">
        <v>0.83</v>
      </c>
      <c r="M22" s="77">
        <v>0.85</v>
      </c>
      <c r="N22" s="33"/>
      <c r="O22" s="33"/>
      <c r="P22" s="33" t="s">
        <v>605</v>
      </c>
      <c r="Q22">
        <f>VLOOKUP(P22,GroupLabels!$E$2:$H$145,4,0)</f>
        <v>0</v>
      </c>
    </row>
    <row r="23" spans="1:17" x14ac:dyDescent="0.25">
      <c r="A23" t="s">
        <v>3211</v>
      </c>
      <c r="B23" s="77">
        <v>0.81</v>
      </c>
      <c r="C23" s="77">
        <v>0.89</v>
      </c>
      <c r="D23" s="77">
        <v>0.87</v>
      </c>
      <c r="E23" s="77">
        <v>0.8</v>
      </c>
      <c r="F23" s="77">
        <v>0.85</v>
      </c>
      <c r="G23" s="77">
        <v>0.89</v>
      </c>
      <c r="H23" s="77">
        <v>0.82</v>
      </c>
      <c r="I23" s="77">
        <v>0.92</v>
      </c>
      <c r="J23" s="77">
        <v>0.9</v>
      </c>
      <c r="K23" s="77">
        <v>0.85</v>
      </c>
      <c r="L23" s="77">
        <v>0.84</v>
      </c>
      <c r="M23" s="77">
        <v>0.87</v>
      </c>
      <c r="N23" s="33"/>
      <c r="O23" s="33"/>
      <c r="P23" s="33" t="s">
        <v>606</v>
      </c>
      <c r="Q23">
        <f>VLOOKUP(P23,GroupLabels!$E$2:$H$145,4,0)</f>
        <v>0</v>
      </c>
    </row>
    <row r="24" spans="1:17" x14ac:dyDescent="0.25">
      <c r="A24" t="s">
        <v>767</v>
      </c>
      <c r="B24" s="77">
        <v>0.83</v>
      </c>
      <c r="C24" s="77">
        <v>0.73</v>
      </c>
      <c r="D24" s="77">
        <v>0.8</v>
      </c>
      <c r="E24" s="77">
        <v>0.8</v>
      </c>
      <c r="F24" s="77">
        <v>0.84</v>
      </c>
      <c r="G24" s="77">
        <v>0.86</v>
      </c>
      <c r="H24" s="77">
        <v>0.76</v>
      </c>
      <c r="I24" s="77">
        <v>0.83</v>
      </c>
      <c r="J24" s="77">
        <v>0.8</v>
      </c>
      <c r="K24" s="77">
        <v>0.79</v>
      </c>
      <c r="L24" s="77">
        <v>0.75</v>
      </c>
      <c r="M24" s="77">
        <v>0.74</v>
      </c>
      <c r="N24" s="33"/>
      <c r="O24" s="33"/>
      <c r="P24" s="33" t="s">
        <v>607</v>
      </c>
      <c r="Q24">
        <f>VLOOKUP(P24,GroupLabels!$E$2:$H$145,4,0)</f>
        <v>1</v>
      </c>
    </row>
    <row r="25" spans="1:17" x14ac:dyDescent="0.25">
      <c r="A25" t="s">
        <v>2976</v>
      </c>
      <c r="B25" s="77">
        <v>0.85</v>
      </c>
      <c r="C25" s="77">
        <v>0.84</v>
      </c>
      <c r="D25" s="77">
        <v>0.87</v>
      </c>
      <c r="E25" s="77">
        <v>0.83</v>
      </c>
      <c r="F25" s="77">
        <v>0.86</v>
      </c>
      <c r="G25" s="77">
        <v>0.87</v>
      </c>
      <c r="H25" s="77">
        <v>0.77</v>
      </c>
      <c r="I25" s="77">
        <v>0.92</v>
      </c>
      <c r="J25" s="77">
        <v>0.87</v>
      </c>
      <c r="K25" s="77">
        <v>0.86</v>
      </c>
      <c r="L25" s="77">
        <v>0.8</v>
      </c>
      <c r="M25" s="77">
        <v>0.81</v>
      </c>
      <c r="N25" s="33"/>
      <c r="O25" s="33"/>
      <c r="P25" s="33" t="s">
        <v>608</v>
      </c>
      <c r="Q25">
        <f>VLOOKUP(P25,GroupLabels!$E$2:$H$145,4,0)</f>
        <v>1</v>
      </c>
    </row>
    <row r="26" spans="1:17" x14ac:dyDescent="0.25">
      <c r="A26" t="s">
        <v>3278</v>
      </c>
      <c r="B26" s="77">
        <v>0.94</v>
      </c>
      <c r="C26" s="77">
        <v>0.9</v>
      </c>
      <c r="D26" s="77">
        <v>0.86</v>
      </c>
      <c r="E26" s="77">
        <v>0.9</v>
      </c>
      <c r="F26" s="77">
        <v>0.93</v>
      </c>
      <c r="G26" s="77">
        <v>0.91</v>
      </c>
      <c r="H26" s="77">
        <v>0.87</v>
      </c>
      <c r="I26" s="77">
        <v>0.93</v>
      </c>
      <c r="J26" s="77">
        <v>0.87</v>
      </c>
      <c r="K26" s="77">
        <v>0.85</v>
      </c>
      <c r="L26" s="77">
        <v>0.83</v>
      </c>
      <c r="M26" s="77">
        <v>0.87</v>
      </c>
      <c r="N26" s="33"/>
      <c r="O26" s="33"/>
      <c r="P26" s="33" t="s">
        <v>610</v>
      </c>
      <c r="Q26">
        <f>VLOOKUP(P26,GroupLabels!$E$2:$H$145,4,0)</f>
        <v>0</v>
      </c>
    </row>
    <row r="27" spans="1:17" x14ac:dyDescent="0.25">
      <c r="A27" t="s">
        <v>2993</v>
      </c>
      <c r="B27" s="77">
        <v>0.88</v>
      </c>
      <c r="C27" s="77">
        <v>0.84</v>
      </c>
      <c r="D27" s="77">
        <v>0.84</v>
      </c>
      <c r="E27" s="77">
        <v>0.82</v>
      </c>
      <c r="F27" s="77">
        <v>0.91</v>
      </c>
      <c r="G27" s="77">
        <v>0.9</v>
      </c>
      <c r="H27" s="77">
        <v>0.8</v>
      </c>
      <c r="I27" s="77">
        <v>0.87</v>
      </c>
      <c r="J27" s="77">
        <v>0.87</v>
      </c>
      <c r="K27" s="77">
        <v>0.85</v>
      </c>
      <c r="L27" s="77">
        <v>0.78</v>
      </c>
      <c r="M27" s="77">
        <v>0.81</v>
      </c>
      <c r="N27" s="33"/>
      <c r="O27" s="33"/>
      <c r="P27" s="33" t="s">
        <v>611</v>
      </c>
      <c r="Q27">
        <f>VLOOKUP(P27,GroupLabels!$E$2:$H$145,4,0)</f>
        <v>0</v>
      </c>
    </row>
    <row r="28" spans="1:17" x14ac:dyDescent="0.25">
      <c r="A28" t="s">
        <v>3103</v>
      </c>
      <c r="B28" s="77">
        <v>0.89</v>
      </c>
      <c r="C28" s="77">
        <v>0.85</v>
      </c>
      <c r="D28" s="77">
        <v>0.87</v>
      </c>
      <c r="E28" s="77">
        <v>0.85</v>
      </c>
      <c r="F28" s="77">
        <v>0.9</v>
      </c>
      <c r="G28" s="77">
        <v>0.89</v>
      </c>
      <c r="H28" s="77">
        <v>0.82</v>
      </c>
      <c r="I28" s="77">
        <v>0.92</v>
      </c>
      <c r="J28" s="77">
        <v>0.83</v>
      </c>
      <c r="K28" s="77">
        <v>0.84</v>
      </c>
      <c r="L28" s="77">
        <v>0.76</v>
      </c>
      <c r="M28" s="77">
        <v>0.8</v>
      </c>
      <c r="N28" s="33"/>
      <c r="O28" s="33"/>
      <c r="P28" s="33" t="s">
        <v>612</v>
      </c>
      <c r="Q28">
        <f>VLOOKUP(P28,GroupLabels!$E$2:$H$145,4,0)</f>
        <v>1</v>
      </c>
    </row>
    <row r="29" spans="1:17" x14ac:dyDescent="0.25">
      <c r="A29" t="s">
        <v>3122</v>
      </c>
      <c r="B29" s="77">
        <v>0.92</v>
      </c>
      <c r="C29" s="77">
        <v>0.88</v>
      </c>
      <c r="D29" s="77">
        <v>0.86</v>
      </c>
      <c r="E29" s="77">
        <v>0.84</v>
      </c>
      <c r="F29" s="77">
        <v>0.9</v>
      </c>
      <c r="G29" s="77">
        <v>0.89</v>
      </c>
      <c r="H29" s="77">
        <v>0.79</v>
      </c>
      <c r="I29" s="77">
        <v>0.85</v>
      </c>
      <c r="J29" s="77">
        <v>0.82</v>
      </c>
      <c r="K29" s="77">
        <v>0.83</v>
      </c>
      <c r="L29" s="77">
        <v>0.78</v>
      </c>
      <c r="M29" s="77">
        <v>0.85</v>
      </c>
      <c r="N29" s="33"/>
      <c r="O29" s="33"/>
      <c r="P29" s="33" t="s">
        <v>613</v>
      </c>
      <c r="Q29" t="str">
        <f>VLOOKUP(P29,GroupLabels!$E$2:$H$145,3,0)</f>
        <v>Iceland - Icelandic</v>
      </c>
    </row>
    <row r="30" spans="1:17" x14ac:dyDescent="0.25">
      <c r="A30" t="s">
        <v>2995</v>
      </c>
      <c r="B30" s="77">
        <v>0.88</v>
      </c>
      <c r="C30" s="77">
        <v>0.79</v>
      </c>
      <c r="D30" s="77">
        <v>0.78</v>
      </c>
      <c r="E30" s="77">
        <v>0.84</v>
      </c>
      <c r="F30" s="77">
        <v>0.86</v>
      </c>
      <c r="G30" s="77">
        <v>0.86</v>
      </c>
      <c r="H30" s="77">
        <v>0.68</v>
      </c>
      <c r="I30" s="77">
        <v>0.83</v>
      </c>
      <c r="J30" s="77">
        <v>0.8</v>
      </c>
      <c r="K30" s="77">
        <v>0.79</v>
      </c>
      <c r="L30" s="77">
        <v>0.72</v>
      </c>
      <c r="M30" s="77">
        <v>0.81</v>
      </c>
      <c r="N30" s="33"/>
      <c r="O30" s="33"/>
      <c r="P30" s="33" t="s">
        <v>615</v>
      </c>
      <c r="Q30">
        <f>VLOOKUP(P30,GroupLabels!$E$2:$H$145,4,0)</f>
        <v>1</v>
      </c>
    </row>
    <row r="31" spans="1:17" x14ac:dyDescent="0.25">
      <c r="A31" t="s">
        <v>3088</v>
      </c>
      <c r="B31" s="77">
        <v>0.86</v>
      </c>
      <c r="C31" s="77">
        <v>0.87</v>
      </c>
      <c r="D31" s="77">
        <v>0.87</v>
      </c>
      <c r="E31" s="77">
        <v>0.72</v>
      </c>
      <c r="F31" s="77">
        <v>0.86</v>
      </c>
      <c r="G31" s="77">
        <v>0.83</v>
      </c>
      <c r="H31" s="77">
        <v>0.77</v>
      </c>
      <c r="I31" s="77">
        <v>0.88</v>
      </c>
      <c r="J31" s="77">
        <v>0.78</v>
      </c>
      <c r="K31" s="77">
        <v>0.81</v>
      </c>
      <c r="L31" s="77">
        <v>0.74</v>
      </c>
      <c r="M31" s="77">
        <v>0.77</v>
      </c>
      <c r="N31" s="33"/>
      <c r="O31" s="33"/>
      <c r="P31" s="33" t="s">
        <v>616</v>
      </c>
      <c r="Q31">
        <f>VLOOKUP(P31,GroupLabels!$E$2:$H$145,4,0)</f>
        <v>1</v>
      </c>
    </row>
    <row r="32" spans="1:17" x14ac:dyDescent="0.25">
      <c r="A32" t="s">
        <v>2901</v>
      </c>
      <c r="B32" s="77">
        <v>0.89</v>
      </c>
      <c r="C32" s="77">
        <v>0.88</v>
      </c>
      <c r="D32" s="77">
        <v>0.93</v>
      </c>
      <c r="E32" s="77">
        <v>0.88</v>
      </c>
      <c r="F32" s="77">
        <v>0.94</v>
      </c>
      <c r="G32" s="77">
        <v>0.94</v>
      </c>
      <c r="H32" s="77">
        <v>0.86</v>
      </c>
      <c r="I32" s="77">
        <v>0.93</v>
      </c>
      <c r="J32" s="77">
        <v>0.9</v>
      </c>
      <c r="K32" s="77">
        <v>0.9</v>
      </c>
      <c r="L32" s="77">
        <v>0.89</v>
      </c>
      <c r="M32" s="77">
        <v>0.89</v>
      </c>
      <c r="N32" s="33"/>
      <c r="O32" s="33"/>
      <c r="P32" s="33" t="s">
        <v>617</v>
      </c>
      <c r="Q32">
        <f>VLOOKUP(P32,GroupLabels!$E$2:$H$145,4,0)</f>
        <v>1</v>
      </c>
    </row>
    <row r="33" spans="1:17" x14ac:dyDescent="0.25">
      <c r="A33" t="s">
        <v>3094</v>
      </c>
      <c r="B33" s="77">
        <v>0.91</v>
      </c>
      <c r="C33" s="77">
        <v>0.85</v>
      </c>
      <c r="D33" s="77">
        <v>0.87</v>
      </c>
      <c r="E33" s="77">
        <v>0.88</v>
      </c>
      <c r="F33" s="77">
        <v>0.92</v>
      </c>
      <c r="G33" s="77">
        <v>0.9</v>
      </c>
      <c r="H33" s="77">
        <v>0.84</v>
      </c>
      <c r="I33" s="77">
        <v>0.89</v>
      </c>
      <c r="J33" s="77">
        <v>0.87</v>
      </c>
      <c r="K33" s="77">
        <v>0.88</v>
      </c>
      <c r="L33" s="77">
        <v>0.85</v>
      </c>
      <c r="M33" s="77">
        <v>0.86</v>
      </c>
      <c r="N33" s="33"/>
      <c r="O33" s="33"/>
      <c r="P33" s="33" t="s">
        <v>619</v>
      </c>
      <c r="Q33" t="str">
        <f>VLOOKUP(P33,GroupLabels!$E$2:$H$145,3,0)</f>
        <v>Israel - Hebrew*</v>
      </c>
    </row>
    <row r="34" spans="1:17" x14ac:dyDescent="0.25">
      <c r="A34" t="s">
        <v>2967</v>
      </c>
      <c r="B34" s="77">
        <v>0.84</v>
      </c>
      <c r="C34" s="77">
        <v>0.76</v>
      </c>
      <c r="D34" s="77">
        <v>0.86</v>
      </c>
      <c r="E34" s="77">
        <v>0.84</v>
      </c>
      <c r="F34" s="77">
        <v>0.87</v>
      </c>
      <c r="G34" s="77">
        <v>0.86</v>
      </c>
      <c r="H34" s="77">
        <v>0.81</v>
      </c>
      <c r="I34" s="77">
        <v>0.84</v>
      </c>
      <c r="J34" s="77">
        <v>0.86</v>
      </c>
      <c r="K34" s="77">
        <v>0.86</v>
      </c>
      <c r="L34" s="77">
        <v>0.81</v>
      </c>
      <c r="M34" s="77">
        <v>0.77</v>
      </c>
      <c r="N34" s="33"/>
      <c r="O34" s="33"/>
      <c r="P34" s="33" t="s">
        <v>620</v>
      </c>
      <c r="Q34">
        <f>VLOOKUP(P34,GroupLabels!$E$2:$H$145,4,0)</f>
        <v>1</v>
      </c>
    </row>
    <row r="35" spans="1:17" x14ac:dyDescent="0.25">
      <c r="A35" t="s">
        <v>3126</v>
      </c>
      <c r="B35" s="77">
        <v>0.83</v>
      </c>
      <c r="C35" s="77">
        <v>0.76</v>
      </c>
      <c r="D35" s="77">
        <v>0.81</v>
      </c>
      <c r="E35" s="77">
        <v>0.8</v>
      </c>
      <c r="F35" s="77">
        <v>0.84</v>
      </c>
      <c r="G35" s="77">
        <v>0.85</v>
      </c>
      <c r="H35" s="77">
        <v>0.74</v>
      </c>
      <c r="I35" s="77">
        <v>0.83</v>
      </c>
      <c r="J35" s="77">
        <v>0.82</v>
      </c>
      <c r="K35" s="77">
        <v>0.83</v>
      </c>
      <c r="L35" s="77">
        <v>0.69</v>
      </c>
      <c r="M35" s="77">
        <v>0.75</v>
      </c>
      <c r="N35" s="33"/>
      <c r="O35" s="33"/>
      <c r="P35" s="33" t="s">
        <v>621</v>
      </c>
      <c r="Q35" t="str">
        <f>VLOOKUP(P35,GroupLabels!$E$2:$H$145,3,0)</f>
        <v>Italy - Italian</v>
      </c>
    </row>
    <row r="36" spans="1:17" x14ac:dyDescent="0.25">
      <c r="A36" t="s">
        <v>768</v>
      </c>
      <c r="B36" s="77">
        <v>0.93</v>
      </c>
      <c r="C36" s="77">
        <v>0.82</v>
      </c>
      <c r="D36" s="77">
        <v>0.88</v>
      </c>
      <c r="E36" s="77">
        <v>0.87</v>
      </c>
      <c r="F36" s="77">
        <v>0.86</v>
      </c>
      <c r="G36" s="77">
        <v>0.92</v>
      </c>
      <c r="H36" s="77">
        <v>0.83</v>
      </c>
      <c r="I36" s="77">
        <v>0.9</v>
      </c>
      <c r="J36" s="77">
        <v>0.84</v>
      </c>
      <c r="K36" s="77">
        <v>0.82</v>
      </c>
      <c r="L36" s="77">
        <v>0.83</v>
      </c>
      <c r="M36" s="77">
        <v>0.86</v>
      </c>
      <c r="N36" s="33"/>
      <c r="O36" s="33"/>
      <c r="P36" s="33" t="s">
        <v>622</v>
      </c>
      <c r="Q36">
        <f>VLOOKUP(P36,GroupLabels!$E$2:$H$145,4,0)</f>
        <v>1</v>
      </c>
    </row>
    <row r="37" spans="1:17" x14ac:dyDescent="0.25">
      <c r="A37" t="s">
        <v>2903</v>
      </c>
      <c r="B37" s="77">
        <v>0.89</v>
      </c>
      <c r="C37" s="77">
        <v>0.86</v>
      </c>
      <c r="D37" s="77">
        <v>0.93</v>
      </c>
      <c r="E37" s="77">
        <v>0.89</v>
      </c>
      <c r="F37" s="77">
        <v>0.92</v>
      </c>
      <c r="G37" s="77">
        <v>0.92</v>
      </c>
      <c r="H37" s="77">
        <v>0.87</v>
      </c>
      <c r="I37" s="77">
        <v>0.95</v>
      </c>
      <c r="J37" s="77">
        <v>0.9</v>
      </c>
      <c r="K37" s="77">
        <v>0.91</v>
      </c>
      <c r="L37" s="77">
        <v>0.89</v>
      </c>
      <c r="M37" s="77">
        <v>0.87</v>
      </c>
      <c r="N37" s="33"/>
      <c r="O37" s="33"/>
      <c r="P37" s="33" t="s">
        <v>623</v>
      </c>
      <c r="Q37">
        <f>VLOOKUP(P37,GroupLabels!$E$2:$H$145,4,0)</f>
        <v>0</v>
      </c>
    </row>
    <row r="38" spans="1:17" x14ac:dyDescent="0.25">
      <c r="A38" t="s">
        <v>3154</v>
      </c>
      <c r="B38" s="77">
        <v>0.94</v>
      </c>
      <c r="C38" s="77">
        <v>0.91</v>
      </c>
      <c r="D38" s="77">
        <v>0.87</v>
      </c>
      <c r="E38" s="77">
        <v>0.89</v>
      </c>
      <c r="F38" s="77">
        <v>0.91</v>
      </c>
      <c r="G38" s="77">
        <v>0.92</v>
      </c>
      <c r="H38" s="77">
        <v>0.85</v>
      </c>
      <c r="I38" s="77">
        <v>0.9</v>
      </c>
      <c r="J38" s="77">
        <v>0.82</v>
      </c>
      <c r="K38" s="77">
        <v>0.79</v>
      </c>
      <c r="L38" s="77">
        <v>0.78</v>
      </c>
      <c r="M38" s="77">
        <v>0.84</v>
      </c>
      <c r="N38" s="33"/>
      <c r="O38" s="33"/>
      <c r="P38" s="33" t="s">
        <v>627</v>
      </c>
      <c r="Q38" t="str">
        <f>VLOOKUP(P38,GroupLabels!$E$2:$H$145,3,0)</f>
        <v>Korea - Korean</v>
      </c>
    </row>
    <row r="39" spans="1:17" x14ac:dyDescent="0.25">
      <c r="A39" t="s">
        <v>3003</v>
      </c>
      <c r="B39" s="77">
        <v>0.86</v>
      </c>
      <c r="C39" s="77">
        <v>0.83</v>
      </c>
      <c r="D39" s="77">
        <v>0.9</v>
      </c>
      <c r="E39" s="77">
        <v>0.84</v>
      </c>
      <c r="F39" s="77">
        <v>0.9</v>
      </c>
      <c r="G39" s="77">
        <v>0.9</v>
      </c>
      <c r="H39" s="77">
        <v>0.81</v>
      </c>
      <c r="I39" s="77">
        <v>0.95</v>
      </c>
      <c r="J39" s="77">
        <v>0.88</v>
      </c>
      <c r="K39" s="77">
        <v>0.89</v>
      </c>
      <c r="L39" s="77">
        <v>0.83</v>
      </c>
      <c r="M39" s="77">
        <v>0.82</v>
      </c>
      <c r="N39" s="33"/>
      <c r="O39" s="33"/>
      <c r="P39" s="33" t="s">
        <v>636</v>
      </c>
      <c r="Q39" t="str">
        <f>VLOOKUP(P39,GroupLabels!$E$2:$H$145,3,0)</f>
        <v>Lebanon - English*</v>
      </c>
    </row>
    <row r="40" spans="1:17" x14ac:dyDescent="0.25">
      <c r="A40" t="s">
        <v>3084</v>
      </c>
      <c r="B40" s="77">
        <v>0.83</v>
      </c>
      <c r="C40" s="77">
        <v>0.77</v>
      </c>
      <c r="D40" s="77">
        <v>0.87</v>
      </c>
      <c r="E40" s="77">
        <v>0.81</v>
      </c>
      <c r="F40" s="77">
        <v>0.9</v>
      </c>
      <c r="G40" s="77">
        <v>0.86</v>
      </c>
      <c r="H40" s="77">
        <v>0.81</v>
      </c>
      <c r="I40" s="77">
        <v>0.92</v>
      </c>
      <c r="J40" s="77">
        <v>0.89</v>
      </c>
      <c r="K40" s="77">
        <v>0.87</v>
      </c>
      <c r="L40" s="77">
        <v>0.83</v>
      </c>
      <c r="M40" s="77">
        <v>0.79</v>
      </c>
      <c r="N40" s="33"/>
      <c r="O40" s="33"/>
      <c r="P40" s="33" t="s">
        <v>637</v>
      </c>
      <c r="Q40" t="str">
        <f>VLOOKUP(P40,GroupLabels!$E$2:$H$145,3,0)</f>
        <v>Lebanon - French*</v>
      </c>
    </row>
    <row r="41" spans="1:17" x14ac:dyDescent="0.25">
      <c r="A41" t="s">
        <v>3004</v>
      </c>
      <c r="B41" s="77">
        <v>0.87</v>
      </c>
      <c r="C41" s="77">
        <v>0.77</v>
      </c>
      <c r="D41" s="77">
        <v>0.82</v>
      </c>
      <c r="E41" s="77">
        <v>0.82</v>
      </c>
      <c r="F41" s="77">
        <v>0.85</v>
      </c>
      <c r="G41" s="77">
        <v>0.89</v>
      </c>
      <c r="H41" s="77">
        <v>0.71</v>
      </c>
      <c r="I41" s="77">
        <v>0.81</v>
      </c>
      <c r="J41" s="77">
        <v>0.8</v>
      </c>
      <c r="K41" s="77">
        <v>0.78</v>
      </c>
      <c r="L41" s="77">
        <v>0.73</v>
      </c>
      <c r="M41" s="77">
        <v>0.79</v>
      </c>
      <c r="N41" s="33"/>
      <c r="O41" s="33"/>
      <c r="P41" s="33" t="s">
        <v>641</v>
      </c>
      <c r="Q41" t="str">
        <f>VLOOKUP(P41,GroupLabels!$E$2:$H$145,3,0)</f>
        <v>Luxembourg - English</v>
      </c>
    </row>
    <row r="42" spans="1:17" x14ac:dyDescent="0.25">
      <c r="A42" t="s">
        <v>3085</v>
      </c>
      <c r="B42" s="77">
        <v>0.89</v>
      </c>
      <c r="C42" s="77">
        <v>0.82</v>
      </c>
      <c r="D42" s="77">
        <v>0.82</v>
      </c>
      <c r="E42" s="77">
        <v>0.85</v>
      </c>
      <c r="F42" s="77">
        <v>0.9</v>
      </c>
      <c r="G42" s="77">
        <v>0.86</v>
      </c>
      <c r="H42" s="77">
        <v>0.79</v>
      </c>
      <c r="I42" s="77">
        <v>0.84</v>
      </c>
      <c r="J42" s="77">
        <v>0.83</v>
      </c>
      <c r="K42" s="77">
        <v>0.82</v>
      </c>
      <c r="L42" s="77">
        <v>0.76</v>
      </c>
      <c r="M42" s="77">
        <v>0.8</v>
      </c>
      <c r="N42" s="33"/>
      <c r="O42" s="33"/>
      <c r="P42" s="33" t="s">
        <v>642</v>
      </c>
      <c r="Q42" t="str">
        <f>VLOOKUP(P42,GroupLabels!$E$2:$H$145,3,0)</f>
        <v>Luxembourg - French</v>
      </c>
    </row>
    <row r="43" spans="1:17" x14ac:dyDescent="0.25">
      <c r="A43" t="s">
        <v>2969</v>
      </c>
      <c r="B43" s="77">
        <v>0.87</v>
      </c>
      <c r="C43" s="77">
        <v>0.81</v>
      </c>
      <c r="D43" s="77">
        <v>0.85</v>
      </c>
      <c r="E43" s="77">
        <v>0.84</v>
      </c>
      <c r="F43" s="77">
        <v>0.88</v>
      </c>
      <c r="G43" s="77">
        <v>0.88</v>
      </c>
      <c r="H43" s="77">
        <v>0.79</v>
      </c>
      <c r="I43" s="77">
        <v>0.85</v>
      </c>
      <c r="J43" s="77">
        <v>0.85</v>
      </c>
      <c r="K43" s="77">
        <v>0.85</v>
      </c>
      <c r="L43" s="77">
        <v>0.77</v>
      </c>
      <c r="M43" s="77">
        <v>0.83</v>
      </c>
      <c r="N43" s="33"/>
      <c r="O43" s="33"/>
      <c r="P43" s="33" t="s">
        <v>643</v>
      </c>
      <c r="Q43" t="str">
        <f>VLOOKUP(P43,GroupLabels!$E$2:$H$145,3,0)</f>
        <v>Luxembourg - German</v>
      </c>
    </row>
    <row r="44" spans="1:17" x14ac:dyDescent="0.25">
      <c r="A44" t="s">
        <v>3007</v>
      </c>
      <c r="B44" s="77">
        <v>0.86</v>
      </c>
      <c r="C44" s="77">
        <v>0.79</v>
      </c>
      <c r="D44" s="77">
        <v>0.81</v>
      </c>
      <c r="E44" s="77">
        <v>0.76</v>
      </c>
      <c r="F44" s="77">
        <v>0.87</v>
      </c>
      <c r="G44" s="77">
        <v>0.88</v>
      </c>
      <c r="H44" s="77">
        <v>0.78</v>
      </c>
      <c r="I44" s="77">
        <v>0.88</v>
      </c>
      <c r="J44" s="77">
        <v>0.82</v>
      </c>
      <c r="K44" s="77">
        <v>0.8</v>
      </c>
      <c r="L44" s="77">
        <v>0.78</v>
      </c>
      <c r="M44" s="77">
        <v>0.79</v>
      </c>
      <c r="N44" s="33"/>
      <c r="O44" s="33"/>
      <c r="P44" s="33" t="s">
        <v>644</v>
      </c>
      <c r="Q44" t="str">
        <f>VLOOKUP(P44,GroupLabels!$E$2:$H$145,3,0)</f>
        <v>Macao (China) - English</v>
      </c>
    </row>
    <row r="45" spans="1:17" x14ac:dyDescent="0.25">
      <c r="A45" t="s">
        <v>3200</v>
      </c>
      <c r="B45" s="77">
        <v>0.85</v>
      </c>
      <c r="C45" s="77">
        <v>0.76</v>
      </c>
      <c r="D45" s="77">
        <v>0.8</v>
      </c>
      <c r="E45" s="77">
        <v>0.78</v>
      </c>
      <c r="F45" s="77">
        <v>0.73</v>
      </c>
      <c r="G45" s="77">
        <v>0.79</v>
      </c>
      <c r="H45" s="77">
        <v>0.69</v>
      </c>
      <c r="I45" s="77">
        <v>0.83</v>
      </c>
      <c r="J45" s="77">
        <v>0.77</v>
      </c>
      <c r="K45" s="77">
        <v>0.81</v>
      </c>
      <c r="L45" s="77">
        <v>0.41</v>
      </c>
      <c r="M45" s="77">
        <v>0.69</v>
      </c>
      <c r="N45" s="33"/>
      <c r="O45" s="33"/>
      <c r="P45" s="33" t="s">
        <v>645</v>
      </c>
      <c r="Q45" t="str">
        <f>VLOOKUP(P45,GroupLabels!$E$2:$H$145,3,0)</f>
        <v>Macao (China) - Portuguese</v>
      </c>
    </row>
    <row r="46" spans="1:17" x14ac:dyDescent="0.25">
      <c r="A46" t="s">
        <v>3279</v>
      </c>
      <c r="B46" s="77">
        <v>0.9</v>
      </c>
      <c r="C46" s="77">
        <v>0.85</v>
      </c>
      <c r="D46" s="77">
        <v>0.86</v>
      </c>
      <c r="E46" s="77">
        <v>0.82</v>
      </c>
      <c r="F46" s="77">
        <v>0.89</v>
      </c>
      <c r="G46" s="77">
        <v>0.89</v>
      </c>
      <c r="H46" s="77">
        <v>0.83</v>
      </c>
      <c r="I46" s="77">
        <v>0.91</v>
      </c>
      <c r="J46" s="77">
        <v>0.83</v>
      </c>
      <c r="K46" s="77">
        <v>0.8</v>
      </c>
      <c r="L46" s="77">
        <v>0.75</v>
      </c>
      <c r="M46" s="77">
        <v>0.83</v>
      </c>
      <c r="N46" s="33"/>
      <c r="O46" s="33"/>
      <c r="P46" s="33" t="s">
        <v>646</v>
      </c>
      <c r="Q46">
        <f>VLOOKUP(P46,GroupLabels!$E$2:$H$145,4,0)</f>
        <v>0</v>
      </c>
    </row>
    <row r="47" spans="1:17" x14ac:dyDescent="0.25">
      <c r="A47" t="s">
        <v>3013</v>
      </c>
      <c r="B47" s="77">
        <v>0.89</v>
      </c>
      <c r="C47" s="77">
        <v>0.84</v>
      </c>
      <c r="D47" s="77">
        <v>0.83</v>
      </c>
      <c r="E47" s="77">
        <v>0.82</v>
      </c>
      <c r="F47" s="77">
        <v>0.91</v>
      </c>
      <c r="G47" s="77">
        <v>0.87</v>
      </c>
      <c r="H47" s="77">
        <v>0.77</v>
      </c>
      <c r="I47" s="77">
        <v>0.95</v>
      </c>
      <c r="J47" s="77">
        <v>0.83</v>
      </c>
      <c r="K47" s="77">
        <v>0.83</v>
      </c>
      <c r="L47" s="77">
        <v>0.78</v>
      </c>
      <c r="M47" s="77">
        <v>0.82</v>
      </c>
      <c r="N47" s="33"/>
      <c r="O47" s="33"/>
      <c r="P47" s="33" t="s">
        <v>649</v>
      </c>
      <c r="Q47" t="str">
        <f>VLOOKUP(P47,GroupLabels!$E$2:$H$145,3,0)</f>
        <v>Malaysia - English</v>
      </c>
    </row>
    <row r="48" spans="1:17" x14ac:dyDescent="0.25">
      <c r="A48" t="s">
        <v>3179</v>
      </c>
      <c r="B48" s="77">
        <v>0.88</v>
      </c>
      <c r="C48" s="77">
        <v>0.86</v>
      </c>
      <c r="D48" s="77">
        <v>0.89</v>
      </c>
      <c r="E48" s="77">
        <v>0.84</v>
      </c>
      <c r="F48" s="77">
        <v>0.91</v>
      </c>
      <c r="G48" s="77">
        <v>0.88</v>
      </c>
      <c r="H48" s="77">
        <v>0.81</v>
      </c>
      <c r="I48" s="77">
        <v>0.92</v>
      </c>
      <c r="J48" s="77">
        <v>0.85</v>
      </c>
      <c r="K48" s="77">
        <v>0.88</v>
      </c>
      <c r="L48" s="77">
        <v>0.78</v>
      </c>
      <c r="M48" s="77">
        <v>0.78</v>
      </c>
      <c r="N48" s="33"/>
      <c r="O48" s="33"/>
      <c r="P48" s="33" t="s">
        <v>650</v>
      </c>
      <c r="Q48" t="str">
        <f>VLOOKUP(P48,GroupLabels!$E$2:$H$145,3,0)</f>
        <v>Malaysia - Malay</v>
      </c>
    </row>
    <row r="49" spans="1:17" x14ac:dyDescent="0.25">
      <c r="A49" t="s">
        <v>3143</v>
      </c>
      <c r="B49" s="77">
        <v>0.83</v>
      </c>
      <c r="C49" s="77">
        <v>0.86</v>
      </c>
      <c r="D49" s="77">
        <v>0.62</v>
      </c>
      <c r="E49" s="77">
        <v>0.86</v>
      </c>
      <c r="F49" s="77">
        <v>0.91</v>
      </c>
      <c r="G49" s="77">
        <v>0.92</v>
      </c>
      <c r="H49" s="77">
        <v>0.88</v>
      </c>
      <c r="I49" s="77">
        <v>0.44</v>
      </c>
      <c r="J49" s="77">
        <v>0.93</v>
      </c>
      <c r="K49" s="77">
        <v>0.92</v>
      </c>
      <c r="L49" s="77">
        <v>0.7</v>
      </c>
      <c r="M49" s="77">
        <v>0.82</v>
      </c>
      <c r="N49" s="33"/>
      <c r="O49" s="33"/>
      <c r="P49" s="33" t="s">
        <v>656</v>
      </c>
      <c r="Q49">
        <f>VLOOKUP(P49,GroupLabels!$E$2:$H$145,4,0)</f>
        <v>0</v>
      </c>
    </row>
    <row r="50" spans="1:17" x14ac:dyDescent="0.25">
      <c r="A50" t="s">
        <v>3175</v>
      </c>
      <c r="B50" s="77">
        <v>0.86</v>
      </c>
      <c r="C50" s="77">
        <v>0.86</v>
      </c>
      <c r="D50" s="77">
        <v>0.91</v>
      </c>
      <c r="E50" s="77">
        <v>0.85</v>
      </c>
      <c r="F50" s="77">
        <v>0.91</v>
      </c>
      <c r="G50" s="77">
        <v>0.92</v>
      </c>
      <c r="H50" s="77">
        <v>0.85</v>
      </c>
      <c r="I50" s="77">
        <v>0.91</v>
      </c>
      <c r="J50" s="77">
        <v>0.86</v>
      </c>
      <c r="K50" s="77">
        <v>0.88</v>
      </c>
      <c r="L50" s="77">
        <v>0.83</v>
      </c>
      <c r="M50" s="77">
        <v>0.81</v>
      </c>
      <c r="N50" s="33"/>
      <c r="O50" s="33"/>
      <c r="P50" s="33" t="s">
        <v>657</v>
      </c>
      <c r="Q50" t="str">
        <f>VLOOKUP(P50,GroupLabels!$E$2:$H$145,3,0)</f>
        <v>Mongolia - Mongolian</v>
      </c>
    </row>
    <row r="51" spans="1:17" x14ac:dyDescent="0.25">
      <c r="A51" t="s">
        <v>2906</v>
      </c>
      <c r="B51" s="77">
        <v>0.88</v>
      </c>
      <c r="C51" s="77">
        <v>0.83</v>
      </c>
      <c r="D51" s="77">
        <v>0.92</v>
      </c>
      <c r="E51" s="77">
        <v>0.87</v>
      </c>
      <c r="F51" s="77">
        <v>0.89</v>
      </c>
      <c r="G51" s="77">
        <v>0.9</v>
      </c>
      <c r="H51" s="77">
        <v>0.83</v>
      </c>
      <c r="I51" s="77">
        <v>0.93</v>
      </c>
      <c r="J51" s="77">
        <v>0.86</v>
      </c>
      <c r="K51" s="77">
        <v>0.87</v>
      </c>
      <c r="L51" s="77">
        <v>0.86</v>
      </c>
      <c r="M51" s="77">
        <v>0.83</v>
      </c>
      <c r="N51" s="33"/>
      <c r="O51" s="33"/>
      <c r="P51" s="33" t="s">
        <v>660</v>
      </c>
      <c r="Q51">
        <f>VLOOKUP(P51,GroupLabels!$E$2:$H$145,4,0)</f>
        <v>0</v>
      </c>
    </row>
    <row r="52" spans="1:17" x14ac:dyDescent="0.25">
      <c r="A52" t="s">
        <v>3187</v>
      </c>
      <c r="B52" s="77">
        <v>0.89</v>
      </c>
      <c r="C52" s="77">
        <v>0.83</v>
      </c>
      <c r="D52" s="77">
        <v>0.84</v>
      </c>
      <c r="E52" s="77">
        <v>0.87</v>
      </c>
      <c r="F52" s="77">
        <v>0.87</v>
      </c>
      <c r="G52" s="77">
        <v>0.87</v>
      </c>
      <c r="H52" s="77">
        <v>0.78</v>
      </c>
      <c r="I52" s="77">
        <v>0.84</v>
      </c>
      <c r="J52" s="77">
        <v>0.83</v>
      </c>
      <c r="K52" s="77">
        <v>0.84</v>
      </c>
      <c r="L52" s="77">
        <v>0.82</v>
      </c>
      <c r="M52" s="77">
        <v>0.83</v>
      </c>
      <c r="N52" s="33"/>
      <c r="O52" s="33"/>
      <c r="P52" s="33" t="s">
        <v>661</v>
      </c>
      <c r="Q52" t="str">
        <f>VLOOKUP(P52,GroupLabels!$E$2:$H$145,3,0)</f>
        <v>Netherlands - Dutch</v>
      </c>
    </row>
    <row r="53" spans="1:17" x14ac:dyDescent="0.25">
      <c r="A53" t="s">
        <v>3016</v>
      </c>
      <c r="B53" s="77">
        <v>0.9</v>
      </c>
      <c r="C53" s="77">
        <v>0.82</v>
      </c>
      <c r="D53" s="77">
        <v>0.85</v>
      </c>
      <c r="E53" s="77">
        <v>0.86</v>
      </c>
      <c r="F53" s="77">
        <v>0.9</v>
      </c>
      <c r="G53" s="77">
        <v>0.87</v>
      </c>
      <c r="H53" s="77">
        <v>0.73</v>
      </c>
      <c r="I53" s="77">
        <v>0.83</v>
      </c>
      <c r="J53" s="77">
        <v>0.85</v>
      </c>
      <c r="K53" s="77">
        <v>0.84</v>
      </c>
      <c r="L53" s="77">
        <v>0.79</v>
      </c>
      <c r="M53" s="77">
        <v>0.85</v>
      </c>
      <c r="N53" s="33"/>
      <c r="O53" s="33"/>
      <c r="P53" s="33" t="s">
        <v>662</v>
      </c>
      <c r="Q53" t="str">
        <f>VLOOKUP(P53,GroupLabels!$E$2:$H$145,3,0)</f>
        <v>New Zealand - English</v>
      </c>
    </row>
    <row r="54" spans="1:17" x14ac:dyDescent="0.25">
      <c r="A54" t="s">
        <v>3194</v>
      </c>
      <c r="B54" s="77">
        <v>0.88</v>
      </c>
      <c r="C54" s="77">
        <v>0.86</v>
      </c>
      <c r="D54" s="77">
        <v>0.89</v>
      </c>
      <c r="E54" s="77">
        <v>0.86</v>
      </c>
      <c r="F54" s="77">
        <v>0.88</v>
      </c>
      <c r="G54" s="77">
        <v>0.91</v>
      </c>
      <c r="H54" s="77">
        <v>0.83</v>
      </c>
      <c r="I54" s="77">
        <v>0.89</v>
      </c>
      <c r="J54" s="77">
        <v>0.87</v>
      </c>
      <c r="K54" s="77">
        <v>0.86</v>
      </c>
      <c r="L54" s="77">
        <v>0.8</v>
      </c>
      <c r="M54" s="77">
        <v>0.81</v>
      </c>
      <c r="N54" s="33"/>
      <c r="O54" s="33"/>
      <c r="P54" s="33" t="s">
        <v>670</v>
      </c>
      <c r="Q54">
        <f>VLOOKUP(P54,GroupLabels!$E$2:$H$145,4,0)</f>
        <v>1</v>
      </c>
    </row>
    <row r="55" spans="1:17" x14ac:dyDescent="0.25">
      <c r="A55" t="s">
        <v>2912</v>
      </c>
      <c r="B55" s="77">
        <v>0.92</v>
      </c>
      <c r="C55" s="77">
        <v>0.91</v>
      </c>
      <c r="D55" s="77">
        <v>0.94</v>
      </c>
      <c r="E55" s="77">
        <v>0.92</v>
      </c>
      <c r="F55" s="77">
        <v>0.95</v>
      </c>
      <c r="G55" s="77">
        <v>0.94</v>
      </c>
      <c r="H55" s="77">
        <v>0.89</v>
      </c>
      <c r="I55" s="77">
        <v>0.94</v>
      </c>
      <c r="J55" s="77">
        <v>0.92</v>
      </c>
      <c r="K55" s="77">
        <v>0.93</v>
      </c>
      <c r="L55" s="77">
        <v>0.91</v>
      </c>
      <c r="M55" s="77">
        <v>0.91</v>
      </c>
      <c r="N55" s="33"/>
      <c r="O55" s="33"/>
      <c r="P55" s="33" t="s">
        <v>672</v>
      </c>
      <c r="Q55">
        <f>VLOOKUP(P55,GroupLabels!$E$2:$H$145,4,0)</f>
        <v>0</v>
      </c>
    </row>
    <row r="56" spans="1:17" x14ac:dyDescent="0.25">
      <c r="A56" t="s">
        <v>3020</v>
      </c>
      <c r="B56" s="77">
        <v>0.89</v>
      </c>
      <c r="C56" s="77">
        <v>0.83</v>
      </c>
      <c r="D56" s="77">
        <v>0.89</v>
      </c>
      <c r="E56" s="77">
        <v>0.87</v>
      </c>
      <c r="F56" s="77">
        <v>0.9</v>
      </c>
      <c r="G56" s="77">
        <v>0.91</v>
      </c>
      <c r="H56" s="77">
        <v>0.79</v>
      </c>
      <c r="I56" s="77">
        <v>0.93</v>
      </c>
      <c r="J56" s="77">
        <v>0.88</v>
      </c>
      <c r="K56" s="77">
        <v>0.88</v>
      </c>
      <c r="L56" s="77">
        <v>0.81</v>
      </c>
      <c r="M56" s="77">
        <v>0.84</v>
      </c>
      <c r="N56" s="33"/>
      <c r="O56" s="33"/>
      <c r="P56" s="33" t="s">
        <v>673</v>
      </c>
      <c r="Q56">
        <f>VLOOKUP(P56,GroupLabels!$E$2:$H$145,4,0)</f>
        <v>0</v>
      </c>
    </row>
    <row r="57" spans="1:17" x14ac:dyDescent="0.25">
      <c r="A57" t="s">
        <v>3106</v>
      </c>
      <c r="B57" s="77">
        <v>0.89</v>
      </c>
      <c r="C57" s="77">
        <v>0.85</v>
      </c>
      <c r="D57" s="77">
        <v>0.86</v>
      </c>
      <c r="E57" s="77">
        <v>0.85</v>
      </c>
      <c r="F57" s="77">
        <v>0.87</v>
      </c>
      <c r="G57" s="77">
        <v>0.88</v>
      </c>
      <c r="H57" s="77">
        <v>0.86</v>
      </c>
      <c r="I57" s="77">
        <v>0.89</v>
      </c>
      <c r="J57" s="77">
        <v>0.85</v>
      </c>
      <c r="K57" s="77">
        <v>0.82</v>
      </c>
      <c r="L57" s="77">
        <v>0.75</v>
      </c>
      <c r="M57" s="77">
        <v>0.8</v>
      </c>
      <c r="N57" s="33"/>
      <c r="O57" s="33"/>
      <c r="P57" s="33" t="s">
        <v>674</v>
      </c>
      <c r="Q57">
        <f>VLOOKUP(P57,GroupLabels!$E$2:$H$145,4,0)</f>
        <v>0</v>
      </c>
    </row>
    <row r="58" spans="1:17" x14ac:dyDescent="0.25">
      <c r="A58" t="s">
        <v>3207</v>
      </c>
      <c r="B58" s="77">
        <v>0.89</v>
      </c>
      <c r="C58" s="77">
        <v>0.88</v>
      </c>
      <c r="D58" s="77">
        <v>0.86</v>
      </c>
      <c r="E58" s="77">
        <v>0.88</v>
      </c>
      <c r="F58" s="77">
        <v>0.91</v>
      </c>
      <c r="G58" s="77">
        <v>0.92</v>
      </c>
      <c r="H58" s="77">
        <v>0.84</v>
      </c>
      <c r="I58" s="77">
        <v>0.87</v>
      </c>
      <c r="J58" s="77">
        <v>0.88</v>
      </c>
      <c r="K58" s="77">
        <v>0.88</v>
      </c>
      <c r="L58" s="77">
        <v>0.85</v>
      </c>
      <c r="M58" s="77">
        <v>0.86</v>
      </c>
      <c r="N58" s="33"/>
      <c r="O58" s="33"/>
      <c r="P58" s="33" t="s">
        <v>675</v>
      </c>
      <c r="Q58">
        <f>VLOOKUP(P58,GroupLabels!$E$2:$H$145,4,0)</f>
        <v>0</v>
      </c>
    </row>
    <row r="59" spans="1:17" x14ac:dyDescent="0.25">
      <c r="A59" t="s">
        <v>3025</v>
      </c>
      <c r="B59" s="77">
        <v>0.89</v>
      </c>
      <c r="C59" s="77">
        <v>0.82</v>
      </c>
      <c r="D59" s="77">
        <v>0.81</v>
      </c>
      <c r="E59" s="77">
        <v>0.85</v>
      </c>
      <c r="F59" s="77">
        <v>0.89</v>
      </c>
      <c r="G59" s="77">
        <v>0.9</v>
      </c>
      <c r="H59" s="77">
        <v>0.76</v>
      </c>
      <c r="I59" s="77">
        <v>0.8</v>
      </c>
      <c r="J59" s="77">
        <v>0.86</v>
      </c>
      <c r="K59" s="77">
        <v>0.83</v>
      </c>
      <c r="L59" s="77">
        <v>0.73</v>
      </c>
      <c r="M59" s="77">
        <v>0.82</v>
      </c>
      <c r="N59" s="33"/>
      <c r="O59" s="33"/>
      <c r="P59" s="33" t="s">
        <v>680</v>
      </c>
      <c r="Q59" t="str">
        <f>VLOOKUP(P59,GroupLabels!$E$2:$H$145,3,0)</f>
        <v>Singapore - English</v>
      </c>
    </row>
    <row r="60" spans="1:17" x14ac:dyDescent="0.25">
      <c r="A60" t="s">
        <v>3227</v>
      </c>
      <c r="B60" s="77">
        <v>0.87</v>
      </c>
      <c r="C60" s="77">
        <v>0.85</v>
      </c>
      <c r="D60" s="77">
        <v>0.85</v>
      </c>
      <c r="E60" s="77">
        <v>0.83</v>
      </c>
      <c r="F60" s="77">
        <v>0.88</v>
      </c>
      <c r="G60" s="77">
        <v>0.9</v>
      </c>
      <c r="H60" s="77">
        <v>0.86</v>
      </c>
      <c r="I60" s="77">
        <v>0.86</v>
      </c>
      <c r="J60" s="77">
        <v>0.83</v>
      </c>
      <c r="K60" s="77">
        <v>0.84</v>
      </c>
      <c r="L60" s="77">
        <v>0.79</v>
      </c>
      <c r="M60" s="77">
        <v>0.83</v>
      </c>
      <c r="N60" s="33"/>
      <c r="O60" s="33"/>
      <c r="P60" s="33" t="s">
        <v>683</v>
      </c>
      <c r="Q60" t="str">
        <f>VLOOKUP(P60,GroupLabels!$E$2:$H$145,3,0)</f>
        <v>Slovenia - Slovenian</v>
      </c>
    </row>
    <row r="61" spans="1:17" x14ac:dyDescent="0.25">
      <c r="A61" t="s">
        <v>3072</v>
      </c>
      <c r="B61" s="77">
        <v>0.87</v>
      </c>
      <c r="C61" s="77">
        <v>0.86</v>
      </c>
      <c r="D61" s="77">
        <v>0.82</v>
      </c>
      <c r="E61" s="77">
        <v>0.85</v>
      </c>
      <c r="F61" s="77">
        <v>0.91</v>
      </c>
      <c r="G61" s="77">
        <v>0.88</v>
      </c>
      <c r="H61" s="77">
        <v>0.83</v>
      </c>
      <c r="I61" s="77">
        <v>0.83</v>
      </c>
      <c r="J61" s="77">
        <v>0.86</v>
      </c>
      <c r="K61" s="77">
        <v>0.85</v>
      </c>
      <c r="L61" s="77">
        <v>0.75</v>
      </c>
      <c r="M61" s="77">
        <v>0.83</v>
      </c>
      <c r="N61" s="33"/>
      <c r="O61" s="33"/>
      <c r="P61" s="33" t="s">
        <v>684</v>
      </c>
      <c r="Q61" t="str">
        <f>VLOOKUP(P61,GroupLabels!$E$2:$H$145,3,0)</f>
        <v>Spain - Basque</v>
      </c>
    </row>
    <row r="62" spans="1:17" x14ac:dyDescent="0.25">
      <c r="A62" t="s">
        <v>2932</v>
      </c>
      <c r="B62" s="77">
        <v>0.88</v>
      </c>
      <c r="C62" s="77">
        <v>0.81</v>
      </c>
      <c r="D62" s="77">
        <v>0.83</v>
      </c>
      <c r="E62" s="77">
        <v>0.83</v>
      </c>
      <c r="F62" s="77">
        <v>0.88</v>
      </c>
      <c r="G62" s="77">
        <v>0.88</v>
      </c>
      <c r="H62" s="77">
        <v>0.7</v>
      </c>
      <c r="I62" s="77">
        <v>0.83</v>
      </c>
      <c r="J62" s="77">
        <v>0.81</v>
      </c>
      <c r="K62" s="77">
        <v>0.8</v>
      </c>
      <c r="L62" s="77">
        <v>0.71</v>
      </c>
      <c r="M62" s="77">
        <v>0.8</v>
      </c>
      <c r="N62" s="33"/>
      <c r="O62" s="33"/>
      <c r="P62" s="33" t="s">
        <v>685</v>
      </c>
      <c r="Q62" t="str">
        <f>VLOOKUP(P62,GroupLabels!$E$2:$H$145,3,0)</f>
        <v>Spain - Catalan</v>
      </c>
    </row>
    <row r="63" spans="1:17" x14ac:dyDescent="0.25">
      <c r="A63" t="s">
        <v>3091</v>
      </c>
      <c r="B63" s="77">
        <v>0.88</v>
      </c>
      <c r="C63" s="77">
        <v>0.76</v>
      </c>
      <c r="D63" s="77">
        <v>0.82</v>
      </c>
      <c r="E63" s="77">
        <v>0.85</v>
      </c>
      <c r="F63" s="77">
        <v>0.85</v>
      </c>
      <c r="G63" s="77">
        <v>0.88</v>
      </c>
      <c r="H63" s="77">
        <v>0.74</v>
      </c>
      <c r="I63" s="77">
        <v>0.83</v>
      </c>
      <c r="J63" s="77">
        <v>0.82</v>
      </c>
      <c r="K63" s="77">
        <v>0.82</v>
      </c>
      <c r="L63" s="77">
        <v>0.74</v>
      </c>
      <c r="M63" s="77">
        <v>0.82</v>
      </c>
      <c r="N63" s="33"/>
      <c r="O63" s="33"/>
      <c r="P63" s="33" t="s">
        <v>686</v>
      </c>
      <c r="Q63">
        <f>VLOOKUP(P63,GroupLabels!$E$2:$H$145,4,0)</f>
        <v>1</v>
      </c>
    </row>
    <row r="64" spans="1:17" x14ac:dyDescent="0.25">
      <c r="A64" t="s">
        <v>3047</v>
      </c>
      <c r="B64" s="77">
        <v>0.9</v>
      </c>
      <c r="C64" s="77">
        <v>0.84</v>
      </c>
      <c r="D64" s="77">
        <v>0.83</v>
      </c>
      <c r="E64" s="77">
        <v>0.87</v>
      </c>
      <c r="F64" s="77">
        <v>0.89</v>
      </c>
      <c r="G64" s="77">
        <v>0.9</v>
      </c>
      <c r="H64" s="77">
        <v>0.77</v>
      </c>
      <c r="I64" s="77">
        <v>0.86</v>
      </c>
      <c r="J64" s="77">
        <v>0.84</v>
      </c>
      <c r="K64" s="77">
        <v>0.81</v>
      </c>
      <c r="L64" s="77">
        <v>0.75</v>
      </c>
      <c r="M64" s="77">
        <v>0.83</v>
      </c>
      <c r="N64" s="33"/>
      <c r="O64" s="33"/>
      <c r="P64" s="33" t="s">
        <v>687</v>
      </c>
      <c r="Q64" t="str">
        <f>VLOOKUP(P64,GroupLabels!$E$2:$H$145,3,0)</f>
        <v>Spain - Spanish</v>
      </c>
    </row>
    <row r="65" spans="1:17" x14ac:dyDescent="0.25">
      <c r="A65" t="s">
        <v>3081</v>
      </c>
      <c r="B65" s="77">
        <v>0.89</v>
      </c>
      <c r="C65" s="77">
        <v>0.84</v>
      </c>
      <c r="D65" s="77">
        <v>0.8</v>
      </c>
      <c r="E65" s="77">
        <v>0.83</v>
      </c>
      <c r="F65" s="77">
        <v>0.9</v>
      </c>
      <c r="G65" s="77">
        <v>0.86</v>
      </c>
      <c r="H65" s="77">
        <v>0.78</v>
      </c>
      <c r="I65" s="77">
        <v>0.88</v>
      </c>
      <c r="J65" s="77">
        <v>0.84</v>
      </c>
      <c r="K65" s="77">
        <v>0.83</v>
      </c>
      <c r="L65" s="77">
        <v>0.78</v>
      </c>
      <c r="M65" s="77">
        <v>0.8</v>
      </c>
      <c r="N65" s="33"/>
      <c r="O65" s="33"/>
      <c r="P65" s="33" t="s">
        <v>690</v>
      </c>
      <c r="Q65" t="str">
        <f>VLOOKUP(P65,GroupLabels!$E$2:$H$145,3,0)</f>
        <v>Switzerland - French</v>
      </c>
    </row>
    <row r="66" spans="1:17" x14ac:dyDescent="0.25">
      <c r="A66" t="s">
        <v>2964</v>
      </c>
      <c r="B66" s="77">
        <v>0.86</v>
      </c>
      <c r="C66" s="77">
        <v>0.78</v>
      </c>
      <c r="D66" s="77">
        <v>0.85</v>
      </c>
      <c r="E66" s="77">
        <v>0.85</v>
      </c>
      <c r="F66" s="77">
        <v>0.86</v>
      </c>
      <c r="G66" s="77">
        <v>0.88</v>
      </c>
      <c r="H66" s="77">
        <v>0.8</v>
      </c>
      <c r="I66" s="77">
        <v>0.84</v>
      </c>
      <c r="J66" s="77">
        <v>0.86</v>
      </c>
      <c r="K66" s="77">
        <v>0.85</v>
      </c>
      <c r="L66" s="77">
        <v>0.74</v>
      </c>
      <c r="M66" s="77">
        <v>0.82</v>
      </c>
      <c r="N66" s="33"/>
      <c r="O66" s="33"/>
      <c r="P66" s="33" t="s">
        <v>691</v>
      </c>
      <c r="Q66" t="str">
        <f>VLOOKUP(P66,GroupLabels!$E$2:$H$145,3,0)</f>
        <v>Switzerland - German</v>
      </c>
    </row>
    <row r="67" spans="1:17" x14ac:dyDescent="0.25">
      <c r="A67" t="s">
        <v>3125</v>
      </c>
      <c r="B67" s="77">
        <v>0.87</v>
      </c>
      <c r="C67" s="77">
        <v>0.82</v>
      </c>
      <c r="D67" s="77">
        <v>0.84</v>
      </c>
      <c r="E67" s="77">
        <v>0.83</v>
      </c>
      <c r="F67" s="77">
        <v>0.85</v>
      </c>
      <c r="G67" s="77">
        <v>0.86</v>
      </c>
      <c r="H67" s="77">
        <v>0.78</v>
      </c>
      <c r="I67" s="77">
        <v>0.85</v>
      </c>
      <c r="J67" s="77">
        <v>0.84</v>
      </c>
      <c r="K67" s="77">
        <v>0.84</v>
      </c>
      <c r="L67" s="77">
        <v>0.74</v>
      </c>
      <c r="M67" s="77">
        <v>0.79</v>
      </c>
      <c r="N67" s="33"/>
      <c r="O67" s="33"/>
      <c r="P67" s="33" t="s">
        <v>692</v>
      </c>
      <c r="Q67" t="str">
        <f>VLOOKUP(P67,GroupLabels!$E$2:$H$145,3,0)</f>
        <v>Switzerland - Italian</v>
      </c>
    </row>
    <row r="68" spans="1:17" x14ac:dyDescent="0.25">
      <c r="A68" t="s">
        <v>3282</v>
      </c>
      <c r="B68" s="77">
        <v>0.92</v>
      </c>
      <c r="C68" s="77">
        <v>0.89</v>
      </c>
      <c r="D68" s="77">
        <v>0.89</v>
      </c>
      <c r="E68" s="77">
        <v>0.9</v>
      </c>
      <c r="F68" s="77">
        <v>0.93</v>
      </c>
      <c r="G68" s="77">
        <v>0.9</v>
      </c>
      <c r="H68" s="77">
        <v>0.86</v>
      </c>
      <c r="I68" s="77">
        <v>0.91</v>
      </c>
      <c r="J68" s="77">
        <v>0.85</v>
      </c>
      <c r="K68" s="77">
        <v>0.82</v>
      </c>
      <c r="L68" s="77">
        <v>0.8</v>
      </c>
      <c r="M68" s="77">
        <v>0.84</v>
      </c>
      <c r="N68" s="33"/>
      <c r="O68" s="33"/>
      <c r="P68" s="33" t="s">
        <v>693</v>
      </c>
      <c r="Q68" t="str">
        <f>VLOOKUP(P68,GroupLabels!$E$2:$H$145,3,0)</f>
        <v>Chinese Taipei - Chinese</v>
      </c>
    </row>
    <row r="69" spans="1:17" x14ac:dyDescent="0.25">
      <c r="A69" t="s">
        <v>3257</v>
      </c>
      <c r="B69" s="77">
        <v>0.87</v>
      </c>
      <c r="C69" s="77">
        <v>0.85</v>
      </c>
      <c r="D69" s="77">
        <v>0.87</v>
      </c>
      <c r="E69" s="77">
        <v>0.84</v>
      </c>
      <c r="F69" s="77">
        <v>0.9</v>
      </c>
      <c r="G69" s="77">
        <v>0.9</v>
      </c>
      <c r="H69" s="77">
        <v>0.78</v>
      </c>
      <c r="I69" s="77">
        <v>0.91</v>
      </c>
      <c r="J69" s="77">
        <v>0.85</v>
      </c>
      <c r="K69" s="77">
        <v>0.86</v>
      </c>
      <c r="L69" s="77">
        <v>0.83</v>
      </c>
      <c r="M69" s="77">
        <v>0.8</v>
      </c>
      <c r="N69" s="33"/>
      <c r="O69" s="33"/>
      <c r="P69" s="33" t="s">
        <v>695</v>
      </c>
      <c r="Q69">
        <f>VLOOKUP(P69,GroupLabels!$E$2:$H$145,4,0)</f>
        <v>1</v>
      </c>
    </row>
    <row r="70" spans="1:17" x14ac:dyDescent="0.25">
      <c r="A70" t="s">
        <v>3262</v>
      </c>
      <c r="B70" s="77">
        <v>0.88</v>
      </c>
      <c r="C70" s="77">
        <v>0.87</v>
      </c>
      <c r="D70" s="77">
        <v>0.91</v>
      </c>
      <c r="E70" s="77">
        <v>0.86</v>
      </c>
      <c r="F70" s="77">
        <v>0.92</v>
      </c>
      <c r="G70" s="77">
        <v>0.9</v>
      </c>
      <c r="H70" s="77">
        <v>0.86</v>
      </c>
      <c r="I70" s="77">
        <v>0.9</v>
      </c>
      <c r="J70" s="77">
        <v>0.87</v>
      </c>
      <c r="K70" s="77">
        <v>0.87</v>
      </c>
      <c r="L70" s="77">
        <v>0.82</v>
      </c>
      <c r="M70" s="77">
        <v>0.83</v>
      </c>
      <c r="N70" s="33"/>
      <c r="O70" s="33"/>
      <c r="P70" s="33" t="s">
        <v>696</v>
      </c>
      <c r="Q70">
        <f>VLOOKUP(P70,GroupLabels!$E$2:$H$145,4,0)</f>
        <v>0</v>
      </c>
    </row>
    <row r="71" spans="1:17" x14ac:dyDescent="0.25">
      <c r="A71" t="s">
        <v>2895</v>
      </c>
      <c r="B71" s="77">
        <v>0.93</v>
      </c>
      <c r="C71" s="77">
        <v>0.93</v>
      </c>
      <c r="D71" s="77">
        <v>0.92</v>
      </c>
      <c r="E71" s="77">
        <v>0.94</v>
      </c>
      <c r="F71" s="77">
        <v>0.96</v>
      </c>
      <c r="G71" s="77">
        <v>0.94</v>
      </c>
      <c r="H71" s="77">
        <v>0.88</v>
      </c>
      <c r="I71" s="77">
        <v>0.91</v>
      </c>
      <c r="J71" s="77">
        <v>0.93</v>
      </c>
      <c r="K71" s="77">
        <v>0.93</v>
      </c>
      <c r="L71" s="77">
        <v>0.9</v>
      </c>
      <c r="M71" s="77">
        <v>0.91</v>
      </c>
      <c r="N71" s="33"/>
      <c r="O71" s="33"/>
      <c r="P71" s="33" t="s">
        <v>697</v>
      </c>
      <c r="Q71">
        <f>VLOOKUP(P71,GroupLabels!$E$2:$H$145,4,0)</f>
        <v>0</v>
      </c>
    </row>
    <row r="72" spans="1:17" x14ac:dyDescent="0.25">
      <c r="A72" t="s">
        <v>2979</v>
      </c>
      <c r="B72" s="77">
        <v>0.9</v>
      </c>
      <c r="C72" s="77">
        <v>0.84</v>
      </c>
      <c r="D72" s="77">
        <v>0.87</v>
      </c>
      <c r="E72" s="77">
        <v>0.87</v>
      </c>
      <c r="F72" s="77">
        <v>0.91</v>
      </c>
      <c r="G72" s="77">
        <v>0.91</v>
      </c>
      <c r="H72" s="77">
        <v>0.78</v>
      </c>
      <c r="I72" s="77">
        <v>0.9</v>
      </c>
      <c r="J72" s="77">
        <v>0.89</v>
      </c>
      <c r="K72" s="77">
        <v>0.88</v>
      </c>
      <c r="L72" s="77">
        <v>0.81</v>
      </c>
      <c r="M72" s="77">
        <v>0.85</v>
      </c>
      <c r="N72" s="33"/>
      <c r="O72" s="33"/>
      <c r="P72" s="33" t="s">
        <v>698</v>
      </c>
      <c r="Q72">
        <f>VLOOKUP(P72,GroupLabels!$E$2:$H$145,4,0)</f>
        <v>0</v>
      </c>
    </row>
    <row r="73" spans="1:17" x14ac:dyDescent="0.25">
      <c r="A73" t="s">
        <v>2989</v>
      </c>
      <c r="B73" s="77">
        <v>0.88</v>
      </c>
      <c r="C73" s="77">
        <v>0.81</v>
      </c>
      <c r="D73" s="77">
        <v>0.77</v>
      </c>
      <c r="E73" s="77">
        <v>0.85</v>
      </c>
      <c r="F73" s="77">
        <v>0.87</v>
      </c>
      <c r="G73" s="77">
        <v>0.88</v>
      </c>
      <c r="H73" s="77">
        <v>0.71</v>
      </c>
      <c r="I73" s="77">
        <v>0.8</v>
      </c>
      <c r="J73" s="77">
        <v>0.83</v>
      </c>
      <c r="K73" s="77">
        <v>0.82</v>
      </c>
      <c r="L73" s="77">
        <v>0.74</v>
      </c>
      <c r="M73" s="77">
        <v>0.81</v>
      </c>
      <c r="N73" s="33"/>
      <c r="O73" s="33"/>
      <c r="P73" s="33" t="s">
        <v>701</v>
      </c>
      <c r="Q73">
        <f>VLOOKUP(P73,GroupLabels!$E$2:$H$145,4,0)</f>
        <v>1</v>
      </c>
    </row>
    <row r="74" spans="1:17" x14ac:dyDescent="0.25">
      <c r="A74" t="s">
        <v>764</v>
      </c>
      <c r="B74" s="9">
        <v>0.87</v>
      </c>
      <c r="C74" s="9">
        <v>0.8</v>
      </c>
      <c r="D74" s="9">
        <v>0.83</v>
      </c>
      <c r="E74" s="9">
        <v>0.87</v>
      </c>
      <c r="F74" s="9">
        <v>0.88</v>
      </c>
      <c r="G74" s="9">
        <v>0.88</v>
      </c>
      <c r="H74" s="9">
        <v>0.72</v>
      </c>
      <c r="I74" s="9">
        <v>0.83</v>
      </c>
      <c r="J74" s="9">
        <v>0.84</v>
      </c>
      <c r="K74" s="9">
        <v>0.84</v>
      </c>
      <c r="L74" s="9">
        <v>0.79</v>
      </c>
      <c r="M74" s="9">
        <v>0.83</v>
      </c>
      <c r="P74" t="s">
        <v>702</v>
      </c>
    </row>
    <row r="75" spans="1:17" x14ac:dyDescent="0.25">
      <c r="A75" s="3" t="s">
        <v>3065</v>
      </c>
      <c r="B75" s="94">
        <v>0.91</v>
      </c>
      <c r="C75" s="94">
        <v>0.84</v>
      </c>
      <c r="D75" s="94">
        <v>0.87</v>
      </c>
      <c r="E75" s="94">
        <v>0.88</v>
      </c>
      <c r="F75" s="94">
        <v>0.91</v>
      </c>
      <c r="G75" s="94">
        <v>0.9</v>
      </c>
      <c r="H75" s="94">
        <v>0.83</v>
      </c>
      <c r="I75" s="94">
        <v>0.87</v>
      </c>
      <c r="J75" s="94">
        <v>0.84</v>
      </c>
      <c r="K75" s="94">
        <v>0.85</v>
      </c>
      <c r="L75" s="94">
        <v>0.8</v>
      </c>
      <c r="M75" s="94">
        <v>0.86</v>
      </c>
      <c r="N75" s="33"/>
      <c r="O75" s="33"/>
      <c r="P75" s="33" t="s">
        <v>703</v>
      </c>
      <c r="Q75" t="str">
        <f>VLOOKUP(P75,GroupLabels!$E$2:$H$145,3,0)</f>
        <v>Uruguay - Spanish</v>
      </c>
    </row>
  </sheetData>
  <sheetProtection formatColumns="0" formatRows="0"/>
  <sortState xmlns:xlrd2="http://schemas.microsoft.com/office/spreadsheetml/2017/richdata2" ref="A7:Q75">
    <sortCondition ref="A7:A75"/>
  </sortState>
  <hyperlinks>
    <hyperlink ref="A1" location="TOC!A1" display="Table of Contents" xr:uid="{F9BC9746-F933-48E6-8FEE-06265BE85911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4"/>
  <dimension ref="A1:AE75"/>
  <sheetViews>
    <sheetView workbookViewId="0">
      <pane ySplit="6" topLeftCell="A16" activePane="bottomLeft" state="frozen"/>
      <selection pane="bottomLeft"/>
    </sheetView>
  </sheetViews>
  <sheetFormatPr defaultColWidth="8.7109375" defaultRowHeight="15" x14ac:dyDescent="0.25"/>
  <cols>
    <col min="1" max="1" width="36.42578125" customWidth="1"/>
    <col min="2" max="2" width="10.42578125" customWidth="1"/>
    <col min="29" max="29" width="8.7109375" customWidth="1"/>
    <col min="30" max="31" width="8.7109375" hidden="1" customWidth="1"/>
  </cols>
  <sheetData>
    <row r="1" spans="1:31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x14ac:dyDescent="0.25">
      <c r="A2" s="91"/>
      <c r="B2" s="9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x14ac:dyDescent="0.25">
      <c r="A3" s="34" t="s">
        <v>92</v>
      </c>
      <c r="B3" s="91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x14ac:dyDescent="0.25">
      <c r="A4" s="90" t="s">
        <v>93</v>
      </c>
      <c r="B4" s="91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x14ac:dyDescent="0.25">
      <c r="A5" s="91"/>
      <c r="B5" s="91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x14ac:dyDescent="0.25">
      <c r="A6" s="92" t="s">
        <v>566</v>
      </c>
      <c r="B6" s="92" t="s">
        <v>384</v>
      </c>
      <c r="C6" s="92" t="s">
        <v>330</v>
      </c>
      <c r="D6" s="92" t="s">
        <v>331</v>
      </c>
      <c r="E6" s="92" t="s">
        <v>332</v>
      </c>
      <c r="F6" s="92" t="s">
        <v>333</v>
      </c>
      <c r="G6" s="92" t="s">
        <v>334</v>
      </c>
      <c r="H6" s="92" t="s">
        <v>335</v>
      </c>
      <c r="I6" s="92" t="s">
        <v>336</v>
      </c>
      <c r="J6" s="92" t="s">
        <v>337</v>
      </c>
      <c r="K6" s="92" t="s">
        <v>338</v>
      </c>
      <c r="L6" s="92" t="s">
        <v>339</v>
      </c>
      <c r="M6" s="92" t="s">
        <v>340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1:31" x14ac:dyDescent="0.25">
      <c r="A7" t="s">
        <v>3034</v>
      </c>
      <c r="B7" s="33">
        <v>5</v>
      </c>
      <c r="C7" s="33">
        <v>4</v>
      </c>
      <c r="D7" s="33">
        <v>10</v>
      </c>
      <c r="E7" s="33">
        <v>6</v>
      </c>
      <c r="F7" s="33">
        <v>8</v>
      </c>
      <c r="G7" s="33">
        <v>7</v>
      </c>
      <c r="H7" s="33">
        <v>6</v>
      </c>
      <c r="I7" s="33">
        <v>10</v>
      </c>
      <c r="J7" s="33">
        <v>7</v>
      </c>
      <c r="K7" s="33">
        <v>7</v>
      </c>
      <c r="L7" s="33">
        <v>6</v>
      </c>
      <c r="M7" s="33">
        <v>5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0" t="s">
        <v>1187</v>
      </c>
      <c r="AE7">
        <f>VLOOKUP(AD7,GroupLabels!$F$2:$I$145,3,0)</f>
        <v>0</v>
      </c>
    </row>
    <row r="8" spans="1:31" x14ac:dyDescent="0.25">
      <c r="A8" t="s">
        <v>2982</v>
      </c>
      <c r="B8" s="33">
        <v>5</v>
      </c>
      <c r="C8" s="33">
        <v>4</v>
      </c>
      <c r="D8" s="33">
        <v>10</v>
      </c>
      <c r="E8" s="33">
        <v>6</v>
      </c>
      <c r="F8" s="33">
        <v>8</v>
      </c>
      <c r="G8" s="33">
        <v>7</v>
      </c>
      <c r="H8" s="33">
        <v>6</v>
      </c>
      <c r="I8" s="33">
        <v>10</v>
      </c>
      <c r="J8" s="33">
        <v>7</v>
      </c>
      <c r="K8" s="33">
        <v>7</v>
      </c>
      <c r="L8" s="33">
        <v>6</v>
      </c>
      <c r="M8" s="33">
        <v>5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0" t="s">
        <v>1188</v>
      </c>
      <c r="AE8">
        <f>VLOOKUP(AD8,GroupLabels!$F$2:$I$145,3,0)</f>
        <v>1</v>
      </c>
    </row>
    <row r="9" spans="1:31" x14ac:dyDescent="0.25">
      <c r="A9" t="s">
        <v>2960</v>
      </c>
      <c r="B9" s="33">
        <v>5</v>
      </c>
      <c r="C9" s="33">
        <v>4</v>
      </c>
      <c r="D9" s="33">
        <v>10</v>
      </c>
      <c r="E9" s="33">
        <v>6</v>
      </c>
      <c r="F9" s="33">
        <v>8</v>
      </c>
      <c r="G9" s="33">
        <v>7</v>
      </c>
      <c r="H9" s="33">
        <v>6</v>
      </c>
      <c r="I9" s="33">
        <v>10</v>
      </c>
      <c r="J9" s="33">
        <v>7</v>
      </c>
      <c r="K9" s="33">
        <v>7</v>
      </c>
      <c r="L9" s="33">
        <v>6</v>
      </c>
      <c r="M9" s="33">
        <v>5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0" t="s">
        <v>1189</v>
      </c>
      <c r="AE9">
        <f>VLOOKUP(AD9,GroupLabels!$F$2:$I$145,3,0)</f>
        <v>1</v>
      </c>
    </row>
    <row r="10" spans="1:31" x14ac:dyDescent="0.25">
      <c r="A10" t="s">
        <v>3277</v>
      </c>
      <c r="B10" s="33">
        <v>5</v>
      </c>
      <c r="C10" s="33">
        <v>4</v>
      </c>
      <c r="D10" s="33">
        <v>10</v>
      </c>
      <c r="E10" s="33">
        <v>6</v>
      </c>
      <c r="F10" s="33">
        <v>8</v>
      </c>
      <c r="G10" s="33">
        <v>7</v>
      </c>
      <c r="H10" s="33">
        <v>6</v>
      </c>
      <c r="I10" s="33">
        <v>10</v>
      </c>
      <c r="J10" s="33">
        <v>7</v>
      </c>
      <c r="K10" s="33">
        <v>7</v>
      </c>
      <c r="L10" s="33">
        <v>6</v>
      </c>
      <c r="M10" s="33">
        <v>5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0" t="s">
        <v>1190</v>
      </c>
      <c r="AE10">
        <f>VLOOKUP(AD10,GroupLabels!$F$2:$I$145,3,0)</f>
        <v>0</v>
      </c>
    </row>
    <row r="11" spans="1:31" x14ac:dyDescent="0.25">
      <c r="A11" t="s">
        <v>3185</v>
      </c>
      <c r="B11" s="33">
        <v>5</v>
      </c>
      <c r="C11" s="33">
        <v>4</v>
      </c>
      <c r="D11" s="33">
        <v>10</v>
      </c>
      <c r="E11" s="33">
        <v>6</v>
      </c>
      <c r="F11" s="33">
        <v>8</v>
      </c>
      <c r="G11" s="33">
        <v>7</v>
      </c>
      <c r="H11" s="33">
        <v>6</v>
      </c>
      <c r="I11" s="33">
        <v>10</v>
      </c>
      <c r="J11" s="33">
        <v>7</v>
      </c>
      <c r="K11" s="33">
        <v>7</v>
      </c>
      <c r="L11" s="33">
        <v>6</v>
      </c>
      <c r="M11" s="33">
        <v>5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0" t="s">
        <v>1191</v>
      </c>
      <c r="AE11">
        <f>VLOOKUP(AD11,GroupLabels!$F$2:$I$145,3,0)</f>
        <v>1</v>
      </c>
    </row>
    <row r="12" spans="1:31" x14ac:dyDescent="0.25">
      <c r="A12" t="s">
        <v>3479</v>
      </c>
      <c r="B12" s="33">
        <v>5</v>
      </c>
      <c r="C12" s="33">
        <v>4</v>
      </c>
      <c r="D12" s="33">
        <v>10</v>
      </c>
      <c r="E12" s="33">
        <v>6</v>
      </c>
      <c r="F12" s="33">
        <v>8</v>
      </c>
      <c r="G12" s="33">
        <v>7</v>
      </c>
      <c r="H12" s="33">
        <v>6</v>
      </c>
      <c r="I12" s="33">
        <v>10</v>
      </c>
      <c r="J12" s="33">
        <v>7</v>
      </c>
      <c r="K12" s="33">
        <v>7</v>
      </c>
      <c r="L12" s="33">
        <v>6</v>
      </c>
      <c r="M12" s="33">
        <v>5</v>
      </c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0" t="s">
        <v>1192</v>
      </c>
      <c r="AE12">
        <f>VLOOKUP(AD12,GroupLabels!$F$2:$I$145,3,0)</f>
        <v>1</v>
      </c>
    </row>
    <row r="13" spans="1:31" x14ac:dyDescent="0.25">
      <c r="A13" t="s">
        <v>3478</v>
      </c>
      <c r="B13" s="33">
        <v>5</v>
      </c>
      <c r="C13" s="33">
        <v>4</v>
      </c>
      <c r="D13" s="33">
        <v>10</v>
      </c>
      <c r="E13" s="33">
        <v>6</v>
      </c>
      <c r="F13" s="33">
        <v>8</v>
      </c>
      <c r="G13" s="33">
        <v>7</v>
      </c>
      <c r="H13" s="33">
        <v>6</v>
      </c>
      <c r="I13" s="33">
        <v>10</v>
      </c>
      <c r="J13" s="33">
        <v>7</v>
      </c>
      <c r="K13" s="33">
        <v>7</v>
      </c>
      <c r="L13" s="33">
        <v>6</v>
      </c>
      <c r="M13" s="33">
        <v>5</v>
      </c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0" t="s">
        <v>1193</v>
      </c>
      <c r="AE13">
        <f>VLOOKUP(AD13,GroupLabels!$F$2:$I$145,3,0)</f>
        <v>1</v>
      </c>
    </row>
    <row r="14" spans="1:31" x14ac:dyDescent="0.25">
      <c r="A14" t="s">
        <v>2985</v>
      </c>
      <c r="B14" s="33">
        <v>5</v>
      </c>
      <c r="C14" s="33">
        <v>4</v>
      </c>
      <c r="D14" s="33">
        <v>10</v>
      </c>
      <c r="E14" s="33">
        <v>6</v>
      </c>
      <c r="F14" s="33">
        <v>8</v>
      </c>
      <c r="G14" s="33">
        <v>7</v>
      </c>
      <c r="H14" s="33">
        <v>6</v>
      </c>
      <c r="I14" s="33">
        <v>10</v>
      </c>
      <c r="J14" s="33">
        <v>7</v>
      </c>
      <c r="K14" s="33">
        <v>7</v>
      </c>
      <c r="L14" s="33">
        <v>6</v>
      </c>
      <c r="M14" s="33">
        <v>5</v>
      </c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50" t="s">
        <v>1194</v>
      </c>
      <c r="AE14">
        <f>VLOOKUP(AD14,GroupLabels!$F$2:$I$145,3,0)</f>
        <v>0</v>
      </c>
    </row>
    <row r="15" spans="1:31" x14ac:dyDescent="0.25">
      <c r="A15" t="s">
        <v>2928</v>
      </c>
      <c r="B15" s="33">
        <v>5</v>
      </c>
      <c r="C15" s="33">
        <v>4</v>
      </c>
      <c r="D15" s="33">
        <v>10</v>
      </c>
      <c r="E15" s="33">
        <v>6</v>
      </c>
      <c r="F15" s="33">
        <v>8</v>
      </c>
      <c r="G15" s="33">
        <v>7</v>
      </c>
      <c r="H15" s="33">
        <v>6</v>
      </c>
      <c r="I15" s="33">
        <v>10</v>
      </c>
      <c r="J15" s="33">
        <v>7</v>
      </c>
      <c r="K15" s="33">
        <v>7</v>
      </c>
      <c r="L15" s="33">
        <v>6</v>
      </c>
      <c r="M15" s="33">
        <v>5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50" t="s">
        <v>1195</v>
      </c>
      <c r="AE15">
        <f>VLOOKUP(AD15,GroupLabels!$F$2:$I$145,3,0)</f>
        <v>0</v>
      </c>
    </row>
    <row r="16" spans="1:31" x14ac:dyDescent="0.25">
      <c r="A16" t="s">
        <v>3044</v>
      </c>
      <c r="B16" s="33">
        <v>5</v>
      </c>
      <c r="C16" s="33">
        <v>4</v>
      </c>
      <c r="D16" s="33">
        <v>10</v>
      </c>
      <c r="E16" s="33">
        <v>6</v>
      </c>
      <c r="F16" s="33">
        <v>8</v>
      </c>
      <c r="G16" s="33">
        <v>7</v>
      </c>
      <c r="H16" s="33">
        <v>6</v>
      </c>
      <c r="I16" s="33">
        <v>10</v>
      </c>
      <c r="J16" s="33">
        <v>7</v>
      </c>
      <c r="K16" s="33">
        <v>7</v>
      </c>
      <c r="L16" s="33">
        <v>6</v>
      </c>
      <c r="M16" s="33">
        <v>5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50" t="s">
        <v>1196</v>
      </c>
      <c r="AE16">
        <f>VLOOKUP(AD16,GroupLabels!$F$2:$I$145,3,0)</f>
        <v>0</v>
      </c>
    </row>
    <row r="17" spans="1:31" x14ac:dyDescent="0.25">
      <c r="A17" t="s">
        <v>3069</v>
      </c>
      <c r="B17" s="33">
        <v>5</v>
      </c>
      <c r="C17" s="33">
        <v>4</v>
      </c>
      <c r="D17" s="33">
        <v>10</v>
      </c>
      <c r="E17" s="33">
        <v>6</v>
      </c>
      <c r="F17" s="33">
        <v>8</v>
      </c>
      <c r="G17" s="33">
        <v>7</v>
      </c>
      <c r="H17" s="33">
        <v>6</v>
      </c>
      <c r="I17" s="33">
        <v>10</v>
      </c>
      <c r="J17" s="33">
        <v>7</v>
      </c>
      <c r="K17" s="33">
        <v>7</v>
      </c>
      <c r="L17" s="33">
        <v>6</v>
      </c>
      <c r="M17" s="33">
        <v>5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50" t="s">
        <v>1197</v>
      </c>
      <c r="AE17">
        <f>VLOOKUP(AD17,GroupLabels!$F$2:$I$145,3,0)</f>
        <v>1</v>
      </c>
    </row>
    <row r="18" spans="1:31" x14ac:dyDescent="0.25">
      <c r="A18" t="s">
        <v>3210</v>
      </c>
      <c r="B18" s="33">
        <v>5</v>
      </c>
      <c r="C18" s="33">
        <v>4</v>
      </c>
      <c r="D18" s="33">
        <v>10</v>
      </c>
      <c r="E18" s="33">
        <v>6</v>
      </c>
      <c r="F18" s="33">
        <v>8</v>
      </c>
      <c r="G18" s="33">
        <v>7</v>
      </c>
      <c r="H18" s="33">
        <v>6</v>
      </c>
      <c r="I18" s="33">
        <v>10</v>
      </c>
      <c r="J18" s="33">
        <v>7</v>
      </c>
      <c r="K18" s="33">
        <v>7</v>
      </c>
      <c r="L18" s="33">
        <v>6</v>
      </c>
      <c r="M18" s="33">
        <v>5</v>
      </c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50" t="s">
        <v>1198</v>
      </c>
      <c r="AE18">
        <f>VLOOKUP(AD18,GroupLabels!$F$2:$I$145,3,0)</f>
        <v>1</v>
      </c>
    </row>
    <row r="19" spans="1:31" x14ac:dyDescent="0.25">
      <c r="A19" t="s">
        <v>3076</v>
      </c>
      <c r="B19" s="33">
        <v>5</v>
      </c>
      <c r="C19" s="33">
        <v>4</v>
      </c>
      <c r="D19" s="33">
        <v>10</v>
      </c>
      <c r="E19" s="33">
        <v>6</v>
      </c>
      <c r="F19" s="33">
        <v>8</v>
      </c>
      <c r="G19" s="33">
        <v>7</v>
      </c>
      <c r="H19" s="33">
        <v>6</v>
      </c>
      <c r="I19" s="33">
        <v>10</v>
      </c>
      <c r="J19" s="33">
        <v>7</v>
      </c>
      <c r="K19" s="33">
        <v>7</v>
      </c>
      <c r="L19" s="33">
        <v>6</v>
      </c>
      <c r="M19" s="33">
        <v>5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50" t="s">
        <v>1199</v>
      </c>
      <c r="AE19">
        <f>VLOOKUP(AD19,GroupLabels!$F$2:$I$145,3,0)</f>
        <v>1</v>
      </c>
    </row>
    <row r="20" spans="1:31" x14ac:dyDescent="0.25">
      <c r="A20" t="s">
        <v>3244</v>
      </c>
      <c r="B20" s="33">
        <v>5</v>
      </c>
      <c r="C20" s="33">
        <v>4</v>
      </c>
      <c r="D20" s="33">
        <v>10</v>
      </c>
      <c r="E20" s="33">
        <v>6</v>
      </c>
      <c r="F20" s="33">
        <v>8</v>
      </c>
      <c r="G20" s="33">
        <v>7</v>
      </c>
      <c r="H20" s="33">
        <v>6</v>
      </c>
      <c r="I20" s="33">
        <v>10</v>
      </c>
      <c r="J20" s="33">
        <v>7</v>
      </c>
      <c r="K20" s="33">
        <v>7</v>
      </c>
      <c r="L20" s="33">
        <v>6</v>
      </c>
      <c r="M20" s="33">
        <v>5</v>
      </c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50" t="s">
        <v>1200</v>
      </c>
      <c r="AE20">
        <f>VLOOKUP(AD20,GroupLabels!$F$2:$I$145,3,0)</f>
        <v>1</v>
      </c>
    </row>
    <row r="21" spans="1:31" x14ac:dyDescent="0.25">
      <c r="A21" t="s">
        <v>2920</v>
      </c>
      <c r="B21" s="33">
        <v>5</v>
      </c>
      <c r="C21" s="33">
        <v>4</v>
      </c>
      <c r="D21" s="33">
        <v>10</v>
      </c>
      <c r="E21" s="33">
        <v>6</v>
      </c>
      <c r="F21" s="33">
        <v>8</v>
      </c>
      <c r="G21" s="33">
        <v>7</v>
      </c>
      <c r="H21" s="33">
        <v>6</v>
      </c>
      <c r="I21" s="33">
        <v>10</v>
      </c>
      <c r="J21" s="33">
        <v>7</v>
      </c>
      <c r="K21" s="33">
        <v>7</v>
      </c>
      <c r="L21" s="33">
        <v>6</v>
      </c>
      <c r="M21" s="33">
        <v>5</v>
      </c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50" t="s">
        <v>1201</v>
      </c>
      <c r="AE21">
        <f>VLOOKUP(AD21,GroupLabels!$F$2:$I$145,3,0)</f>
        <v>0</v>
      </c>
    </row>
    <row r="22" spans="1:31" x14ac:dyDescent="0.25">
      <c r="A22" t="s">
        <v>3136</v>
      </c>
      <c r="B22" s="33">
        <v>5</v>
      </c>
      <c r="C22" s="33">
        <v>4</v>
      </c>
      <c r="D22" s="33">
        <v>10</v>
      </c>
      <c r="E22" s="33">
        <v>6</v>
      </c>
      <c r="F22" s="33">
        <v>8</v>
      </c>
      <c r="G22" s="33">
        <v>7</v>
      </c>
      <c r="H22" s="33">
        <v>6</v>
      </c>
      <c r="I22" s="33">
        <v>10</v>
      </c>
      <c r="J22" s="33">
        <v>7</v>
      </c>
      <c r="K22" s="33">
        <v>7</v>
      </c>
      <c r="L22" s="33">
        <v>6</v>
      </c>
      <c r="M22" s="33">
        <v>5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50" t="s">
        <v>1202</v>
      </c>
      <c r="AE22">
        <f>VLOOKUP(AD22,GroupLabels!$F$2:$I$145,3,0)</f>
        <v>0</v>
      </c>
    </row>
    <row r="23" spans="1:31" x14ac:dyDescent="0.25">
      <c r="A23" t="s">
        <v>3211</v>
      </c>
      <c r="B23" s="33">
        <v>5</v>
      </c>
      <c r="C23" s="33">
        <v>4</v>
      </c>
      <c r="D23" s="33">
        <v>10</v>
      </c>
      <c r="E23" s="33">
        <v>6</v>
      </c>
      <c r="F23" s="33">
        <v>8</v>
      </c>
      <c r="G23" s="33">
        <v>7</v>
      </c>
      <c r="H23" s="33">
        <v>6</v>
      </c>
      <c r="I23" s="33">
        <v>10</v>
      </c>
      <c r="J23" s="33">
        <v>7</v>
      </c>
      <c r="K23" s="33">
        <v>7</v>
      </c>
      <c r="L23" s="33">
        <v>6</v>
      </c>
      <c r="M23" s="33">
        <v>5</v>
      </c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50" t="s">
        <v>1203</v>
      </c>
      <c r="AE23">
        <f>VLOOKUP(AD23,GroupLabels!$F$2:$I$145,3,0)</f>
        <v>0</v>
      </c>
    </row>
    <row r="24" spans="1:31" x14ac:dyDescent="0.25">
      <c r="A24" t="s">
        <v>767</v>
      </c>
      <c r="B24" s="33">
        <v>5</v>
      </c>
      <c r="C24" s="33">
        <v>4</v>
      </c>
      <c r="D24" s="33">
        <v>10</v>
      </c>
      <c r="E24" s="33">
        <v>6</v>
      </c>
      <c r="F24" s="33">
        <v>8</v>
      </c>
      <c r="G24" s="33">
        <v>7</v>
      </c>
      <c r="H24" s="33">
        <v>6</v>
      </c>
      <c r="I24" s="33">
        <v>10</v>
      </c>
      <c r="J24" s="33">
        <v>7</v>
      </c>
      <c r="K24" s="33">
        <v>7</v>
      </c>
      <c r="L24" s="33">
        <v>6</v>
      </c>
      <c r="M24" s="33">
        <v>5</v>
      </c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50" t="s">
        <v>1204</v>
      </c>
      <c r="AE24">
        <f>VLOOKUP(AD24,GroupLabels!$F$2:$I$145,3,0)</f>
        <v>1</v>
      </c>
    </row>
    <row r="25" spans="1:31" x14ac:dyDescent="0.25">
      <c r="A25" t="s">
        <v>2976</v>
      </c>
      <c r="B25" s="33">
        <v>5</v>
      </c>
      <c r="C25" s="33">
        <v>4</v>
      </c>
      <c r="D25" s="33">
        <v>10</v>
      </c>
      <c r="E25" s="33">
        <v>6</v>
      </c>
      <c r="F25" s="33">
        <v>8</v>
      </c>
      <c r="G25" s="33">
        <v>7</v>
      </c>
      <c r="H25" s="33">
        <v>6</v>
      </c>
      <c r="I25" s="33">
        <v>10</v>
      </c>
      <c r="J25" s="33">
        <v>7</v>
      </c>
      <c r="K25" s="33">
        <v>7</v>
      </c>
      <c r="L25" s="33">
        <v>6</v>
      </c>
      <c r="M25" s="33">
        <v>5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50" t="s">
        <v>1205</v>
      </c>
      <c r="AE25">
        <f>VLOOKUP(AD25,GroupLabels!$F$2:$I$145,3,0)</f>
        <v>1</v>
      </c>
    </row>
    <row r="26" spans="1:31" x14ac:dyDescent="0.25">
      <c r="A26" t="s">
        <v>3278</v>
      </c>
      <c r="B26" s="33">
        <v>5</v>
      </c>
      <c r="C26" s="33">
        <v>4</v>
      </c>
      <c r="D26" s="33">
        <v>10</v>
      </c>
      <c r="E26" s="33">
        <v>6</v>
      </c>
      <c r="F26" s="33">
        <v>8</v>
      </c>
      <c r="G26" s="33">
        <v>7</v>
      </c>
      <c r="H26" s="33">
        <v>6</v>
      </c>
      <c r="I26" s="33">
        <v>10</v>
      </c>
      <c r="J26" s="33">
        <v>7</v>
      </c>
      <c r="K26" s="33">
        <v>7</v>
      </c>
      <c r="L26" s="33">
        <v>6</v>
      </c>
      <c r="M26" s="33">
        <v>5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50" t="s">
        <v>1206</v>
      </c>
      <c r="AE26">
        <f>VLOOKUP(AD26,GroupLabels!$F$2:$I$145,3,0)</f>
        <v>0</v>
      </c>
    </row>
    <row r="27" spans="1:31" x14ac:dyDescent="0.25">
      <c r="A27" t="s">
        <v>2993</v>
      </c>
      <c r="B27" s="33">
        <v>5</v>
      </c>
      <c r="C27" s="33">
        <v>4</v>
      </c>
      <c r="D27" s="33">
        <v>10</v>
      </c>
      <c r="E27" s="33">
        <v>6</v>
      </c>
      <c r="F27" s="33">
        <v>8</v>
      </c>
      <c r="G27" s="33">
        <v>7</v>
      </c>
      <c r="H27" s="33">
        <v>6</v>
      </c>
      <c r="I27" s="33">
        <v>10</v>
      </c>
      <c r="J27" s="33">
        <v>7</v>
      </c>
      <c r="K27" s="33">
        <v>7</v>
      </c>
      <c r="L27" s="33">
        <v>6</v>
      </c>
      <c r="M27" s="33">
        <v>5</v>
      </c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50" t="s">
        <v>1207</v>
      </c>
      <c r="AE27">
        <f>VLOOKUP(AD27,GroupLabels!$F$2:$I$145,3,0)</f>
        <v>0</v>
      </c>
    </row>
    <row r="28" spans="1:31" x14ac:dyDescent="0.25">
      <c r="A28" t="s">
        <v>3103</v>
      </c>
      <c r="B28" s="33">
        <v>5</v>
      </c>
      <c r="C28" s="33">
        <v>4</v>
      </c>
      <c r="D28" s="33">
        <v>10</v>
      </c>
      <c r="E28" s="33">
        <v>6</v>
      </c>
      <c r="F28" s="33">
        <v>8</v>
      </c>
      <c r="G28" s="33">
        <v>7</v>
      </c>
      <c r="H28" s="33">
        <v>6</v>
      </c>
      <c r="I28" s="33">
        <v>10</v>
      </c>
      <c r="J28" s="33">
        <v>7</v>
      </c>
      <c r="K28" s="33">
        <v>7</v>
      </c>
      <c r="L28" s="33">
        <v>6</v>
      </c>
      <c r="M28" s="33">
        <v>5</v>
      </c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50" t="s">
        <v>1208</v>
      </c>
      <c r="AE28">
        <f>VLOOKUP(AD28,GroupLabels!$F$2:$I$145,3,0)</f>
        <v>1</v>
      </c>
    </row>
    <row r="29" spans="1:31" x14ac:dyDescent="0.25">
      <c r="A29" t="s">
        <v>3122</v>
      </c>
      <c r="B29" s="33">
        <v>5</v>
      </c>
      <c r="C29" s="33">
        <v>4</v>
      </c>
      <c r="D29" s="33">
        <v>10</v>
      </c>
      <c r="E29" s="33">
        <v>6</v>
      </c>
      <c r="F29" s="33">
        <v>8</v>
      </c>
      <c r="G29" s="33">
        <v>7</v>
      </c>
      <c r="H29" s="33">
        <v>6</v>
      </c>
      <c r="I29" s="33">
        <v>10</v>
      </c>
      <c r="J29" s="33">
        <v>7</v>
      </c>
      <c r="K29" s="33">
        <v>7</v>
      </c>
      <c r="L29" s="33">
        <v>6</v>
      </c>
      <c r="M29" s="33">
        <v>5</v>
      </c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50" t="s">
        <v>1209</v>
      </c>
      <c r="AE29">
        <f>VLOOKUP(AD29,GroupLabels!$F$2:$I$145,3,0)</f>
        <v>1</v>
      </c>
    </row>
    <row r="30" spans="1:31" x14ac:dyDescent="0.25">
      <c r="A30" t="s">
        <v>2995</v>
      </c>
      <c r="B30" s="33">
        <v>5</v>
      </c>
      <c r="C30" s="33">
        <v>4</v>
      </c>
      <c r="D30" s="33">
        <v>10</v>
      </c>
      <c r="E30" s="33">
        <v>6</v>
      </c>
      <c r="F30" s="33">
        <v>8</v>
      </c>
      <c r="G30" s="33">
        <v>7</v>
      </c>
      <c r="H30" s="33">
        <v>6</v>
      </c>
      <c r="I30" s="33">
        <v>10</v>
      </c>
      <c r="J30" s="33">
        <v>7</v>
      </c>
      <c r="K30" s="33">
        <v>7</v>
      </c>
      <c r="L30" s="33">
        <v>6</v>
      </c>
      <c r="M30" s="33">
        <v>5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50" t="s">
        <v>1210</v>
      </c>
      <c r="AE30">
        <f>VLOOKUP(AD30,GroupLabels!$F$2:$I$145,3,0)</f>
        <v>1</v>
      </c>
    </row>
    <row r="31" spans="1:31" x14ac:dyDescent="0.25">
      <c r="A31" t="s">
        <v>3088</v>
      </c>
      <c r="B31" s="33">
        <v>5</v>
      </c>
      <c r="C31" s="33">
        <v>4</v>
      </c>
      <c r="D31" s="33">
        <v>10</v>
      </c>
      <c r="E31" s="33">
        <v>6</v>
      </c>
      <c r="F31" s="33">
        <v>8</v>
      </c>
      <c r="G31" s="33">
        <v>7</v>
      </c>
      <c r="H31" s="33">
        <v>6</v>
      </c>
      <c r="I31" s="33">
        <v>10</v>
      </c>
      <c r="J31" s="33">
        <v>7</v>
      </c>
      <c r="K31" s="33">
        <v>7</v>
      </c>
      <c r="L31" s="33">
        <v>6</v>
      </c>
      <c r="M31" s="33">
        <v>5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50" t="s">
        <v>1211</v>
      </c>
      <c r="AE31">
        <f>VLOOKUP(AD31,GroupLabels!$F$2:$I$145,3,0)</f>
        <v>1</v>
      </c>
    </row>
    <row r="32" spans="1:31" x14ac:dyDescent="0.25">
      <c r="A32" t="s">
        <v>2901</v>
      </c>
      <c r="B32" s="33">
        <v>5</v>
      </c>
      <c r="C32" s="33">
        <v>4</v>
      </c>
      <c r="D32" s="33">
        <v>10</v>
      </c>
      <c r="E32" s="33">
        <v>6</v>
      </c>
      <c r="F32" s="33">
        <v>8</v>
      </c>
      <c r="G32" s="33">
        <v>7</v>
      </c>
      <c r="H32" s="33">
        <v>6</v>
      </c>
      <c r="I32" s="33">
        <v>10</v>
      </c>
      <c r="J32" s="33">
        <v>7</v>
      </c>
      <c r="K32" s="33">
        <v>7</v>
      </c>
      <c r="L32" s="33">
        <v>6</v>
      </c>
      <c r="M32" s="33">
        <v>5</v>
      </c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50" t="s">
        <v>1212</v>
      </c>
      <c r="AE32">
        <f>VLOOKUP(AD32,GroupLabels!$F$2:$I$145,3,0)</f>
        <v>1</v>
      </c>
    </row>
    <row r="33" spans="1:31" x14ac:dyDescent="0.25">
      <c r="A33" t="s">
        <v>3094</v>
      </c>
      <c r="B33" s="33">
        <v>5</v>
      </c>
      <c r="C33" s="33">
        <v>4</v>
      </c>
      <c r="D33" s="33">
        <v>10</v>
      </c>
      <c r="E33" s="33">
        <v>6</v>
      </c>
      <c r="F33" s="33">
        <v>8</v>
      </c>
      <c r="G33" s="33">
        <v>7</v>
      </c>
      <c r="H33" s="33">
        <v>6</v>
      </c>
      <c r="I33" s="33">
        <v>10</v>
      </c>
      <c r="J33" s="33">
        <v>7</v>
      </c>
      <c r="K33" s="33">
        <v>7</v>
      </c>
      <c r="L33" s="33">
        <v>6</v>
      </c>
      <c r="M33" s="33">
        <v>5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50" t="s">
        <v>1213</v>
      </c>
      <c r="AE33">
        <f>VLOOKUP(AD33,GroupLabels!$F$2:$I$145,3,0)</f>
        <v>1</v>
      </c>
    </row>
    <row r="34" spans="1:31" x14ac:dyDescent="0.25">
      <c r="A34" t="s">
        <v>2967</v>
      </c>
      <c r="B34" s="33">
        <v>5</v>
      </c>
      <c r="C34" s="33">
        <v>4</v>
      </c>
      <c r="D34" s="33">
        <v>10</v>
      </c>
      <c r="E34" s="33">
        <v>6</v>
      </c>
      <c r="F34" s="33">
        <v>8</v>
      </c>
      <c r="G34" s="33">
        <v>7</v>
      </c>
      <c r="H34" s="33">
        <v>6</v>
      </c>
      <c r="I34" s="33">
        <v>10</v>
      </c>
      <c r="J34" s="33">
        <v>7</v>
      </c>
      <c r="K34" s="33">
        <v>7</v>
      </c>
      <c r="L34" s="33">
        <v>6</v>
      </c>
      <c r="M34" s="33">
        <v>5</v>
      </c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50" t="s">
        <v>1214</v>
      </c>
      <c r="AE34">
        <f>VLOOKUP(AD34,GroupLabels!$F$2:$I$145,3,0)</f>
        <v>1</v>
      </c>
    </row>
    <row r="35" spans="1:31" x14ac:dyDescent="0.25">
      <c r="A35" t="s">
        <v>3126</v>
      </c>
      <c r="B35" s="33">
        <v>5</v>
      </c>
      <c r="C35" s="33">
        <v>4</v>
      </c>
      <c r="D35" s="33">
        <v>10</v>
      </c>
      <c r="E35" s="33">
        <v>6</v>
      </c>
      <c r="F35" s="33">
        <v>8</v>
      </c>
      <c r="G35" s="33">
        <v>7</v>
      </c>
      <c r="H35" s="33">
        <v>6</v>
      </c>
      <c r="I35" s="33">
        <v>10</v>
      </c>
      <c r="J35" s="33">
        <v>7</v>
      </c>
      <c r="K35" s="33">
        <v>7</v>
      </c>
      <c r="L35" s="33">
        <v>6</v>
      </c>
      <c r="M35" s="33">
        <v>5</v>
      </c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50" t="s">
        <v>1215</v>
      </c>
      <c r="AE35">
        <f>VLOOKUP(AD35,GroupLabels!$F$2:$I$145,3,0)</f>
        <v>1</v>
      </c>
    </row>
    <row r="36" spans="1:31" x14ac:dyDescent="0.25">
      <c r="A36" t="s">
        <v>768</v>
      </c>
      <c r="B36" s="33">
        <v>5</v>
      </c>
      <c r="C36" s="33">
        <v>4</v>
      </c>
      <c r="D36" s="33">
        <v>10</v>
      </c>
      <c r="E36" s="33">
        <v>6</v>
      </c>
      <c r="F36" s="33">
        <v>8</v>
      </c>
      <c r="G36" s="33">
        <v>7</v>
      </c>
      <c r="H36" s="33">
        <v>6</v>
      </c>
      <c r="I36" s="33">
        <v>10</v>
      </c>
      <c r="J36" s="33">
        <v>7</v>
      </c>
      <c r="K36" s="33">
        <v>7</v>
      </c>
      <c r="L36" s="33">
        <v>6</v>
      </c>
      <c r="M36" s="33">
        <v>5</v>
      </c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50" t="s">
        <v>1216</v>
      </c>
      <c r="AE36">
        <f>VLOOKUP(AD36,GroupLabels!$F$2:$I$145,3,0)</f>
        <v>1</v>
      </c>
    </row>
    <row r="37" spans="1:31" x14ac:dyDescent="0.25">
      <c r="A37" t="s">
        <v>2903</v>
      </c>
      <c r="B37" s="33">
        <v>5</v>
      </c>
      <c r="C37" s="33">
        <v>4</v>
      </c>
      <c r="D37" s="33">
        <v>10</v>
      </c>
      <c r="E37" s="33">
        <v>6</v>
      </c>
      <c r="F37" s="33">
        <v>8</v>
      </c>
      <c r="G37" s="33">
        <v>7</v>
      </c>
      <c r="H37" s="33">
        <v>6</v>
      </c>
      <c r="I37" s="33">
        <v>10</v>
      </c>
      <c r="J37" s="33">
        <v>7</v>
      </c>
      <c r="K37" s="33">
        <v>7</v>
      </c>
      <c r="L37" s="33">
        <v>6</v>
      </c>
      <c r="M37" s="33">
        <v>5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50" t="s">
        <v>1217</v>
      </c>
      <c r="AE37">
        <f>VLOOKUP(AD37,GroupLabels!$F$2:$I$145,3,0)</f>
        <v>0</v>
      </c>
    </row>
    <row r="38" spans="1:31" x14ac:dyDescent="0.25">
      <c r="A38" t="s">
        <v>3154</v>
      </c>
      <c r="B38" s="33">
        <v>5</v>
      </c>
      <c r="C38" s="33">
        <v>4</v>
      </c>
      <c r="D38" s="33">
        <v>10</v>
      </c>
      <c r="E38" s="33">
        <v>6</v>
      </c>
      <c r="F38" s="33">
        <v>8</v>
      </c>
      <c r="G38" s="33">
        <v>7</v>
      </c>
      <c r="H38" s="33">
        <v>6</v>
      </c>
      <c r="I38" s="33">
        <v>10</v>
      </c>
      <c r="J38" s="33">
        <v>7</v>
      </c>
      <c r="K38" s="33">
        <v>7</v>
      </c>
      <c r="L38" s="33">
        <v>6</v>
      </c>
      <c r="M38" s="33">
        <v>5</v>
      </c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50" t="s">
        <v>1218</v>
      </c>
      <c r="AE38">
        <f>VLOOKUP(AD38,GroupLabels!$F$2:$I$145,3,0)</f>
        <v>1</v>
      </c>
    </row>
    <row r="39" spans="1:31" x14ac:dyDescent="0.25">
      <c r="A39" t="s">
        <v>3003</v>
      </c>
      <c r="B39" s="33">
        <v>5</v>
      </c>
      <c r="C39" s="33">
        <v>4</v>
      </c>
      <c r="D39" s="33">
        <v>10</v>
      </c>
      <c r="E39" s="33">
        <v>6</v>
      </c>
      <c r="F39" s="33">
        <v>8</v>
      </c>
      <c r="G39" s="33">
        <v>7</v>
      </c>
      <c r="H39" s="33">
        <v>6</v>
      </c>
      <c r="I39" s="33">
        <v>10</v>
      </c>
      <c r="J39" s="33">
        <v>7</v>
      </c>
      <c r="K39" s="33">
        <v>7</v>
      </c>
      <c r="L39" s="33">
        <v>6</v>
      </c>
      <c r="M39" s="33">
        <v>5</v>
      </c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50" t="s">
        <v>1219</v>
      </c>
      <c r="AE39">
        <f>VLOOKUP(AD39,GroupLabels!$F$2:$I$145,3,0)</f>
        <v>0</v>
      </c>
    </row>
    <row r="40" spans="1:31" x14ac:dyDescent="0.25">
      <c r="A40" t="s">
        <v>3084</v>
      </c>
      <c r="B40" s="33">
        <v>5</v>
      </c>
      <c r="C40" s="33">
        <v>4</v>
      </c>
      <c r="D40" s="33">
        <v>10</v>
      </c>
      <c r="E40" s="33">
        <v>6</v>
      </c>
      <c r="F40" s="33">
        <v>8</v>
      </c>
      <c r="G40" s="33">
        <v>7</v>
      </c>
      <c r="H40" s="33">
        <v>6</v>
      </c>
      <c r="I40" s="33">
        <v>10</v>
      </c>
      <c r="J40" s="33">
        <v>7</v>
      </c>
      <c r="K40" s="33">
        <v>7</v>
      </c>
      <c r="L40" s="33">
        <v>6</v>
      </c>
      <c r="M40" s="33">
        <v>5</v>
      </c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50" t="s">
        <v>1220</v>
      </c>
      <c r="AE40">
        <f>VLOOKUP(AD40,GroupLabels!$F$2:$I$145,3,0)</f>
        <v>0</v>
      </c>
    </row>
    <row r="41" spans="1:31" x14ac:dyDescent="0.25">
      <c r="A41" t="s">
        <v>3004</v>
      </c>
      <c r="B41" s="33">
        <v>5</v>
      </c>
      <c r="C41" s="33">
        <v>4</v>
      </c>
      <c r="D41" s="33">
        <v>10</v>
      </c>
      <c r="E41" s="33">
        <v>6</v>
      </c>
      <c r="F41" s="33">
        <v>8</v>
      </c>
      <c r="G41" s="33">
        <v>7</v>
      </c>
      <c r="H41" s="33">
        <v>6</v>
      </c>
      <c r="I41" s="33">
        <v>10</v>
      </c>
      <c r="J41" s="33">
        <v>7</v>
      </c>
      <c r="K41" s="33">
        <v>7</v>
      </c>
      <c r="L41" s="33">
        <v>6</v>
      </c>
      <c r="M41" s="33">
        <v>5</v>
      </c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50" t="s">
        <v>1221</v>
      </c>
      <c r="AE41">
        <f>VLOOKUP(AD41,GroupLabels!$F$2:$I$145,3,0)</f>
        <v>1</v>
      </c>
    </row>
    <row r="42" spans="1:31" x14ac:dyDescent="0.25">
      <c r="A42" t="s">
        <v>3085</v>
      </c>
      <c r="B42" s="33">
        <v>5</v>
      </c>
      <c r="C42" s="33">
        <v>4</v>
      </c>
      <c r="D42" s="33">
        <v>10</v>
      </c>
      <c r="E42" s="33">
        <v>6</v>
      </c>
      <c r="F42" s="33">
        <v>8</v>
      </c>
      <c r="G42" s="33">
        <v>7</v>
      </c>
      <c r="H42" s="33">
        <v>6</v>
      </c>
      <c r="I42" s="33">
        <v>10</v>
      </c>
      <c r="J42" s="33">
        <v>7</v>
      </c>
      <c r="K42" s="33">
        <v>7</v>
      </c>
      <c r="L42" s="33">
        <v>6</v>
      </c>
      <c r="M42" s="33">
        <v>5</v>
      </c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50" t="s">
        <v>1222</v>
      </c>
      <c r="AE42">
        <f>VLOOKUP(AD42,GroupLabels!$F$2:$I$145,3,0)</f>
        <v>1</v>
      </c>
    </row>
    <row r="43" spans="1:31" x14ac:dyDescent="0.25">
      <c r="A43" t="s">
        <v>2969</v>
      </c>
      <c r="B43" s="33">
        <v>5</v>
      </c>
      <c r="C43" s="33">
        <v>4</v>
      </c>
      <c r="D43" s="33">
        <v>10</v>
      </c>
      <c r="E43" s="33">
        <v>6</v>
      </c>
      <c r="F43" s="33">
        <v>8</v>
      </c>
      <c r="G43" s="33">
        <v>7</v>
      </c>
      <c r="H43" s="33">
        <v>6</v>
      </c>
      <c r="I43" s="33">
        <v>10</v>
      </c>
      <c r="J43" s="33">
        <v>7</v>
      </c>
      <c r="K43" s="33">
        <v>7</v>
      </c>
      <c r="L43" s="33">
        <v>6</v>
      </c>
      <c r="M43" s="33">
        <v>5</v>
      </c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50" t="s">
        <v>1223</v>
      </c>
      <c r="AE43">
        <f>VLOOKUP(AD43,GroupLabels!$F$2:$I$145,3,0)</f>
        <v>1</v>
      </c>
    </row>
    <row r="44" spans="1:31" x14ac:dyDescent="0.25">
      <c r="A44" t="s">
        <v>3007</v>
      </c>
      <c r="B44" s="33">
        <v>5</v>
      </c>
      <c r="C44" s="33">
        <v>4</v>
      </c>
      <c r="D44" s="33">
        <v>10</v>
      </c>
      <c r="E44" s="33">
        <v>6</v>
      </c>
      <c r="F44" s="33">
        <v>8</v>
      </c>
      <c r="G44" s="33">
        <v>7</v>
      </c>
      <c r="H44" s="33">
        <v>6</v>
      </c>
      <c r="I44" s="33">
        <v>10</v>
      </c>
      <c r="J44" s="33">
        <v>7</v>
      </c>
      <c r="K44" s="33">
        <v>7</v>
      </c>
      <c r="L44" s="33">
        <v>6</v>
      </c>
      <c r="M44" s="33">
        <v>5</v>
      </c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50" t="s">
        <v>1224</v>
      </c>
      <c r="AE44">
        <f>VLOOKUP(AD44,GroupLabels!$F$2:$I$145,3,0)</f>
        <v>0</v>
      </c>
    </row>
    <row r="45" spans="1:31" x14ac:dyDescent="0.25">
      <c r="A45" t="s">
        <v>3200</v>
      </c>
      <c r="B45" s="33">
        <v>5</v>
      </c>
      <c r="C45" s="33">
        <v>4</v>
      </c>
      <c r="D45" s="33">
        <v>10</v>
      </c>
      <c r="E45" s="33">
        <v>6</v>
      </c>
      <c r="F45" s="33">
        <v>8</v>
      </c>
      <c r="G45" s="33">
        <v>7</v>
      </c>
      <c r="H45" s="33">
        <v>6</v>
      </c>
      <c r="I45" s="33">
        <v>10</v>
      </c>
      <c r="J45" s="33">
        <v>7</v>
      </c>
      <c r="K45" s="33">
        <v>7</v>
      </c>
      <c r="L45" s="33">
        <v>6</v>
      </c>
      <c r="M45" s="33">
        <v>5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50" t="s">
        <v>1225</v>
      </c>
      <c r="AE45">
        <f>VLOOKUP(AD45,GroupLabels!$F$2:$I$145,3,0)</f>
        <v>0</v>
      </c>
    </row>
    <row r="46" spans="1:31" x14ac:dyDescent="0.25">
      <c r="A46" t="s">
        <v>3279</v>
      </c>
      <c r="B46" s="33">
        <v>5</v>
      </c>
      <c r="C46" s="33">
        <v>4</v>
      </c>
      <c r="D46" s="33">
        <v>10</v>
      </c>
      <c r="E46" s="33">
        <v>6</v>
      </c>
      <c r="F46" s="33">
        <v>8</v>
      </c>
      <c r="G46" s="33">
        <v>7</v>
      </c>
      <c r="H46" s="33">
        <v>6</v>
      </c>
      <c r="I46" s="33">
        <v>10</v>
      </c>
      <c r="J46" s="33">
        <v>7</v>
      </c>
      <c r="K46" s="33">
        <v>7</v>
      </c>
      <c r="L46" s="33">
        <v>6</v>
      </c>
      <c r="M46" s="33">
        <v>5</v>
      </c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50" t="s">
        <v>1226</v>
      </c>
      <c r="AE46">
        <f>VLOOKUP(AD46,GroupLabels!$F$2:$I$145,3,0)</f>
        <v>0</v>
      </c>
    </row>
    <row r="47" spans="1:31" x14ac:dyDescent="0.25">
      <c r="A47" t="s">
        <v>3013</v>
      </c>
      <c r="B47" s="33">
        <v>5</v>
      </c>
      <c r="C47" s="33">
        <v>4</v>
      </c>
      <c r="D47" s="33">
        <v>10</v>
      </c>
      <c r="E47" s="33">
        <v>6</v>
      </c>
      <c r="F47" s="33">
        <v>8</v>
      </c>
      <c r="G47" s="33">
        <v>7</v>
      </c>
      <c r="H47" s="33">
        <v>6</v>
      </c>
      <c r="I47" s="33">
        <v>10</v>
      </c>
      <c r="J47" s="33">
        <v>7</v>
      </c>
      <c r="K47" s="33">
        <v>7</v>
      </c>
      <c r="L47" s="33">
        <v>6</v>
      </c>
      <c r="M47" s="33">
        <v>5</v>
      </c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50" t="s">
        <v>1227</v>
      </c>
      <c r="AE47">
        <f>VLOOKUP(AD47,GroupLabels!$F$2:$I$145,3,0)</f>
        <v>0</v>
      </c>
    </row>
    <row r="48" spans="1:31" x14ac:dyDescent="0.25">
      <c r="A48" t="s">
        <v>3179</v>
      </c>
      <c r="B48" s="33">
        <v>5</v>
      </c>
      <c r="C48" s="33">
        <v>4</v>
      </c>
      <c r="D48" s="33">
        <v>10</v>
      </c>
      <c r="E48" s="33">
        <v>6</v>
      </c>
      <c r="F48" s="33">
        <v>8</v>
      </c>
      <c r="G48" s="33">
        <v>7</v>
      </c>
      <c r="H48" s="33">
        <v>6</v>
      </c>
      <c r="I48" s="33">
        <v>10</v>
      </c>
      <c r="J48" s="33">
        <v>7</v>
      </c>
      <c r="K48" s="33">
        <v>7</v>
      </c>
      <c r="L48" s="33">
        <v>6</v>
      </c>
      <c r="M48" s="33">
        <v>5</v>
      </c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50" t="s">
        <v>1228</v>
      </c>
      <c r="AE48">
        <f>VLOOKUP(AD48,GroupLabels!$F$2:$I$145,3,0)</f>
        <v>0</v>
      </c>
    </row>
    <row r="49" spans="1:31" x14ac:dyDescent="0.25">
      <c r="A49" t="s">
        <v>3143</v>
      </c>
      <c r="B49" s="33">
        <v>5</v>
      </c>
      <c r="C49" s="33">
        <v>4</v>
      </c>
      <c r="D49" s="33">
        <v>10</v>
      </c>
      <c r="E49" s="33">
        <v>6</v>
      </c>
      <c r="F49" s="33">
        <v>8</v>
      </c>
      <c r="G49" s="33">
        <v>7</v>
      </c>
      <c r="H49" s="33">
        <v>6</v>
      </c>
      <c r="I49" s="33">
        <v>10</v>
      </c>
      <c r="J49" s="33">
        <v>7</v>
      </c>
      <c r="K49" s="33">
        <v>7</v>
      </c>
      <c r="L49" s="33">
        <v>6</v>
      </c>
      <c r="M49" s="33">
        <v>5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50" t="s">
        <v>1229</v>
      </c>
      <c r="AE49">
        <f>VLOOKUP(AD49,GroupLabels!$F$2:$I$145,3,0)</f>
        <v>0</v>
      </c>
    </row>
    <row r="50" spans="1:31" x14ac:dyDescent="0.25">
      <c r="A50" t="s">
        <v>3175</v>
      </c>
      <c r="B50" s="33">
        <v>5</v>
      </c>
      <c r="C50" s="33">
        <v>4</v>
      </c>
      <c r="D50" s="33">
        <v>10</v>
      </c>
      <c r="E50" s="33">
        <v>6</v>
      </c>
      <c r="F50" s="33">
        <v>8</v>
      </c>
      <c r="G50" s="33">
        <v>7</v>
      </c>
      <c r="H50" s="33">
        <v>6</v>
      </c>
      <c r="I50" s="33">
        <v>10</v>
      </c>
      <c r="J50" s="33">
        <v>7</v>
      </c>
      <c r="K50" s="33">
        <v>7</v>
      </c>
      <c r="L50" s="33">
        <v>6</v>
      </c>
      <c r="M50" s="33">
        <v>5</v>
      </c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50" t="s">
        <v>1230</v>
      </c>
      <c r="AE50">
        <f>VLOOKUP(AD50,GroupLabels!$F$2:$I$145,3,0)</f>
        <v>0</v>
      </c>
    </row>
    <row r="51" spans="1:31" x14ac:dyDescent="0.25">
      <c r="A51" t="s">
        <v>2906</v>
      </c>
      <c r="B51" s="33">
        <v>5</v>
      </c>
      <c r="C51" s="33">
        <v>4</v>
      </c>
      <c r="D51" s="33">
        <v>10</v>
      </c>
      <c r="E51" s="33">
        <v>6</v>
      </c>
      <c r="F51" s="33">
        <v>8</v>
      </c>
      <c r="G51" s="33">
        <v>7</v>
      </c>
      <c r="H51" s="33">
        <v>6</v>
      </c>
      <c r="I51" s="33">
        <v>10</v>
      </c>
      <c r="J51" s="33">
        <v>7</v>
      </c>
      <c r="K51" s="33">
        <v>7</v>
      </c>
      <c r="L51" s="33">
        <v>6</v>
      </c>
      <c r="M51" s="33">
        <v>5</v>
      </c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50" t="s">
        <v>1231</v>
      </c>
      <c r="AE51">
        <f>VLOOKUP(AD51,GroupLabels!$F$2:$I$145,3,0)</f>
        <v>0</v>
      </c>
    </row>
    <row r="52" spans="1:31" x14ac:dyDescent="0.25">
      <c r="A52" t="s">
        <v>3187</v>
      </c>
      <c r="B52" s="33">
        <v>5</v>
      </c>
      <c r="C52" s="33">
        <v>4</v>
      </c>
      <c r="D52" s="33">
        <v>10</v>
      </c>
      <c r="E52" s="33">
        <v>6</v>
      </c>
      <c r="F52" s="33">
        <v>8</v>
      </c>
      <c r="G52" s="33">
        <v>7</v>
      </c>
      <c r="H52" s="33">
        <v>6</v>
      </c>
      <c r="I52" s="33">
        <v>10</v>
      </c>
      <c r="J52" s="33">
        <v>7</v>
      </c>
      <c r="K52" s="33">
        <v>7</v>
      </c>
      <c r="L52" s="33">
        <v>6</v>
      </c>
      <c r="M52" s="33">
        <v>5</v>
      </c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50" t="s">
        <v>1232</v>
      </c>
      <c r="AE52">
        <f>VLOOKUP(AD52,GroupLabels!$F$2:$I$145,3,0)</f>
        <v>1</v>
      </c>
    </row>
    <row r="53" spans="1:31" x14ac:dyDescent="0.25">
      <c r="A53" t="s">
        <v>3016</v>
      </c>
      <c r="B53" s="33">
        <v>5</v>
      </c>
      <c r="C53" s="33">
        <v>4</v>
      </c>
      <c r="D53" s="33">
        <v>10</v>
      </c>
      <c r="E53" s="33">
        <v>6</v>
      </c>
      <c r="F53" s="33">
        <v>8</v>
      </c>
      <c r="G53" s="33">
        <v>7</v>
      </c>
      <c r="H53" s="33">
        <v>6</v>
      </c>
      <c r="I53" s="33">
        <v>10</v>
      </c>
      <c r="J53" s="33">
        <v>7</v>
      </c>
      <c r="K53" s="33">
        <v>7</v>
      </c>
      <c r="L53" s="33">
        <v>6</v>
      </c>
      <c r="M53" s="33">
        <v>5</v>
      </c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50" t="s">
        <v>1233</v>
      </c>
      <c r="AE53">
        <f>VLOOKUP(AD53,GroupLabels!$F$2:$I$145,3,0)</f>
        <v>1</v>
      </c>
    </row>
    <row r="54" spans="1:31" x14ac:dyDescent="0.25">
      <c r="A54" t="s">
        <v>3194</v>
      </c>
      <c r="B54" s="33">
        <v>5</v>
      </c>
      <c r="C54" s="33">
        <v>4</v>
      </c>
      <c r="D54" s="33">
        <v>10</v>
      </c>
      <c r="E54" s="33">
        <v>6</v>
      </c>
      <c r="F54" s="33">
        <v>8</v>
      </c>
      <c r="G54" s="33">
        <v>7</v>
      </c>
      <c r="H54" s="33">
        <v>6</v>
      </c>
      <c r="I54" s="33">
        <v>10</v>
      </c>
      <c r="J54" s="33">
        <v>7</v>
      </c>
      <c r="K54" s="33">
        <v>7</v>
      </c>
      <c r="L54" s="33">
        <v>6</v>
      </c>
      <c r="M54" s="33">
        <v>5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50" t="s">
        <v>1234</v>
      </c>
      <c r="AE54">
        <f>VLOOKUP(AD54,GroupLabels!$F$2:$I$145,3,0)</f>
        <v>1</v>
      </c>
    </row>
    <row r="55" spans="1:31" x14ac:dyDescent="0.25">
      <c r="A55" t="s">
        <v>2912</v>
      </c>
      <c r="B55" s="33">
        <v>5</v>
      </c>
      <c r="C55" s="33">
        <v>4</v>
      </c>
      <c r="D55" s="33">
        <v>10</v>
      </c>
      <c r="E55" s="33">
        <v>6</v>
      </c>
      <c r="F55" s="33">
        <v>8</v>
      </c>
      <c r="G55" s="33">
        <v>7</v>
      </c>
      <c r="H55" s="33">
        <v>6</v>
      </c>
      <c r="I55" s="33">
        <v>10</v>
      </c>
      <c r="J55" s="33">
        <v>7</v>
      </c>
      <c r="K55" s="33">
        <v>7</v>
      </c>
      <c r="L55" s="33">
        <v>6</v>
      </c>
      <c r="M55" s="33">
        <v>5</v>
      </c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50" t="s">
        <v>1235</v>
      </c>
      <c r="AE55">
        <f>VLOOKUP(AD55,GroupLabels!$F$2:$I$145,3,0)</f>
        <v>0</v>
      </c>
    </row>
    <row r="56" spans="1:31" x14ac:dyDescent="0.25">
      <c r="A56" t="s">
        <v>3020</v>
      </c>
      <c r="B56" s="33">
        <v>5</v>
      </c>
      <c r="C56" s="33">
        <v>4</v>
      </c>
      <c r="D56" s="33">
        <v>10</v>
      </c>
      <c r="E56" s="33">
        <v>6</v>
      </c>
      <c r="F56" s="33">
        <v>8</v>
      </c>
      <c r="G56" s="33">
        <v>7</v>
      </c>
      <c r="H56" s="33">
        <v>6</v>
      </c>
      <c r="I56" s="33">
        <v>10</v>
      </c>
      <c r="J56" s="33">
        <v>7</v>
      </c>
      <c r="K56" s="33">
        <v>7</v>
      </c>
      <c r="L56" s="33">
        <v>6</v>
      </c>
      <c r="M56" s="33">
        <v>5</v>
      </c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50" t="s">
        <v>1236</v>
      </c>
      <c r="AE56">
        <f>VLOOKUP(AD56,GroupLabels!$F$2:$I$145,3,0)</f>
        <v>0</v>
      </c>
    </row>
    <row r="57" spans="1:31" x14ac:dyDescent="0.25">
      <c r="A57" t="s">
        <v>3106</v>
      </c>
      <c r="B57" s="33">
        <v>5</v>
      </c>
      <c r="C57" s="33">
        <v>4</v>
      </c>
      <c r="D57" s="33">
        <v>10</v>
      </c>
      <c r="E57" s="33">
        <v>6</v>
      </c>
      <c r="F57" s="33">
        <v>8</v>
      </c>
      <c r="G57" s="33">
        <v>7</v>
      </c>
      <c r="H57" s="33">
        <v>6</v>
      </c>
      <c r="I57" s="33">
        <v>10</v>
      </c>
      <c r="J57" s="33">
        <v>7</v>
      </c>
      <c r="K57" s="33">
        <v>7</v>
      </c>
      <c r="L57" s="33">
        <v>6</v>
      </c>
      <c r="M57" s="33">
        <v>5</v>
      </c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50" t="s">
        <v>1237</v>
      </c>
      <c r="AE57">
        <f>VLOOKUP(AD57,GroupLabels!$F$2:$I$145,3,0)</f>
        <v>0</v>
      </c>
    </row>
    <row r="58" spans="1:31" x14ac:dyDescent="0.25">
      <c r="A58" t="s">
        <v>3207</v>
      </c>
      <c r="B58" s="33">
        <v>5</v>
      </c>
      <c r="C58" s="33">
        <v>4</v>
      </c>
      <c r="D58" s="33">
        <v>10</v>
      </c>
      <c r="E58" s="33">
        <v>6</v>
      </c>
      <c r="F58" s="33">
        <v>8</v>
      </c>
      <c r="G58" s="33">
        <v>7</v>
      </c>
      <c r="H58" s="33">
        <v>6</v>
      </c>
      <c r="I58" s="33">
        <v>10</v>
      </c>
      <c r="J58" s="33">
        <v>7</v>
      </c>
      <c r="K58" s="33">
        <v>7</v>
      </c>
      <c r="L58" s="33">
        <v>6</v>
      </c>
      <c r="M58" s="33">
        <v>5</v>
      </c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50" t="s">
        <v>1238</v>
      </c>
      <c r="AE58">
        <f>VLOOKUP(AD58,GroupLabels!$F$2:$I$145,3,0)</f>
        <v>0</v>
      </c>
    </row>
    <row r="59" spans="1:31" x14ac:dyDescent="0.25">
      <c r="A59" t="s">
        <v>3025</v>
      </c>
      <c r="B59" s="33">
        <v>5</v>
      </c>
      <c r="C59" s="33">
        <v>4</v>
      </c>
      <c r="D59" s="33">
        <v>10</v>
      </c>
      <c r="E59" s="33">
        <v>6</v>
      </c>
      <c r="F59" s="33">
        <v>8</v>
      </c>
      <c r="G59" s="33">
        <v>7</v>
      </c>
      <c r="H59" s="33">
        <v>6</v>
      </c>
      <c r="I59" s="33">
        <v>10</v>
      </c>
      <c r="J59" s="33">
        <v>7</v>
      </c>
      <c r="K59" s="33">
        <v>7</v>
      </c>
      <c r="L59" s="33">
        <v>6</v>
      </c>
      <c r="M59" s="33">
        <v>5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50" t="s">
        <v>1239</v>
      </c>
      <c r="AE59">
        <f>VLOOKUP(AD59,GroupLabels!$F$2:$I$145,3,0)</f>
        <v>0</v>
      </c>
    </row>
    <row r="60" spans="1:31" x14ac:dyDescent="0.25">
      <c r="A60" t="s">
        <v>3227</v>
      </c>
      <c r="B60" s="33">
        <v>5</v>
      </c>
      <c r="C60" s="33">
        <v>4</v>
      </c>
      <c r="D60" s="33">
        <v>10</v>
      </c>
      <c r="E60" s="33">
        <v>6</v>
      </c>
      <c r="F60" s="33">
        <v>8</v>
      </c>
      <c r="G60" s="33">
        <v>7</v>
      </c>
      <c r="H60" s="33">
        <v>6</v>
      </c>
      <c r="I60" s="33">
        <v>10</v>
      </c>
      <c r="J60" s="33">
        <v>7</v>
      </c>
      <c r="K60" s="33">
        <v>7</v>
      </c>
      <c r="L60" s="33">
        <v>6</v>
      </c>
      <c r="M60" s="33">
        <v>5</v>
      </c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50" t="s">
        <v>1240</v>
      </c>
      <c r="AE60">
        <f>VLOOKUP(AD60,GroupLabels!$F$2:$I$145,3,0)</f>
        <v>1</v>
      </c>
    </row>
    <row r="61" spans="1:31" x14ac:dyDescent="0.25">
      <c r="A61" t="s">
        <v>3072</v>
      </c>
      <c r="B61" s="33">
        <v>5</v>
      </c>
      <c r="C61" s="33">
        <v>4</v>
      </c>
      <c r="D61" s="33">
        <v>10</v>
      </c>
      <c r="E61" s="33">
        <v>6</v>
      </c>
      <c r="F61" s="33">
        <v>8</v>
      </c>
      <c r="G61" s="33">
        <v>7</v>
      </c>
      <c r="H61" s="33">
        <v>6</v>
      </c>
      <c r="I61" s="33">
        <v>10</v>
      </c>
      <c r="J61" s="33">
        <v>7</v>
      </c>
      <c r="K61" s="33">
        <v>7</v>
      </c>
      <c r="L61" s="33">
        <v>6</v>
      </c>
      <c r="M61" s="33">
        <v>5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50" t="s">
        <v>1241</v>
      </c>
      <c r="AE61">
        <f>VLOOKUP(AD61,GroupLabels!$F$2:$I$145,3,0)</f>
        <v>1</v>
      </c>
    </row>
    <row r="62" spans="1:31" x14ac:dyDescent="0.25">
      <c r="A62" t="s">
        <v>2932</v>
      </c>
      <c r="B62" s="33">
        <v>5</v>
      </c>
      <c r="C62" s="33">
        <v>4</v>
      </c>
      <c r="D62" s="33">
        <v>10</v>
      </c>
      <c r="E62" s="33">
        <v>6</v>
      </c>
      <c r="F62" s="33">
        <v>8</v>
      </c>
      <c r="G62" s="33">
        <v>7</v>
      </c>
      <c r="H62" s="33">
        <v>6</v>
      </c>
      <c r="I62" s="33">
        <v>10</v>
      </c>
      <c r="J62" s="33">
        <v>7</v>
      </c>
      <c r="K62" s="33">
        <v>7</v>
      </c>
      <c r="L62" s="33">
        <v>6</v>
      </c>
      <c r="M62" s="33">
        <v>5</v>
      </c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50" t="s">
        <v>1242</v>
      </c>
      <c r="AE62">
        <f>VLOOKUP(AD62,GroupLabels!$F$2:$I$145,3,0)</f>
        <v>1</v>
      </c>
    </row>
    <row r="63" spans="1:31" x14ac:dyDescent="0.25">
      <c r="A63" t="s">
        <v>3091</v>
      </c>
      <c r="B63" s="33">
        <v>5</v>
      </c>
      <c r="C63" s="33">
        <v>4</v>
      </c>
      <c r="D63" s="33">
        <v>10</v>
      </c>
      <c r="E63" s="33">
        <v>6</v>
      </c>
      <c r="F63" s="33">
        <v>8</v>
      </c>
      <c r="G63" s="33">
        <v>7</v>
      </c>
      <c r="H63" s="33">
        <v>6</v>
      </c>
      <c r="I63" s="33">
        <v>10</v>
      </c>
      <c r="J63" s="33">
        <v>7</v>
      </c>
      <c r="K63" s="33">
        <v>7</v>
      </c>
      <c r="L63" s="33">
        <v>6</v>
      </c>
      <c r="M63" s="33">
        <v>5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50" t="s">
        <v>1243</v>
      </c>
      <c r="AE63">
        <f>VLOOKUP(AD63,GroupLabels!$F$2:$I$145,3,0)</f>
        <v>1</v>
      </c>
    </row>
    <row r="64" spans="1:31" x14ac:dyDescent="0.25">
      <c r="A64" t="s">
        <v>3047</v>
      </c>
      <c r="B64" s="33">
        <v>5</v>
      </c>
      <c r="C64" s="33">
        <v>4</v>
      </c>
      <c r="D64" s="33">
        <v>10</v>
      </c>
      <c r="E64" s="33">
        <v>6</v>
      </c>
      <c r="F64" s="33">
        <v>8</v>
      </c>
      <c r="G64" s="33">
        <v>7</v>
      </c>
      <c r="H64" s="33">
        <v>6</v>
      </c>
      <c r="I64" s="33">
        <v>10</v>
      </c>
      <c r="J64" s="33">
        <v>7</v>
      </c>
      <c r="K64" s="33">
        <v>7</v>
      </c>
      <c r="L64" s="33">
        <v>6</v>
      </c>
      <c r="M64" s="33">
        <v>5</v>
      </c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50" t="s">
        <v>1244</v>
      </c>
      <c r="AE64">
        <f>VLOOKUP(AD64,GroupLabels!$F$2:$I$145,3,0)</f>
        <v>1</v>
      </c>
    </row>
    <row r="65" spans="1:31" x14ac:dyDescent="0.25">
      <c r="A65" t="s">
        <v>3081</v>
      </c>
      <c r="B65" s="33">
        <v>5</v>
      </c>
      <c r="C65" s="33">
        <v>4</v>
      </c>
      <c r="D65" s="33">
        <v>10</v>
      </c>
      <c r="E65" s="33">
        <v>6</v>
      </c>
      <c r="F65" s="33">
        <v>8</v>
      </c>
      <c r="G65" s="33">
        <v>7</v>
      </c>
      <c r="H65" s="33">
        <v>6</v>
      </c>
      <c r="I65" s="33">
        <v>10</v>
      </c>
      <c r="J65" s="33">
        <v>7</v>
      </c>
      <c r="K65" s="33">
        <v>7</v>
      </c>
      <c r="L65" s="33">
        <v>6</v>
      </c>
      <c r="M65" s="33">
        <v>5</v>
      </c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50" t="s">
        <v>1245</v>
      </c>
      <c r="AE65">
        <f>VLOOKUP(AD65,GroupLabels!$F$2:$I$145,3,0)</f>
        <v>1</v>
      </c>
    </row>
    <row r="66" spans="1:31" x14ac:dyDescent="0.25">
      <c r="A66" t="s">
        <v>2964</v>
      </c>
      <c r="B66" s="33">
        <v>5</v>
      </c>
      <c r="C66" s="33">
        <v>4</v>
      </c>
      <c r="D66" s="33">
        <v>10</v>
      </c>
      <c r="E66" s="33">
        <v>6</v>
      </c>
      <c r="F66" s="33">
        <v>8</v>
      </c>
      <c r="G66" s="33">
        <v>7</v>
      </c>
      <c r="H66" s="33">
        <v>6</v>
      </c>
      <c r="I66" s="33">
        <v>10</v>
      </c>
      <c r="J66" s="33">
        <v>7</v>
      </c>
      <c r="K66" s="33">
        <v>7</v>
      </c>
      <c r="L66" s="33">
        <v>6</v>
      </c>
      <c r="M66" s="33">
        <v>5</v>
      </c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50" t="s">
        <v>1246</v>
      </c>
      <c r="AE66">
        <f>VLOOKUP(AD66,GroupLabels!$F$2:$I$145,3,0)</f>
        <v>1</v>
      </c>
    </row>
    <row r="67" spans="1:31" x14ac:dyDescent="0.25">
      <c r="A67" t="s">
        <v>3125</v>
      </c>
      <c r="B67" s="33">
        <v>5</v>
      </c>
      <c r="C67" s="33">
        <v>4</v>
      </c>
      <c r="D67" s="33">
        <v>10</v>
      </c>
      <c r="E67" s="33">
        <v>6</v>
      </c>
      <c r="F67" s="33">
        <v>8</v>
      </c>
      <c r="G67" s="33">
        <v>7</v>
      </c>
      <c r="H67" s="33">
        <v>6</v>
      </c>
      <c r="I67" s="33">
        <v>10</v>
      </c>
      <c r="J67" s="33">
        <v>7</v>
      </c>
      <c r="K67" s="33">
        <v>7</v>
      </c>
      <c r="L67" s="33">
        <v>6</v>
      </c>
      <c r="M67" s="33">
        <v>5</v>
      </c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50" t="s">
        <v>1247</v>
      </c>
      <c r="AE67">
        <f>VLOOKUP(AD67,GroupLabels!$F$2:$I$145,3,0)</f>
        <v>1</v>
      </c>
    </row>
    <row r="68" spans="1:31" x14ac:dyDescent="0.25">
      <c r="A68" t="s">
        <v>3282</v>
      </c>
      <c r="B68" s="33">
        <v>5</v>
      </c>
      <c r="C68" s="33">
        <v>4</v>
      </c>
      <c r="D68" s="33">
        <v>10</v>
      </c>
      <c r="E68" s="33">
        <v>6</v>
      </c>
      <c r="F68" s="33">
        <v>8</v>
      </c>
      <c r="G68" s="33">
        <v>7</v>
      </c>
      <c r="H68" s="33">
        <v>6</v>
      </c>
      <c r="I68" s="33">
        <v>10</v>
      </c>
      <c r="J68" s="33">
        <v>7</v>
      </c>
      <c r="K68" s="33">
        <v>7</v>
      </c>
      <c r="L68" s="33">
        <v>6</v>
      </c>
      <c r="M68" s="33">
        <v>5</v>
      </c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50" t="s">
        <v>1248</v>
      </c>
      <c r="AE68">
        <f>VLOOKUP(AD68,GroupLabels!$F$2:$I$145,3,0)</f>
        <v>0</v>
      </c>
    </row>
    <row r="69" spans="1:31" x14ac:dyDescent="0.25">
      <c r="A69" t="s">
        <v>3257</v>
      </c>
      <c r="B69" s="33">
        <v>5</v>
      </c>
      <c r="C69" s="33">
        <v>4</v>
      </c>
      <c r="D69" s="33">
        <v>10</v>
      </c>
      <c r="E69" s="33">
        <v>6</v>
      </c>
      <c r="F69" s="33">
        <v>8</v>
      </c>
      <c r="G69" s="33">
        <v>7</v>
      </c>
      <c r="H69" s="33">
        <v>6</v>
      </c>
      <c r="I69" s="33">
        <v>10</v>
      </c>
      <c r="J69" s="33">
        <v>7</v>
      </c>
      <c r="K69" s="33">
        <v>7</v>
      </c>
      <c r="L69" s="33">
        <v>6</v>
      </c>
      <c r="M69" s="33">
        <v>5</v>
      </c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50" t="s">
        <v>1249</v>
      </c>
      <c r="AE69">
        <f>VLOOKUP(AD69,GroupLabels!$F$2:$I$145,3,0)</f>
        <v>1</v>
      </c>
    </row>
    <row r="70" spans="1:31" x14ac:dyDescent="0.25">
      <c r="A70" t="s">
        <v>3262</v>
      </c>
      <c r="B70" s="33">
        <v>5</v>
      </c>
      <c r="C70" s="33">
        <v>4</v>
      </c>
      <c r="D70" s="33">
        <v>10</v>
      </c>
      <c r="E70" s="33">
        <v>6</v>
      </c>
      <c r="F70" s="33">
        <v>8</v>
      </c>
      <c r="G70" s="33">
        <v>7</v>
      </c>
      <c r="H70" s="33">
        <v>6</v>
      </c>
      <c r="I70" s="33">
        <v>10</v>
      </c>
      <c r="J70" s="33">
        <v>7</v>
      </c>
      <c r="K70" s="33">
        <v>7</v>
      </c>
      <c r="L70" s="33">
        <v>6</v>
      </c>
      <c r="M70" s="33">
        <v>5</v>
      </c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50" t="s">
        <v>1250</v>
      </c>
      <c r="AE70">
        <f>VLOOKUP(AD70,GroupLabels!$F$2:$I$145,3,0)</f>
        <v>0</v>
      </c>
    </row>
    <row r="71" spans="1:31" x14ac:dyDescent="0.25">
      <c r="A71" t="s">
        <v>2895</v>
      </c>
      <c r="B71" s="33">
        <v>5</v>
      </c>
      <c r="C71" s="33">
        <v>4</v>
      </c>
      <c r="D71" s="33">
        <v>10</v>
      </c>
      <c r="E71" s="33">
        <v>6</v>
      </c>
      <c r="F71" s="33">
        <v>8</v>
      </c>
      <c r="G71" s="33">
        <v>7</v>
      </c>
      <c r="H71" s="33">
        <v>6</v>
      </c>
      <c r="I71" s="33">
        <v>10</v>
      </c>
      <c r="J71" s="33">
        <v>7</v>
      </c>
      <c r="K71" s="33">
        <v>7</v>
      </c>
      <c r="L71" s="33">
        <v>6</v>
      </c>
      <c r="M71" s="33">
        <v>5</v>
      </c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50" t="s">
        <v>1251</v>
      </c>
      <c r="AE71">
        <f>VLOOKUP(AD71,GroupLabels!$F$2:$I$145,3,0)</f>
        <v>0</v>
      </c>
    </row>
    <row r="72" spans="1:31" x14ac:dyDescent="0.25">
      <c r="A72" t="s">
        <v>2979</v>
      </c>
      <c r="B72" s="33">
        <v>5</v>
      </c>
      <c r="C72" s="33">
        <v>4</v>
      </c>
      <c r="D72" s="33">
        <v>10</v>
      </c>
      <c r="E72" s="33">
        <v>6</v>
      </c>
      <c r="F72" s="33">
        <v>8</v>
      </c>
      <c r="G72" s="33">
        <v>7</v>
      </c>
      <c r="H72" s="33">
        <v>6</v>
      </c>
      <c r="I72" s="33">
        <v>10</v>
      </c>
      <c r="J72" s="33">
        <v>7</v>
      </c>
      <c r="K72" s="33">
        <v>7</v>
      </c>
      <c r="L72" s="33">
        <v>6</v>
      </c>
      <c r="M72" s="33">
        <v>5</v>
      </c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50" t="s">
        <v>1252</v>
      </c>
      <c r="AE72">
        <f>VLOOKUP(AD72,GroupLabels!$F$2:$I$145,3,0)</f>
        <v>0</v>
      </c>
    </row>
    <row r="73" spans="1:31" x14ac:dyDescent="0.25">
      <c r="A73" t="s">
        <v>2989</v>
      </c>
      <c r="B73" s="33">
        <v>5</v>
      </c>
      <c r="C73" s="33">
        <v>4</v>
      </c>
      <c r="D73" s="33">
        <v>10</v>
      </c>
      <c r="E73" s="33">
        <v>6</v>
      </c>
      <c r="F73" s="33">
        <v>8</v>
      </c>
      <c r="G73" s="33">
        <v>7</v>
      </c>
      <c r="H73" s="33">
        <v>6</v>
      </c>
      <c r="I73" s="33">
        <v>10</v>
      </c>
      <c r="J73" s="33">
        <v>7</v>
      </c>
      <c r="K73" s="33">
        <v>7</v>
      </c>
      <c r="L73" s="33">
        <v>6</v>
      </c>
      <c r="M73" s="33">
        <v>5</v>
      </c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50" t="s">
        <v>1253</v>
      </c>
      <c r="AE73">
        <f>VLOOKUP(AD73,GroupLabels!$F$2:$I$145,3,0)</f>
        <v>1</v>
      </c>
    </row>
    <row r="74" spans="1:31" x14ac:dyDescent="0.25">
      <c r="A74" t="s">
        <v>764</v>
      </c>
      <c r="B74" s="33">
        <v>5</v>
      </c>
      <c r="C74" s="33">
        <v>4</v>
      </c>
      <c r="D74" s="33">
        <v>10</v>
      </c>
      <c r="E74" s="33">
        <v>6</v>
      </c>
      <c r="F74" s="33">
        <v>8</v>
      </c>
      <c r="G74" s="33">
        <v>7</v>
      </c>
      <c r="H74" s="33">
        <v>6</v>
      </c>
      <c r="I74" s="33">
        <v>10</v>
      </c>
      <c r="J74" s="33">
        <v>7</v>
      </c>
      <c r="K74" s="33">
        <v>7</v>
      </c>
      <c r="L74" s="33">
        <v>6</v>
      </c>
      <c r="M74" s="33">
        <v>5</v>
      </c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50" t="s">
        <v>1254</v>
      </c>
      <c r="AE74">
        <f>VLOOKUP(AD74,GroupLabels!$F$2:$I$145,3,0)</f>
        <v>1</v>
      </c>
    </row>
    <row r="75" spans="1:31" x14ac:dyDescent="0.25">
      <c r="A75" s="3" t="s">
        <v>3065</v>
      </c>
      <c r="B75" s="40">
        <v>5</v>
      </c>
      <c r="C75" s="40">
        <v>4</v>
      </c>
      <c r="D75" s="40">
        <v>10</v>
      </c>
      <c r="E75" s="40">
        <v>6</v>
      </c>
      <c r="F75" s="40">
        <v>8</v>
      </c>
      <c r="G75" s="40">
        <v>7</v>
      </c>
      <c r="H75" s="40">
        <v>6</v>
      </c>
      <c r="I75" s="40">
        <v>10</v>
      </c>
      <c r="J75" s="40">
        <v>7</v>
      </c>
      <c r="K75" s="40">
        <v>7</v>
      </c>
      <c r="L75" s="40">
        <v>6</v>
      </c>
      <c r="M75" s="40">
        <v>5</v>
      </c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80" t="s">
        <v>1255</v>
      </c>
      <c r="AE75">
        <f>VLOOKUP(AD75,GroupLabels!$F$2:$I$145,3,0)</f>
        <v>0</v>
      </c>
    </row>
  </sheetData>
  <sheetProtection formatColumns="0" formatRows="0"/>
  <sortState xmlns:xlrd2="http://schemas.microsoft.com/office/spreadsheetml/2017/richdata2" ref="A7:AE75">
    <sortCondition ref="A7:A75"/>
  </sortState>
  <hyperlinks>
    <hyperlink ref="A1" location="TOC!A1" display="Table of Contents" xr:uid="{90C5BE7B-6747-49F2-92D5-8EADCCB1DE49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G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140625" customWidth="1"/>
    <col min="2" max="2" width="11.140625" bestFit="1" customWidth="1"/>
    <col min="3" max="3" width="125.7109375" customWidth="1"/>
    <col min="4" max="4" width="10.7109375" customWidth="1"/>
    <col min="5" max="5" width="27.28515625" customWidth="1"/>
  </cols>
  <sheetData>
    <row r="1" spans="1:7" x14ac:dyDescent="0.25">
      <c r="A1" s="141" t="s">
        <v>316</v>
      </c>
      <c r="B1" s="32" t="s">
        <v>336</v>
      </c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x14ac:dyDescent="0.25">
      <c r="A3" s="34" t="s">
        <v>94</v>
      </c>
      <c r="B3" s="33"/>
      <c r="C3" s="33"/>
      <c r="D3" s="33"/>
      <c r="E3" s="33"/>
      <c r="F3" s="33"/>
      <c r="G3" s="33"/>
    </row>
    <row r="4" spans="1:7" x14ac:dyDescent="0.25">
      <c r="A4" s="34" t="s">
        <v>95</v>
      </c>
      <c r="B4" s="33"/>
      <c r="C4" s="33"/>
      <c r="D4" s="33"/>
      <c r="E4" s="33"/>
      <c r="F4" s="33"/>
      <c r="G4" s="33"/>
    </row>
    <row r="5" spans="1:7" x14ac:dyDescent="0.25">
      <c r="A5" s="33"/>
      <c r="B5" s="33"/>
      <c r="C5" s="33"/>
      <c r="D5" s="33"/>
      <c r="E5" s="33"/>
      <c r="F5" s="33"/>
      <c r="G5" s="33"/>
    </row>
    <row r="6" spans="1:7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897</v>
      </c>
      <c r="F6" s="65" t="s">
        <v>775</v>
      </c>
      <c r="G6" s="65" t="s">
        <v>776</v>
      </c>
    </row>
    <row r="7" spans="1:7" x14ac:dyDescent="0.25">
      <c r="A7" s="33" t="s">
        <v>782</v>
      </c>
      <c r="B7" s="33" t="s">
        <v>1256</v>
      </c>
      <c r="C7" s="33" t="s">
        <v>1257</v>
      </c>
      <c r="D7" s="33" t="s">
        <v>926</v>
      </c>
      <c r="E7" s="33" t="s">
        <v>1258</v>
      </c>
      <c r="F7" s="2">
        <v>1.26308</v>
      </c>
      <c r="G7" s="2">
        <v>-0.98780999999999997</v>
      </c>
    </row>
    <row r="8" spans="1:7" x14ac:dyDescent="0.25">
      <c r="A8" s="33" t="s">
        <v>782</v>
      </c>
      <c r="B8" s="33" t="s">
        <v>1259</v>
      </c>
      <c r="C8" s="33" t="s">
        <v>1260</v>
      </c>
      <c r="D8" s="33" t="s">
        <v>926</v>
      </c>
      <c r="E8" s="33" t="s">
        <v>1258</v>
      </c>
      <c r="F8" s="2">
        <v>1.46627</v>
      </c>
      <c r="G8" s="2">
        <v>-0.11728</v>
      </c>
    </row>
    <row r="9" spans="1:7" x14ac:dyDescent="0.25">
      <c r="A9" s="33" t="s">
        <v>782</v>
      </c>
      <c r="B9" s="33" t="s">
        <v>1261</v>
      </c>
      <c r="C9" s="33" t="s">
        <v>1262</v>
      </c>
      <c r="D9" s="33" t="s">
        <v>926</v>
      </c>
      <c r="E9" s="33" t="s">
        <v>1258</v>
      </c>
      <c r="F9" s="2">
        <v>1.26759</v>
      </c>
      <c r="G9" s="2">
        <v>0.64106999999999981</v>
      </c>
    </row>
    <row r="10" spans="1:7" x14ac:dyDescent="0.25">
      <c r="A10" s="33" t="s">
        <v>782</v>
      </c>
      <c r="B10" s="33" t="s">
        <v>1263</v>
      </c>
      <c r="C10" s="33" t="s">
        <v>1264</v>
      </c>
      <c r="D10" s="33" t="s">
        <v>926</v>
      </c>
      <c r="E10" s="33" t="s">
        <v>1258</v>
      </c>
      <c r="F10" s="2">
        <v>1.89385</v>
      </c>
      <c r="G10" s="2">
        <v>-0.14388000000000001</v>
      </c>
    </row>
    <row r="11" spans="1:7" x14ac:dyDescent="0.25">
      <c r="A11" s="33" t="s">
        <v>782</v>
      </c>
      <c r="B11" s="33" t="s">
        <v>1265</v>
      </c>
      <c r="C11" s="33" t="s">
        <v>1266</v>
      </c>
      <c r="D11" s="33" t="s">
        <v>926</v>
      </c>
      <c r="E11" s="33" t="s">
        <v>1258</v>
      </c>
      <c r="F11" s="2">
        <v>2.0110700000000001</v>
      </c>
      <c r="G11" s="2">
        <v>-9.4509999999999997E-2</v>
      </c>
    </row>
    <row r="12" spans="1:7" x14ac:dyDescent="0.25">
      <c r="A12" s="33" t="s">
        <v>782</v>
      </c>
      <c r="B12" s="33" t="s">
        <v>1267</v>
      </c>
      <c r="C12" s="33" t="s">
        <v>1268</v>
      </c>
      <c r="D12" s="33" t="s">
        <v>926</v>
      </c>
      <c r="E12" s="33" t="s">
        <v>1258</v>
      </c>
      <c r="F12" s="2">
        <v>2.17062</v>
      </c>
      <c r="G12" s="2">
        <v>0.51727999999999996</v>
      </c>
    </row>
    <row r="13" spans="1:7" x14ac:dyDescent="0.25">
      <c r="A13" s="33" t="s">
        <v>782</v>
      </c>
      <c r="B13" s="33" t="s">
        <v>1269</v>
      </c>
      <c r="C13" s="33" t="s">
        <v>1270</v>
      </c>
      <c r="D13" s="33" t="s">
        <v>926</v>
      </c>
      <c r="E13" s="33" t="s">
        <v>1258</v>
      </c>
      <c r="F13" s="2">
        <v>1.82752</v>
      </c>
      <c r="G13" s="2">
        <v>0.18512999999999999</v>
      </c>
    </row>
    <row r="14" spans="1:7" x14ac:dyDescent="0.25">
      <c r="A14" s="33" t="s">
        <v>782</v>
      </c>
      <c r="B14" s="33" t="s">
        <v>1271</v>
      </c>
      <c r="C14" s="33" t="s">
        <v>1272</v>
      </c>
      <c r="D14" s="33"/>
      <c r="E14" s="33" t="s">
        <v>1258</v>
      </c>
      <c r="F14" s="2">
        <v>2.9368799999999999</v>
      </c>
      <c r="G14" s="2">
        <v>2.9594100000000001</v>
      </c>
    </row>
    <row r="15" spans="1:7" x14ac:dyDescent="0.25">
      <c r="A15" s="33" t="s">
        <v>782</v>
      </c>
      <c r="B15" s="33" t="s">
        <v>1273</v>
      </c>
      <c r="C15" s="33" t="s">
        <v>1274</v>
      </c>
      <c r="D15" s="33"/>
      <c r="E15" s="33" t="s">
        <v>1258</v>
      </c>
      <c r="F15" s="2">
        <v>2.8664900000000002</v>
      </c>
      <c r="G15" s="2">
        <v>2.4274499999999999</v>
      </c>
    </row>
    <row r="16" spans="1:7" x14ac:dyDescent="0.25">
      <c r="A16" s="40" t="s">
        <v>782</v>
      </c>
      <c r="B16" s="40" t="s">
        <v>1275</v>
      </c>
      <c r="C16" s="40" t="s">
        <v>1276</v>
      </c>
      <c r="D16" s="40"/>
      <c r="E16" s="40" t="s">
        <v>1258</v>
      </c>
      <c r="F16" s="4">
        <v>1.8044</v>
      </c>
      <c r="G16" s="4">
        <v>0.20596999999999999</v>
      </c>
    </row>
  </sheetData>
  <sheetProtection formatColumns="0" formatRows="0"/>
  <hyperlinks>
    <hyperlink ref="A1" location="TOC!A1" display="Table of Contents" xr:uid="{648B243E-5A73-4D58-A1D1-8928CDE1F7FA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6"/>
  <dimension ref="A1:G16"/>
  <sheetViews>
    <sheetView topLeftCell="B1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140625" customWidth="1"/>
    <col min="2" max="2" width="11.140625" bestFit="1" customWidth="1"/>
    <col min="3" max="3" width="125.7109375" customWidth="1"/>
    <col min="4" max="4" width="10.7109375" customWidth="1"/>
    <col min="5" max="5" width="27.28515625" customWidth="1"/>
  </cols>
  <sheetData>
    <row r="1" spans="1:7" x14ac:dyDescent="0.25">
      <c r="A1" s="141" t="s">
        <v>316</v>
      </c>
      <c r="B1" s="32" t="s">
        <v>331</v>
      </c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x14ac:dyDescent="0.25">
      <c r="A3" s="34" t="s">
        <v>96</v>
      </c>
      <c r="B3" s="33"/>
      <c r="C3" s="33"/>
      <c r="D3" s="33"/>
      <c r="E3" s="33"/>
      <c r="F3" s="33"/>
      <c r="G3" s="33"/>
    </row>
    <row r="4" spans="1:7" x14ac:dyDescent="0.25">
      <c r="A4" s="34" t="s">
        <v>97</v>
      </c>
      <c r="B4" s="33"/>
      <c r="C4" s="33"/>
      <c r="D4" s="33"/>
      <c r="E4" s="33"/>
      <c r="F4" s="33"/>
      <c r="G4" s="33"/>
    </row>
    <row r="5" spans="1:7" x14ac:dyDescent="0.25">
      <c r="A5" s="33"/>
      <c r="B5" s="33"/>
      <c r="C5" s="33"/>
      <c r="D5" s="33"/>
      <c r="E5" s="33"/>
      <c r="F5" s="33"/>
      <c r="G5" s="33"/>
    </row>
    <row r="6" spans="1:7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897</v>
      </c>
      <c r="F6" s="65" t="s">
        <v>775</v>
      </c>
      <c r="G6" s="65" t="s">
        <v>776</v>
      </c>
    </row>
    <row r="7" spans="1:7" x14ac:dyDescent="0.25">
      <c r="A7" s="33" t="s">
        <v>782</v>
      </c>
      <c r="B7" s="33" t="s">
        <v>1277</v>
      </c>
      <c r="C7" s="33" t="s">
        <v>1278</v>
      </c>
      <c r="D7" s="33" t="s">
        <v>926</v>
      </c>
      <c r="E7" s="33" t="s">
        <v>1258</v>
      </c>
      <c r="F7" s="2">
        <v>1.4250100000000001</v>
      </c>
      <c r="G7" s="2">
        <v>-0.65869999999999995</v>
      </c>
    </row>
    <row r="8" spans="1:7" x14ac:dyDescent="0.25">
      <c r="A8" s="33" t="s">
        <v>782</v>
      </c>
      <c r="B8" s="33" t="s">
        <v>1279</v>
      </c>
      <c r="C8" s="33" t="s">
        <v>1280</v>
      </c>
      <c r="D8" s="33" t="s">
        <v>926</v>
      </c>
      <c r="E8" s="33" t="s">
        <v>1258</v>
      </c>
      <c r="F8" s="2">
        <v>1.6506400000000001</v>
      </c>
      <c r="G8" s="2">
        <v>-0.61246</v>
      </c>
    </row>
    <row r="9" spans="1:7" x14ac:dyDescent="0.25">
      <c r="A9" s="33" t="s">
        <v>782</v>
      </c>
      <c r="B9" s="33" t="s">
        <v>1281</v>
      </c>
      <c r="C9" s="33" t="s">
        <v>1282</v>
      </c>
      <c r="D9" s="33" t="s">
        <v>926</v>
      </c>
      <c r="E9" s="33" t="s">
        <v>1258</v>
      </c>
      <c r="F9" s="2">
        <v>1.1466499999999999</v>
      </c>
      <c r="G9" s="2">
        <v>0.73717999999999984</v>
      </c>
    </row>
    <row r="10" spans="1:7" x14ac:dyDescent="0.25">
      <c r="A10" s="33" t="s">
        <v>782</v>
      </c>
      <c r="B10" s="33" t="s">
        <v>1283</v>
      </c>
      <c r="C10" s="33" t="s">
        <v>1284</v>
      </c>
      <c r="D10" s="33" t="s">
        <v>926</v>
      </c>
      <c r="E10" s="33" t="s">
        <v>1258</v>
      </c>
      <c r="F10" s="2">
        <v>2.1397599999999999</v>
      </c>
      <c r="G10" s="2">
        <v>-0.27855000000000002</v>
      </c>
    </row>
    <row r="11" spans="1:7" x14ac:dyDescent="0.25">
      <c r="A11" s="33" t="s">
        <v>782</v>
      </c>
      <c r="B11" s="33" t="s">
        <v>1285</v>
      </c>
      <c r="C11" s="33" t="s">
        <v>1286</v>
      </c>
      <c r="D11" s="33" t="s">
        <v>926</v>
      </c>
      <c r="E11" s="33" t="s">
        <v>1258</v>
      </c>
      <c r="F11" s="2">
        <v>1.6549799999999999</v>
      </c>
      <c r="G11" s="2">
        <v>0.34729999999999989</v>
      </c>
    </row>
    <row r="12" spans="1:7" x14ac:dyDescent="0.25">
      <c r="A12" s="33" t="s">
        <v>782</v>
      </c>
      <c r="B12" s="33" t="s">
        <v>1287</v>
      </c>
      <c r="C12" s="33" t="s">
        <v>1288</v>
      </c>
      <c r="D12" s="33" t="s">
        <v>926</v>
      </c>
      <c r="E12" s="33" t="s">
        <v>1258</v>
      </c>
      <c r="F12" s="2">
        <v>1.62687</v>
      </c>
      <c r="G12" s="2">
        <v>0.46523999999999999</v>
      </c>
    </row>
    <row r="13" spans="1:7" x14ac:dyDescent="0.25">
      <c r="A13" s="33" t="s">
        <v>782</v>
      </c>
      <c r="B13" s="33" t="s">
        <v>1289</v>
      </c>
      <c r="C13" s="33" t="s">
        <v>1290</v>
      </c>
      <c r="D13" s="33"/>
      <c r="E13" s="33" t="s">
        <v>1258</v>
      </c>
      <c r="F13" s="2">
        <v>2.7503099999999998</v>
      </c>
      <c r="G13" s="2">
        <v>3.4542200000000012</v>
      </c>
    </row>
    <row r="14" spans="1:7" x14ac:dyDescent="0.25">
      <c r="A14" s="33" t="s">
        <v>782</v>
      </c>
      <c r="B14" s="33" t="s">
        <v>1291</v>
      </c>
      <c r="C14" s="33" t="s">
        <v>1292</v>
      </c>
      <c r="D14" s="33"/>
      <c r="E14" s="33" t="s">
        <v>1258</v>
      </c>
      <c r="F14" s="2">
        <v>4.0945400000000012</v>
      </c>
      <c r="G14" s="2">
        <v>6.3806900000000013</v>
      </c>
    </row>
    <row r="15" spans="1:7" x14ac:dyDescent="0.25">
      <c r="A15" s="33" t="s">
        <v>782</v>
      </c>
      <c r="B15" s="33" t="s">
        <v>1293</v>
      </c>
      <c r="C15" s="33" t="s">
        <v>1294</v>
      </c>
      <c r="D15" s="33"/>
      <c r="E15" s="33" t="s">
        <v>1258</v>
      </c>
      <c r="F15" s="2">
        <v>3.62791</v>
      </c>
      <c r="G15" s="2">
        <v>5.8027599999999984</v>
      </c>
    </row>
    <row r="16" spans="1:7" x14ac:dyDescent="0.25">
      <c r="A16" s="40" t="s">
        <v>782</v>
      </c>
      <c r="B16" s="40" t="s">
        <v>1295</v>
      </c>
      <c r="C16" s="40" t="s">
        <v>1296</v>
      </c>
      <c r="D16" s="40"/>
      <c r="E16" s="40" t="s">
        <v>1258</v>
      </c>
      <c r="F16" s="4">
        <v>1.4658199999999999</v>
      </c>
      <c r="G16" s="4">
        <v>0.11562</v>
      </c>
    </row>
  </sheetData>
  <sheetProtection formatColumns="0" formatRows="0"/>
  <hyperlinks>
    <hyperlink ref="A1" location="TOC!A1" display="Table of Contents" xr:uid="{71E28E9C-91A6-480D-9233-FB6DB7E5638F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7"/>
  <dimension ref="A1:I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42578125" customWidth="1"/>
    <col min="2" max="2" width="11.140625" bestFit="1" customWidth="1"/>
    <col min="3" max="3" width="105.42578125" bestFit="1" customWidth="1"/>
  </cols>
  <sheetData>
    <row r="1" spans="1:9" x14ac:dyDescent="0.25">
      <c r="A1" s="141" t="s">
        <v>316</v>
      </c>
      <c r="B1" s="32" t="s">
        <v>334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98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99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1297</v>
      </c>
      <c r="C7" s="33" t="s">
        <v>1298</v>
      </c>
      <c r="D7" s="53" t="s">
        <v>926</v>
      </c>
      <c r="E7" s="2">
        <v>1.7474000000000001</v>
      </c>
      <c r="F7" s="2">
        <v>-4.4970000000000003E-2</v>
      </c>
      <c r="G7" s="2">
        <v>-2.1213299999999999</v>
      </c>
      <c r="H7" s="2">
        <v>-0.91171000000000002</v>
      </c>
      <c r="I7" s="2">
        <v>3.0330400000000002</v>
      </c>
    </row>
    <row r="8" spans="1:9" x14ac:dyDescent="0.25">
      <c r="A8" s="33" t="s">
        <v>782</v>
      </c>
      <c r="B8" s="33" t="s">
        <v>1299</v>
      </c>
      <c r="C8" s="33" t="s">
        <v>1300</v>
      </c>
      <c r="D8" s="53" t="s">
        <v>926</v>
      </c>
      <c r="E8" s="2">
        <v>2.1187999999999998</v>
      </c>
      <c r="F8" s="2">
        <v>-0.24</v>
      </c>
      <c r="G8" s="2">
        <v>-2.7236699999999998</v>
      </c>
      <c r="H8" s="2">
        <v>-0.92754999999999999</v>
      </c>
      <c r="I8" s="2">
        <v>3.6512200000000008</v>
      </c>
    </row>
    <row r="9" spans="1:9" x14ac:dyDescent="0.25">
      <c r="A9" s="33" t="s">
        <v>782</v>
      </c>
      <c r="B9" s="33" t="s">
        <v>1301</v>
      </c>
      <c r="C9" s="33" t="s">
        <v>1302</v>
      </c>
      <c r="D9" s="53" t="s">
        <v>926</v>
      </c>
      <c r="E9" s="2">
        <v>1.23844</v>
      </c>
      <c r="F9" s="2">
        <v>0.54573000000000005</v>
      </c>
      <c r="G9" s="2">
        <v>-1.9115899999999999</v>
      </c>
      <c r="H9" s="2">
        <v>-0.60630999999999979</v>
      </c>
      <c r="I9" s="2">
        <v>2.5179</v>
      </c>
    </row>
    <row r="10" spans="1:9" x14ac:dyDescent="0.25">
      <c r="A10" s="33" t="s">
        <v>782</v>
      </c>
      <c r="B10" s="33" t="s">
        <v>1303</v>
      </c>
      <c r="C10" s="33" t="s">
        <v>1304</v>
      </c>
      <c r="D10" s="53" t="s">
        <v>926</v>
      </c>
      <c r="E10" s="2">
        <v>2.00143</v>
      </c>
      <c r="F10" s="2">
        <v>-2.6450000000000001E-2</v>
      </c>
      <c r="G10" s="2">
        <v>-2.8827999999999991</v>
      </c>
      <c r="H10" s="2">
        <v>-1.0360400000000001</v>
      </c>
      <c r="I10" s="2">
        <v>3.9188399999999999</v>
      </c>
    </row>
    <row r="11" spans="1:9" x14ac:dyDescent="0.25">
      <c r="A11" s="33" t="s">
        <v>782</v>
      </c>
      <c r="B11" s="33" t="s">
        <v>1305</v>
      </c>
      <c r="C11" s="33" t="s">
        <v>1306</v>
      </c>
      <c r="D11" s="53" t="s">
        <v>926</v>
      </c>
      <c r="E11" s="2">
        <v>2.08657</v>
      </c>
      <c r="F11" s="2">
        <v>4.9519999999999988E-2</v>
      </c>
      <c r="G11" s="2">
        <v>-2.846779999999999</v>
      </c>
      <c r="H11" s="2">
        <v>-1.03573</v>
      </c>
      <c r="I11" s="2">
        <v>3.8825099999999999</v>
      </c>
    </row>
    <row r="12" spans="1:9" x14ac:dyDescent="0.25">
      <c r="A12" s="33" t="s">
        <v>782</v>
      </c>
      <c r="B12" s="33" t="s">
        <v>1307</v>
      </c>
      <c r="C12" s="33" t="s">
        <v>1308</v>
      </c>
      <c r="D12" s="53" t="s">
        <v>926</v>
      </c>
      <c r="E12" s="2">
        <v>1.46113</v>
      </c>
      <c r="F12" s="2">
        <v>-0.13508000000000001</v>
      </c>
      <c r="G12" s="2">
        <v>-2.19774</v>
      </c>
      <c r="H12" s="2">
        <v>-0.9153199999999998</v>
      </c>
      <c r="I12" s="2">
        <v>3.1130600000000008</v>
      </c>
    </row>
    <row r="13" spans="1:9" x14ac:dyDescent="0.25">
      <c r="A13" s="40" t="s">
        <v>782</v>
      </c>
      <c r="B13" s="40" t="s">
        <v>1309</v>
      </c>
      <c r="C13" s="40" t="s">
        <v>1310</v>
      </c>
      <c r="D13" s="78"/>
      <c r="E13" s="4">
        <v>1.58439</v>
      </c>
      <c r="F13" s="4">
        <v>0.65795000000000003</v>
      </c>
      <c r="G13" s="4">
        <v>-2.324619999999999</v>
      </c>
      <c r="H13" s="4">
        <v>-0.71913000000000005</v>
      </c>
      <c r="I13" s="4">
        <v>3.0437500000000002</v>
      </c>
    </row>
  </sheetData>
  <sheetProtection formatColumns="0" formatRows="0"/>
  <hyperlinks>
    <hyperlink ref="A1" location="TOC!A1" display="Table of Contents" xr:uid="{A636D16F-F5D8-4262-9AB8-8BA075EB839D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8"/>
  <dimension ref="A1:J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3.7109375" bestFit="1" customWidth="1"/>
    <col min="2" max="2" width="11.140625" bestFit="1" customWidth="1"/>
    <col min="3" max="3" width="110.7109375" customWidth="1"/>
    <col min="4" max="4" width="10.7109375" customWidth="1"/>
  </cols>
  <sheetData>
    <row r="1" spans="1:10" x14ac:dyDescent="0.25">
      <c r="A1" s="141" t="s">
        <v>316</v>
      </c>
      <c r="B1" s="32" t="s">
        <v>330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100</v>
      </c>
      <c r="B3" s="34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101</v>
      </c>
      <c r="B4" s="34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</row>
    <row r="7" spans="1:10" x14ac:dyDescent="0.25">
      <c r="A7" s="33" t="s">
        <v>782</v>
      </c>
      <c r="B7" s="33" t="s">
        <v>1311</v>
      </c>
      <c r="C7" s="33" t="s">
        <v>1312</v>
      </c>
      <c r="D7" s="33" t="s">
        <v>926</v>
      </c>
      <c r="E7" s="2">
        <v>1.11772</v>
      </c>
      <c r="F7" s="2">
        <v>-0.2346</v>
      </c>
      <c r="G7" s="2">
        <v>-0.86873</v>
      </c>
      <c r="H7" s="2">
        <v>-1.0042899999999999</v>
      </c>
      <c r="I7" s="2">
        <v>0.27361999999999997</v>
      </c>
      <c r="J7" s="2">
        <v>1.5993999999999999</v>
      </c>
    </row>
    <row r="8" spans="1:10" x14ac:dyDescent="0.25">
      <c r="A8" s="33" t="s">
        <v>782</v>
      </c>
      <c r="B8" s="33" t="s">
        <v>1313</v>
      </c>
      <c r="C8" s="33" t="s">
        <v>1314</v>
      </c>
      <c r="D8" s="33" t="s">
        <v>926</v>
      </c>
      <c r="E8" s="2">
        <v>1.8812</v>
      </c>
      <c r="F8" s="2">
        <v>1.7610000000000001E-2</v>
      </c>
      <c r="G8" s="2">
        <v>-1.5495300000000001</v>
      </c>
      <c r="H8" s="2">
        <v>-1.2507999999999999</v>
      </c>
      <c r="I8" s="2">
        <v>0.43858000000000003</v>
      </c>
      <c r="J8" s="2">
        <v>2.3617499999999998</v>
      </c>
    </row>
    <row r="9" spans="1:10" x14ac:dyDescent="0.25">
      <c r="A9" s="33" t="s">
        <v>782</v>
      </c>
      <c r="B9" s="33" t="s">
        <v>1315</v>
      </c>
      <c r="C9" s="33" t="s">
        <v>1316</v>
      </c>
      <c r="D9" s="33" t="s">
        <v>926</v>
      </c>
      <c r="E9" s="2">
        <v>2.4879600000000011</v>
      </c>
      <c r="F9" s="2">
        <v>0.23135</v>
      </c>
      <c r="G9" s="2">
        <v>-1.90421</v>
      </c>
      <c r="H9" s="2">
        <v>-1.56016</v>
      </c>
      <c r="I9" s="2">
        <v>0.50163000000000002</v>
      </c>
      <c r="J9" s="2">
        <v>2.9627400000000002</v>
      </c>
    </row>
    <row r="10" spans="1:10" x14ac:dyDescent="0.25">
      <c r="A10" s="40" t="s">
        <v>782</v>
      </c>
      <c r="B10" s="40" t="s">
        <v>1317</v>
      </c>
      <c r="C10" s="40" t="s">
        <v>1318</v>
      </c>
      <c r="D10" s="40" t="s">
        <v>926</v>
      </c>
      <c r="E10" s="4">
        <v>1.3131299999999999</v>
      </c>
      <c r="F10" s="4">
        <v>-1.436E-2</v>
      </c>
      <c r="G10" s="4">
        <v>-0.84072999999999998</v>
      </c>
      <c r="H10" s="4">
        <v>-1.1019000000000001</v>
      </c>
      <c r="I10" s="4">
        <v>0.23280000000000001</v>
      </c>
      <c r="J10" s="4">
        <v>1.70983</v>
      </c>
    </row>
  </sheetData>
  <sheetProtection formatColumns="0" formatRows="0"/>
  <hyperlinks>
    <hyperlink ref="A1" location="TOC!A1" display="Table of Contents" xr:uid="{6D786195-00E9-4D40-9726-FE22F2C4C20D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49"/>
  <dimension ref="A1:J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7109375" customWidth="1"/>
    <col min="2" max="2" width="11.140625" bestFit="1" customWidth="1"/>
    <col min="3" max="3" width="110.7109375" customWidth="1"/>
    <col min="4" max="4" width="9.42578125" customWidth="1"/>
  </cols>
  <sheetData>
    <row r="1" spans="1:10" x14ac:dyDescent="0.25">
      <c r="A1" s="141" t="s">
        <v>316</v>
      </c>
      <c r="B1" s="32" t="s">
        <v>333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102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103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</row>
    <row r="7" spans="1:10" x14ac:dyDescent="0.25">
      <c r="A7" s="33" t="s">
        <v>782</v>
      </c>
      <c r="B7" s="33" t="s">
        <v>1319</v>
      </c>
      <c r="C7" s="33" t="s">
        <v>1320</v>
      </c>
      <c r="D7" s="33" t="s">
        <v>926</v>
      </c>
      <c r="E7" s="2">
        <v>1.0901099999999999</v>
      </c>
      <c r="F7" s="2">
        <v>8.974E-2</v>
      </c>
      <c r="G7" s="2">
        <v>-0.47737000000000002</v>
      </c>
      <c r="H7" s="2">
        <v>-0.88839999999999997</v>
      </c>
      <c r="I7" s="2">
        <v>0.1096</v>
      </c>
      <c r="J7" s="2">
        <v>1.25617</v>
      </c>
    </row>
    <row r="8" spans="1:10" x14ac:dyDescent="0.25">
      <c r="A8" s="33" t="s">
        <v>782</v>
      </c>
      <c r="B8" s="33" t="s">
        <v>1321</v>
      </c>
      <c r="C8" s="33" t="s">
        <v>1322</v>
      </c>
      <c r="D8" s="33" t="s">
        <v>926</v>
      </c>
      <c r="E8" s="2">
        <v>2.0844299999999998</v>
      </c>
      <c r="F8" s="2">
        <v>-0.27885999999999989</v>
      </c>
      <c r="G8" s="2">
        <v>-1.6819500000000009</v>
      </c>
      <c r="H8" s="2">
        <v>-1.1743600000000001</v>
      </c>
      <c r="I8" s="2">
        <v>0.37591000000000002</v>
      </c>
      <c r="J8" s="2">
        <v>2.4803999999999999</v>
      </c>
    </row>
    <row r="9" spans="1:10" x14ac:dyDescent="0.25">
      <c r="A9" s="33" t="s">
        <v>782</v>
      </c>
      <c r="B9" s="33" t="s">
        <v>1323</v>
      </c>
      <c r="C9" s="33" t="s">
        <v>1324</v>
      </c>
      <c r="D9" s="33" t="s">
        <v>926</v>
      </c>
      <c r="E9" s="2">
        <v>2.0482100000000001</v>
      </c>
      <c r="F9" s="2">
        <v>6.9540000000000018E-2</v>
      </c>
      <c r="G9" s="2">
        <v>-1.4337800000000001</v>
      </c>
      <c r="H9" s="2">
        <v>-1.28077</v>
      </c>
      <c r="I9" s="2">
        <v>0.33206999999999992</v>
      </c>
      <c r="J9" s="2">
        <v>2.382480000000001</v>
      </c>
    </row>
    <row r="10" spans="1:10" x14ac:dyDescent="0.25">
      <c r="A10" s="33" t="s">
        <v>782</v>
      </c>
      <c r="B10" s="33" t="s">
        <v>1325</v>
      </c>
      <c r="C10" s="33" t="s">
        <v>1326</v>
      </c>
      <c r="D10" s="33" t="s">
        <v>926</v>
      </c>
      <c r="E10" s="2">
        <v>2.080610000000001</v>
      </c>
      <c r="F10" s="2">
        <v>0.10987</v>
      </c>
      <c r="G10" s="2">
        <v>-1.5488299999999999</v>
      </c>
      <c r="H10" s="2">
        <v>-1.3106100000000001</v>
      </c>
      <c r="I10" s="2">
        <v>0.30464000000000008</v>
      </c>
      <c r="J10" s="2">
        <v>2.5548000000000002</v>
      </c>
    </row>
    <row r="11" spans="1:10" x14ac:dyDescent="0.25">
      <c r="A11" s="33" t="s">
        <v>782</v>
      </c>
      <c r="B11" s="33" t="s">
        <v>1327</v>
      </c>
      <c r="C11" s="33" t="s">
        <v>1328</v>
      </c>
      <c r="D11" s="33" t="s">
        <v>926</v>
      </c>
      <c r="E11" s="2">
        <v>1.56477</v>
      </c>
      <c r="F11" s="2">
        <v>0.2495</v>
      </c>
      <c r="G11" s="2">
        <v>-0.93558000000000019</v>
      </c>
      <c r="H11" s="2">
        <v>-1.23556</v>
      </c>
      <c r="I11" s="2">
        <v>0.21601000000000001</v>
      </c>
      <c r="J11" s="2">
        <v>1.95513</v>
      </c>
    </row>
    <row r="12" spans="1:10" x14ac:dyDescent="0.25">
      <c r="A12" s="33" t="s">
        <v>782</v>
      </c>
      <c r="B12" s="33" t="s">
        <v>1329</v>
      </c>
      <c r="C12" s="33" t="s">
        <v>1330</v>
      </c>
      <c r="D12" s="33" t="s">
        <v>926</v>
      </c>
      <c r="E12" s="2">
        <v>1.0667599999999999</v>
      </c>
      <c r="F12" s="2">
        <v>0.25990999999999997</v>
      </c>
      <c r="G12" s="2">
        <v>-0.76051999999999997</v>
      </c>
      <c r="H12" s="2">
        <v>-0.97982999999999998</v>
      </c>
      <c r="I12" s="2">
        <v>0.30206</v>
      </c>
      <c r="J12" s="2">
        <v>1.4382900000000001</v>
      </c>
    </row>
    <row r="13" spans="1:10" x14ac:dyDescent="0.25">
      <c r="A13" s="33" t="s">
        <v>782</v>
      </c>
      <c r="B13" s="33" t="s">
        <v>1331</v>
      </c>
      <c r="C13" s="33" t="s">
        <v>1332</v>
      </c>
      <c r="D13" s="33" t="s">
        <v>926</v>
      </c>
      <c r="E13" s="2">
        <v>1.1462699999999999</v>
      </c>
      <c r="F13" s="2">
        <v>-0.22553000000000001</v>
      </c>
      <c r="G13" s="2">
        <v>-0.39709</v>
      </c>
      <c r="H13" s="2">
        <v>-0.84455000000000013</v>
      </c>
      <c r="I13" s="2">
        <v>4.36E-2</v>
      </c>
      <c r="J13" s="2">
        <v>1.19804</v>
      </c>
    </row>
    <row r="14" spans="1:10" x14ac:dyDescent="0.25">
      <c r="A14" s="40" t="s">
        <v>782</v>
      </c>
      <c r="B14" s="40" t="s">
        <v>1333</v>
      </c>
      <c r="C14" s="40" t="s">
        <v>1334</v>
      </c>
      <c r="D14" s="40" t="s">
        <v>926</v>
      </c>
      <c r="E14" s="4">
        <v>1.61226</v>
      </c>
      <c r="F14" s="4">
        <v>-6.2680000000000013E-2</v>
      </c>
      <c r="G14" s="4">
        <v>-0.92947000000000002</v>
      </c>
      <c r="H14" s="4">
        <v>-1.0853699999999999</v>
      </c>
      <c r="I14" s="4">
        <v>0.16322</v>
      </c>
      <c r="J14" s="4">
        <v>1.85162</v>
      </c>
    </row>
  </sheetData>
  <sheetProtection formatColumns="0" formatRows="0"/>
  <hyperlinks>
    <hyperlink ref="A1" location="TOC!A1" display="Table of Contents" xr:uid="{558FD3C3-CD0D-4A16-BF43-B0712B1775BD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0"/>
  <dimension ref="A1:K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7109375" customWidth="1"/>
    <col min="2" max="2" width="11.140625" bestFit="1" customWidth="1"/>
    <col min="3" max="3" width="143.7109375" customWidth="1"/>
    <col min="4" max="4" width="9.42578125" customWidth="1"/>
  </cols>
  <sheetData>
    <row r="1" spans="1:11" x14ac:dyDescent="0.25">
      <c r="A1" s="141" t="s">
        <v>316</v>
      </c>
      <c r="B1" s="32" t="s">
        <v>337</v>
      </c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25">
      <c r="A3" s="34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5">
      <c r="A4" s="34" t="s">
        <v>105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  <c r="K6" s="65" t="s">
        <v>781</v>
      </c>
    </row>
    <row r="7" spans="1:11" x14ac:dyDescent="0.25">
      <c r="A7" s="33" t="s">
        <v>782</v>
      </c>
      <c r="B7" s="33" t="s">
        <v>1335</v>
      </c>
      <c r="C7" s="33" t="s">
        <v>1336</v>
      </c>
      <c r="D7" s="33" t="s">
        <v>926</v>
      </c>
      <c r="E7" s="2">
        <v>0.81645000000000001</v>
      </c>
      <c r="F7" s="2">
        <v>2.4670000000000001E-2</v>
      </c>
      <c r="G7" s="2">
        <v>-0.58270999999999995</v>
      </c>
      <c r="H7" s="2">
        <v>-0.55393999999999999</v>
      </c>
      <c r="I7" s="2">
        <v>0.31267000000000011</v>
      </c>
      <c r="J7" s="2">
        <v>0.62067000000000017</v>
      </c>
      <c r="K7" s="2">
        <v>0.20330999999999991</v>
      </c>
    </row>
    <row r="8" spans="1:11" x14ac:dyDescent="0.25">
      <c r="A8" s="33" t="s">
        <v>782</v>
      </c>
      <c r="B8" s="33" t="s">
        <v>1337</v>
      </c>
      <c r="C8" s="33" t="s">
        <v>1338</v>
      </c>
      <c r="D8" s="33" t="s">
        <v>926</v>
      </c>
      <c r="E8" s="2">
        <v>1.49814</v>
      </c>
      <c r="F8" s="2">
        <v>-0.53332999999999997</v>
      </c>
      <c r="G8" s="2">
        <v>-1.79687</v>
      </c>
      <c r="H8" s="2">
        <v>-0.94154000000000004</v>
      </c>
      <c r="I8" s="2">
        <v>0.51998</v>
      </c>
      <c r="J8" s="2">
        <v>1.1229100000000001</v>
      </c>
      <c r="K8" s="2">
        <v>1.09552</v>
      </c>
    </row>
    <row r="9" spans="1:11" x14ac:dyDescent="0.25">
      <c r="A9" s="33" t="s">
        <v>782</v>
      </c>
      <c r="B9" s="33" t="s">
        <v>1339</v>
      </c>
      <c r="C9" s="33" t="s">
        <v>1340</v>
      </c>
      <c r="D9" s="33" t="s">
        <v>926</v>
      </c>
      <c r="E9" s="2">
        <v>1.89334</v>
      </c>
      <c r="F9" s="2">
        <v>-0.49641999999999997</v>
      </c>
      <c r="G9" s="2">
        <v>-2.1912500000000001</v>
      </c>
      <c r="H9" s="2">
        <v>-0.85670000000000002</v>
      </c>
      <c r="I9" s="2">
        <v>0.5213000000000001</v>
      </c>
      <c r="J9" s="2">
        <v>1.22848</v>
      </c>
      <c r="K9" s="2">
        <v>1.29817</v>
      </c>
    </row>
    <row r="10" spans="1:11" x14ac:dyDescent="0.25">
      <c r="A10" s="33" t="s">
        <v>782</v>
      </c>
      <c r="B10" s="33" t="s">
        <v>1341</v>
      </c>
      <c r="C10" s="33" t="s">
        <v>1342</v>
      </c>
      <c r="D10" s="33" t="s">
        <v>926</v>
      </c>
      <c r="E10" s="2">
        <v>2.86355</v>
      </c>
      <c r="F10" s="2">
        <v>0.15354999999999999</v>
      </c>
      <c r="G10" s="2">
        <v>-2.77481</v>
      </c>
      <c r="H10" s="2">
        <v>-0.50173999999999996</v>
      </c>
      <c r="I10" s="2">
        <v>0.24343999999999999</v>
      </c>
      <c r="J10" s="2">
        <v>1.2288300000000001</v>
      </c>
      <c r="K10" s="2">
        <v>1.8042800000000001</v>
      </c>
    </row>
    <row r="11" spans="1:11" x14ac:dyDescent="0.25">
      <c r="A11" s="33" t="s">
        <v>782</v>
      </c>
      <c r="B11" s="33" t="s">
        <v>1343</v>
      </c>
      <c r="C11" s="33" t="s">
        <v>1344</v>
      </c>
      <c r="D11" s="33" t="s">
        <v>926</v>
      </c>
      <c r="E11" s="2">
        <v>1.6823300000000001</v>
      </c>
      <c r="F11" s="2">
        <v>-0.20091999999999999</v>
      </c>
      <c r="G11" s="2">
        <v>-1.6467000000000001</v>
      </c>
      <c r="H11" s="2">
        <v>-0.62397000000000014</v>
      </c>
      <c r="I11" s="2">
        <v>0.34028000000000003</v>
      </c>
      <c r="J11" s="2">
        <v>0.85414999999999985</v>
      </c>
      <c r="K11" s="2">
        <v>1.0762400000000001</v>
      </c>
    </row>
    <row r="12" spans="1:11" x14ac:dyDescent="0.25">
      <c r="A12" s="33" t="s">
        <v>782</v>
      </c>
      <c r="B12" s="33" t="s">
        <v>1345</v>
      </c>
      <c r="C12" s="33" t="s">
        <v>1346</v>
      </c>
      <c r="D12" s="33" t="s">
        <v>926</v>
      </c>
      <c r="E12" s="2">
        <v>2.3182</v>
      </c>
      <c r="F12" s="2">
        <v>2.538E-2</v>
      </c>
      <c r="G12" s="2">
        <v>-1.9280900000000001</v>
      </c>
      <c r="H12" s="2">
        <v>-0.53839000000000004</v>
      </c>
      <c r="I12" s="2">
        <v>0.32674999999999998</v>
      </c>
      <c r="J12" s="2">
        <v>0.93772999999999995</v>
      </c>
      <c r="K12" s="2">
        <v>1.202</v>
      </c>
    </row>
    <row r="13" spans="1:11" x14ac:dyDescent="0.25">
      <c r="A13" s="40" t="s">
        <v>782</v>
      </c>
      <c r="B13" s="40" t="s">
        <v>1347</v>
      </c>
      <c r="C13" s="40" t="s">
        <v>1348</v>
      </c>
      <c r="D13" s="40" t="s">
        <v>926</v>
      </c>
      <c r="E13" s="4">
        <v>2.125160000000001</v>
      </c>
      <c r="F13" s="4">
        <v>0.12421</v>
      </c>
      <c r="G13" s="4">
        <v>-1.2501899999999999</v>
      </c>
      <c r="H13" s="4">
        <v>-0.44988</v>
      </c>
      <c r="I13" s="4">
        <v>0.14913000000000001</v>
      </c>
      <c r="J13" s="4">
        <v>0.69616</v>
      </c>
      <c r="K13" s="4">
        <v>0.85478000000000021</v>
      </c>
    </row>
  </sheetData>
  <sheetProtection formatColumns="0" formatRows="0"/>
  <hyperlinks>
    <hyperlink ref="A1" location="TOC!A1" display="Table of Contents" xr:uid="{2DB8C2B7-2BF1-47EE-8104-757663A8959E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1"/>
  <dimension ref="A1:K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1.140625" bestFit="1" customWidth="1"/>
    <col min="3" max="3" width="147.42578125" customWidth="1"/>
  </cols>
  <sheetData>
    <row r="1" spans="1:11" x14ac:dyDescent="0.25">
      <c r="A1" s="141" t="s">
        <v>316</v>
      </c>
      <c r="B1" s="32" t="s">
        <v>338</v>
      </c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25">
      <c r="A3" s="34" t="s">
        <v>106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5">
      <c r="A4" s="34" t="s">
        <v>107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  <c r="K6" s="65" t="s">
        <v>781</v>
      </c>
    </row>
    <row r="7" spans="1:11" x14ac:dyDescent="0.25">
      <c r="A7" s="33" t="s">
        <v>782</v>
      </c>
      <c r="B7" s="33" t="s">
        <v>1349</v>
      </c>
      <c r="C7" s="33" t="s">
        <v>1350</v>
      </c>
      <c r="D7" s="33" t="s">
        <v>926</v>
      </c>
      <c r="E7" s="2">
        <v>0.52239000000000013</v>
      </c>
      <c r="F7" s="2">
        <v>-0.13392000000000001</v>
      </c>
      <c r="G7" s="2">
        <v>-0.27194000000000002</v>
      </c>
      <c r="H7" s="2">
        <v>-0.52207000000000003</v>
      </c>
      <c r="I7" s="2">
        <v>0.17512</v>
      </c>
      <c r="J7" s="2">
        <v>0.53571000000000002</v>
      </c>
      <c r="K7" s="2">
        <v>8.3180000000000143E-2</v>
      </c>
    </row>
    <row r="8" spans="1:11" x14ac:dyDescent="0.25">
      <c r="A8" s="33" t="s">
        <v>782</v>
      </c>
      <c r="B8" s="33" t="s">
        <v>1351</v>
      </c>
      <c r="C8" s="33" t="s">
        <v>1352</v>
      </c>
      <c r="D8" s="33" t="s">
        <v>926</v>
      </c>
      <c r="E8" s="2">
        <v>1.1944699999999999</v>
      </c>
      <c r="F8" s="2">
        <v>-0.77493000000000001</v>
      </c>
      <c r="G8" s="2">
        <v>-1.6965699999999999</v>
      </c>
      <c r="H8" s="2">
        <v>-0.87970000000000004</v>
      </c>
      <c r="I8" s="2">
        <v>0.43535000000000001</v>
      </c>
      <c r="J8" s="2">
        <v>1.08788</v>
      </c>
      <c r="K8" s="2">
        <v>1.05304</v>
      </c>
    </row>
    <row r="9" spans="1:11" x14ac:dyDescent="0.25">
      <c r="A9" s="33" t="s">
        <v>782</v>
      </c>
      <c r="B9" s="33" t="s">
        <v>1353</v>
      </c>
      <c r="C9" s="33" t="s">
        <v>1354</v>
      </c>
      <c r="D9" s="33" t="s">
        <v>926</v>
      </c>
      <c r="E9" s="2">
        <v>1.45377</v>
      </c>
      <c r="F9" s="2">
        <v>-0.72204999999999997</v>
      </c>
      <c r="G9" s="2">
        <v>-1.9855700000000001</v>
      </c>
      <c r="H9" s="2">
        <v>-0.82094999999999996</v>
      </c>
      <c r="I9" s="2">
        <v>0.42637000000000003</v>
      </c>
      <c r="J9" s="2">
        <v>1.17737</v>
      </c>
      <c r="K9" s="2">
        <v>1.20278</v>
      </c>
    </row>
    <row r="10" spans="1:11" x14ac:dyDescent="0.25">
      <c r="A10" s="33" t="s">
        <v>782</v>
      </c>
      <c r="B10" s="33" t="s">
        <v>1355</v>
      </c>
      <c r="C10" s="33" t="s">
        <v>1356</v>
      </c>
      <c r="D10" s="33" t="s">
        <v>926</v>
      </c>
      <c r="E10" s="2">
        <v>1.98912</v>
      </c>
      <c r="F10" s="2">
        <v>-0.11817999999999999</v>
      </c>
      <c r="G10" s="2">
        <v>-2.3325499999999999</v>
      </c>
      <c r="H10" s="2">
        <v>-0.48831999999999992</v>
      </c>
      <c r="I10" s="2">
        <v>0.21789</v>
      </c>
      <c r="J10" s="2">
        <v>1.12198</v>
      </c>
      <c r="K10" s="2">
        <v>1.4810000000000001</v>
      </c>
    </row>
    <row r="11" spans="1:11" x14ac:dyDescent="0.25">
      <c r="A11" s="33" t="s">
        <v>782</v>
      </c>
      <c r="B11" s="33" t="s">
        <v>1357</v>
      </c>
      <c r="C11" s="33" t="s">
        <v>1358</v>
      </c>
      <c r="D11" s="33" t="s">
        <v>926</v>
      </c>
      <c r="E11" s="2">
        <v>1.9921899999999999</v>
      </c>
      <c r="F11" s="2">
        <v>-0.69498000000000004</v>
      </c>
      <c r="G11" s="2">
        <v>-2.1574800000000001</v>
      </c>
      <c r="H11" s="2">
        <v>-0.87639</v>
      </c>
      <c r="I11" s="2">
        <v>0.31235000000000002</v>
      </c>
      <c r="J11" s="2">
        <v>1.13042</v>
      </c>
      <c r="K11" s="2">
        <v>1.5911</v>
      </c>
    </row>
    <row r="12" spans="1:11" x14ac:dyDescent="0.25">
      <c r="A12" s="33" t="s">
        <v>782</v>
      </c>
      <c r="B12" s="33" t="s">
        <v>1359</v>
      </c>
      <c r="C12" s="33" t="s">
        <v>1360</v>
      </c>
      <c r="D12" s="33" t="s">
        <v>926</v>
      </c>
      <c r="E12" s="2">
        <v>1.27891</v>
      </c>
      <c r="F12" s="2">
        <v>-4.777E-2</v>
      </c>
      <c r="G12" s="2">
        <v>-1.3057399999999999</v>
      </c>
      <c r="H12" s="2">
        <v>-0.39594000000000001</v>
      </c>
      <c r="I12" s="2">
        <v>0.21942999999999999</v>
      </c>
      <c r="J12" s="2">
        <v>0.68823999999999996</v>
      </c>
      <c r="K12" s="2">
        <v>0.79400999999999999</v>
      </c>
    </row>
    <row r="13" spans="1:11" x14ac:dyDescent="0.25">
      <c r="A13" s="40" t="s">
        <v>782</v>
      </c>
      <c r="B13" s="40" t="s">
        <v>1361</v>
      </c>
      <c r="C13" s="40" t="s">
        <v>1362</v>
      </c>
      <c r="D13" s="40" t="s">
        <v>926</v>
      </c>
      <c r="E13" s="4">
        <v>1.1449800000000001</v>
      </c>
      <c r="F13" s="4">
        <v>9.5099999999999976E-3</v>
      </c>
      <c r="G13" s="4">
        <v>-0.75793000000000021</v>
      </c>
      <c r="H13" s="4">
        <v>-0.30174000000000001</v>
      </c>
      <c r="I13" s="4">
        <v>0.10589</v>
      </c>
      <c r="J13" s="4">
        <v>0.50460000000000005</v>
      </c>
      <c r="K13" s="4">
        <v>0.44918000000000008</v>
      </c>
    </row>
  </sheetData>
  <sheetProtection formatColumns="0" formatRows="0"/>
  <hyperlinks>
    <hyperlink ref="A1" location="TOC!A1" display="Table of Contents" xr:uid="{60F9475F-B75D-4CBE-B764-E59E8E8EB94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2"/>
  <dimension ref="A1:I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1.140625" bestFit="1" customWidth="1"/>
    <col min="3" max="3" width="107.7109375" customWidth="1"/>
  </cols>
  <sheetData>
    <row r="1" spans="1:9" x14ac:dyDescent="0.25">
      <c r="A1" s="141" t="s">
        <v>316</v>
      </c>
      <c r="B1" s="32" t="s">
        <v>335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108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109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1363</v>
      </c>
      <c r="C7" s="33" t="s">
        <v>1364</v>
      </c>
      <c r="D7" s="33" t="s">
        <v>926</v>
      </c>
      <c r="E7" s="2">
        <v>1.0628599999999999</v>
      </c>
      <c r="F7" s="2">
        <v>0.33170000000000011</v>
      </c>
      <c r="G7" s="2">
        <v>-1.24434</v>
      </c>
      <c r="H7" s="2">
        <v>0.17476</v>
      </c>
      <c r="I7" s="2">
        <v>1.06958</v>
      </c>
    </row>
    <row r="8" spans="1:9" x14ac:dyDescent="0.25">
      <c r="A8" s="33" t="s">
        <v>782</v>
      </c>
      <c r="B8" s="33" t="s">
        <v>1365</v>
      </c>
      <c r="C8" s="33" t="s">
        <v>1366</v>
      </c>
      <c r="D8" s="33" t="s">
        <v>926</v>
      </c>
      <c r="E8" s="2">
        <v>0.95408000000000015</v>
      </c>
      <c r="F8" s="2">
        <v>0.25305</v>
      </c>
      <c r="G8" s="2">
        <v>-1.2807500000000001</v>
      </c>
      <c r="H8" s="2">
        <v>-9.2200000000000008E-3</v>
      </c>
      <c r="I8" s="2">
        <v>1.2899700000000001</v>
      </c>
    </row>
    <row r="9" spans="1:9" x14ac:dyDescent="0.25">
      <c r="A9" s="33" t="s">
        <v>782</v>
      </c>
      <c r="B9" s="33" t="s">
        <v>1367</v>
      </c>
      <c r="C9" s="33" t="s">
        <v>1368</v>
      </c>
      <c r="D9" s="33" t="s">
        <v>926</v>
      </c>
      <c r="E9" s="2">
        <v>0.40737000000000012</v>
      </c>
      <c r="F9" s="2">
        <v>-0.48298999999999992</v>
      </c>
      <c r="G9" s="2">
        <v>-0.51731999999999989</v>
      </c>
      <c r="H9" s="2">
        <v>-0.96958999999999995</v>
      </c>
      <c r="I9" s="2">
        <v>1.48691</v>
      </c>
    </row>
    <row r="10" spans="1:9" x14ac:dyDescent="0.25">
      <c r="A10" s="33" t="s">
        <v>782</v>
      </c>
      <c r="B10" s="33" t="s">
        <v>1369</v>
      </c>
      <c r="C10" s="33" t="s">
        <v>1370</v>
      </c>
      <c r="D10" s="33" t="s">
        <v>926</v>
      </c>
      <c r="E10" s="2">
        <v>2.8302999999999998</v>
      </c>
      <c r="F10" s="2">
        <v>-9.6930000000000002E-2</v>
      </c>
      <c r="G10" s="2">
        <v>-3.21245</v>
      </c>
      <c r="H10" s="2">
        <v>-3.603E-2</v>
      </c>
      <c r="I10" s="2">
        <v>3.2484799999999998</v>
      </c>
    </row>
    <row r="11" spans="1:9" x14ac:dyDescent="0.25">
      <c r="A11" s="33" t="s">
        <v>782</v>
      </c>
      <c r="B11" s="33" t="s">
        <v>1371</v>
      </c>
      <c r="C11" s="33" t="s">
        <v>1372</v>
      </c>
      <c r="D11" s="33" t="s">
        <v>926</v>
      </c>
      <c r="E11" s="2">
        <v>2.4664600000000001</v>
      </c>
      <c r="F11" s="2">
        <v>-0.25553999999999988</v>
      </c>
      <c r="G11" s="2">
        <v>-2.814249999999999</v>
      </c>
      <c r="H11" s="2">
        <v>-0.19996</v>
      </c>
      <c r="I11" s="2">
        <v>3.0142099999999998</v>
      </c>
    </row>
    <row r="12" spans="1:9" x14ac:dyDescent="0.25">
      <c r="A12" s="40" t="s">
        <v>782</v>
      </c>
      <c r="B12" s="40" t="s">
        <v>1373</v>
      </c>
      <c r="C12" s="40" t="s">
        <v>1374</v>
      </c>
      <c r="D12" s="40" t="s">
        <v>926</v>
      </c>
      <c r="E12" s="4">
        <v>1.2547900000000001</v>
      </c>
      <c r="F12" s="4">
        <v>2.7040000000000008E-2</v>
      </c>
      <c r="G12" s="4">
        <v>-1.4312</v>
      </c>
      <c r="H12" s="4">
        <v>-0.34750999999999999</v>
      </c>
      <c r="I12" s="4">
        <v>1.77871</v>
      </c>
    </row>
    <row r="13" spans="1:9" x14ac:dyDescent="0.25">
      <c r="A13" s="33"/>
      <c r="B13" s="33"/>
      <c r="C13" s="33"/>
      <c r="D13" s="53"/>
      <c r="E13" s="53"/>
      <c r="F13" s="53"/>
      <c r="G13" s="53"/>
      <c r="H13" s="53"/>
      <c r="I13" s="33"/>
    </row>
    <row r="14" spans="1:9" x14ac:dyDescent="0.25">
      <c r="A14" s="33"/>
      <c r="B14" s="33"/>
      <c r="C14" s="33"/>
      <c r="D14" s="53"/>
      <c r="E14" s="53"/>
      <c r="F14" s="53"/>
      <c r="G14" s="53"/>
      <c r="H14" s="53"/>
      <c r="I14" s="33"/>
    </row>
  </sheetData>
  <sheetProtection formatColumns="0" formatRows="0"/>
  <hyperlinks>
    <hyperlink ref="A1" location="TOC!A1" display="Table of Contents" xr:uid="{DC28295E-C77B-4A03-9A06-04BE6113875D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3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.28515625" customWidth="1"/>
    <col min="2" max="2" width="11.140625" bestFit="1" customWidth="1"/>
    <col min="3" max="3" width="87.42578125" bestFit="1" customWidth="1"/>
  </cols>
  <sheetData>
    <row r="1" spans="1:9" x14ac:dyDescent="0.25">
      <c r="A1" s="141" t="s">
        <v>316</v>
      </c>
      <c r="B1" s="32" t="s">
        <v>332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110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111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1375</v>
      </c>
      <c r="C7" s="33" t="s">
        <v>1376</v>
      </c>
      <c r="D7" s="33" t="s">
        <v>926</v>
      </c>
      <c r="E7" s="2">
        <v>1.5479099999999999</v>
      </c>
      <c r="F7" s="2">
        <v>-0.35642000000000001</v>
      </c>
      <c r="G7" s="2">
        <v>-2.1251500000000001</v>
      </c>
      <c r="H7" s="2">
        <v>-0.88083999999999996</v>
      </c>
      <c r="I7" s="2">
        <v>3.0059900000000011</v>
      </c>
    </row>
    <row r="8" spans="1:9" x14ac:dyDescent="0.25">
      <c r="A8" s="33" t="s">
        <v>782</v>
      </c>
      <c r="B8" s="33" t="s">
        <v>1377</v>
      </c>
      <c r="C8" s="33" t="s">
        <v>1378</v>
      </c>
      <c r="D8" s="33" t="s">
        <v>926</v>
      </c>
      <c r="E8" s="2">
        <v>1.7279500000000001</v>
      </c>
      <c r="F8" s="2">
        <v>-0.39805000000000001</v>
      </c>
      <c r="G8" s="2">
        <v>-2.265610000000001</v>
      </c>
      <c r="H8" s="2">
        <v>-0.84923000000000004</v>
      </c>
      <c r="I8" s="2">
        <v>3.1148400000000001</v>
      </c>
    </row>
    <row r="9" spans="1:9" x14ac:dyDescent="0.25">
      <c r="A9" s="33" t="s">
        <v>782</v>
      </c>
      <c r="B9" s="33" t="s">
        <v>1379</v>
      </c>
      <c r="C9" s="33" t="s">
        <v>1380</v>
      </c>
      <c r="D9" s="33" t="s">
        <v>926</v>
      </c>
      <c r="E9" s="2">
        <v>1.671410000000001</v>
      </c>
      <c r="F9" s="2">
        <v>0.4325</v>
      </c>
      <c r="G9" s="2">
        <v>-2.4050699999999998</v>
      </c>
      <c r="H9" s="2">
        <v>-0.50709000000000004</v>
      </c>
      <c r="I9" s="2">
        <v>2.9121600000000001</v>
      </c>
    </row>
    <row r="10" spans="1:9" x14ac:dyDescent="0.25">
      <c r="A10" s="33" t="s">
        <v>782</v>
      </c>
      <c r="B10" s="33" t="s">
        <v>1381</v>
      </c>
      <c r="C10" s="33" t="s">
        <v>1382</v>
      </c>
      <c r="D10" s="33" t="s">
        <v>926</v>
      </c>
      <c r="E10" s="2">
        <v>2.3332799999999998</v>
      </c>
      <c r="F10" s="2">
        <v>-0.10001</v>
      </c>
      <c r="G10" s="2">
        <v>-2.93702</v>
      </c>
      <c r="H10" s="2">
        <v>-0.91571999999999998</v>
      </c>
      <c r="I10" s="2">
        <v>3.8527399999999989</v>
      </c>
    </row>
    <row r="11" spans="1:9" x14ac:dyDescent="0.25">
      <c r="A11" s="33" t="s">
        <v>782</v>
      </c>
      <c r="B11" s="33" t="s">
        <v>1383</v>
      </c>
      <c r="C11" s="33" t="s">
        <v>1384</v>
      </c>
      <c r="D11" s="33" t="s">
        <v>926</v>
      </c>
      <c r="E11" s="2">
        <v>1.81057</v>
      </c>
      <c r="F11" s="2">
        <v>7.9140000000000002E-2</v>
      </c>
      <c r="G11" s="2">
        <v>-2.3769</v>
      </c>
      <c r="H11" s="2">
        <v>-0.71487999999999996</v>
      </c>
      <c r="I11" s="2">
        <v>3.0917799999999991</v>
      </c>
    </row>
    <row r="12" spans="1:9" x14ac:dyDescent="0.25">
      <c r="A12" s="40" t="s">
        <v>782</v>
      </c>
      <c r="B12" s="40" t="s">
        <v>1385</v>
      </c>
      <c r="C12" s="40" t="s">
        <v>1386</v>
      </c>
      <c r="D12" s="40" t="s">
        <v>926</v>
      </c>
      <c r="E12" s="4">
        <v>1.10887</v>
      </c>
      <c r="F12" s="4">
        <v>0.34283999999999998</v>
      </c>
      <c r="G12" s="4">
        <v>-1.8480099999999999</v>
      </c>
      <c r="H12" s="4">
        <v>-0.34243000000000001</v>
      </c>
      <c r="I12" s="4">
        <v>2.1904400000000002</v>
      </c>
    </row>
  </sheetData>
  <sheetProtection formatColumns="0" formatRows="0"/>
  <hyperlinks>
    <hyperlink ref="A1" location="TOC!A1" display="Table of Contents" xr:uid="{0EB81D72-DB64-4496-B008-F25D74359707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4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.28515625" customWidth="1"/>
    <col min="2" max="2" width="11.140625" bestFit="1" customWidth="1"/>
    <col min="3" max="3" width="87.42578125" bestFit="1" customWidth="1"/>
  </cols>
  <sheetData>
    <row r="1" spans="1:8" x14ac:dyDescent="0.25">
      <c r="A1" s="141" t="s">
        <v>316</v>
      </c>
      <c r="B1" s="32" t="s">
        <v>384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112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113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1387</v>
      </c>
      <c r="C7" s="33" t="s">
        <v>1388</v>
      </c>
      <c r="D7" s="2">
        <v>2.0971700000000002</v>
      </c>
      <c r="E7" s="2">
        <v>-1.0617700000000001</v>
      </c>
      <c r="F7" s="2">
        <v>-2.32829</v>
      </c>
      <c r="G7" s="2">
        <v>-0.89595999999999998</v>
      </c>
      <c r="H7" s="2">
        <v>3.2242500000000001</v>
      </c>
    </row>
    <row r="8" spans="1:8" x14ac:dyDescent="0.25">
      <c r="A8" s="33" t="s">
        <v>782</v>
      </c>
      <c r="B8" s="33" t="s">
        <v>1389</v>
      </c>
      <c r="C8" s="33" t="s">
        <v>1390</v>
      </c>
      <c r="D8" s="2">
        <v>2.34192</v>
      </c>
      <c r="E8" s="2">
        <v>-0.81608000000000003</v>
      </c>
      <c r="F8" s="2">
        <v>-2.62453</v>
      </c>
      <c r="G8" s="2">
        <v>-0.39049</v>
      </c>
      <c r="H8" s="2">
        <v>3.0150199999999998</v>
      </c>
    </row>
    <row r="9" spans="1:8" x14ac:dyDescent="0.25">
      <c r="A9" s="33" t="s">
        <v>782</v>
      </c>
      <c r="B9" s="33" t="s">
        <v>1391</v>
      </c>
      <c r="C9" s="33" t="s">
        <v>1392</v>
      </c>
      <c r="D9" s="2">
        <v>3.335529999999999</v>
      </c>
      <c r="E9" s="2">
        <v>-1.8401700000000001</v>
      </c>
      <c r="F9" s="2">
        <v>-3.589160000000001</v>
      </c>
      <c r="G9" s="2">
        <v>-0.91147999999999996</v>
      </c>
      <c r="H9" s="2">
        <v>4.5006399999999989</v>
      </c>
    </row>
    <row r="10" spans="1:8" x14ac:dyDescent="0.25">
      <c r="A10" s="33" t="s">
        <v>782</v>
      </c>
      <c r="B10" s="33" t="s">
        <v>1393</v>
      </c>
      <c r="C10" s="33" t="s">
        <v>1394</v>
      </c>
      <c r="D10" s="2">
        <v>2.4603100000000002</v>
      </c>
      <c r="E10" s="2">
        <v>-1.52525</v>
      </c>
      <c r="F10" s="2">
        <v>-2.7157100000000001</v>
      </c>
      <c r="G10" s="2">
        <v>-0.92940999999999996</v>
      </c>
      <c r="H10" s="2">
        <v>3.6451199999999999</v>
      </c>
    </row>
    <row r="11" spans="1:8" x14ac:dyDescent="0.25">
      <c r="A11" s="40" t="s">
        <v>782</v>
      </c>
      <c r="B11" s="40" t="s">
        <v>1395</v>
      </c>
      <c r="C11" s="40" t="s">
        <v>1396</v>
      </c>
      <c r="D11" s="4">
        <v>2.1501399999999999</v>
      </c>
      <c r="E11" s="4">
        <v>-0.93813999999999986</v>
      </c>
      <c r="F11" s="4">
        <v>-2.3467600000000002</v>
      </c>
      <c r="G11" s="4">
        <v>-0.55706999999999995</v>
      </c>
      <c r="H11" s="4">
        <v>2.9038300000000001</v>
      </c>
    </row>
  </sheetData>
  <sheetProtection formatColumns="0" formatRows="0"/>
  <hyperlinks>
    <hyperlink ref="A1" location="TOC!A1" display="Table of Contents" xr:uid="{CE6C1BDA-A83D-4703-B6CA-98C35C39A293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5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.28515625" customWidth="1"/>
    <col min="2" max="2" width="11.140625" bestFit="1" customWidth="1"/>
    <col min="3" max="3" width="114.7109375" customWidth="1"/>
  </cols>
  <sheetData>
    <row r="1" spans="1:9" x14ac:dyDescent="0.25">
      <c r="A1" s="141" t="s">
        <v>316</v>
      </c>
      <c r="B1" s="32" t="s">
        <v>339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114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115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1397</v>
      </c>
      <c r="C7" s="33" t="s">
        <v>1398</v>
      </c>
      <c r="D7" s="33" t="s">
        <v>926</v>
      </c>
      <c r="E7" s="2">
        <v>0.85836000000000012</v>
      </c>
      <c r="F7" s="2">
        <v>0.38800000000000001</v>
      </c>
      <c r="G7" s="2">
        <v>-1.2509699999999999</v>
      </c>
      <c r="H7" s="2">
        <v>-0.34227000000000002</v>
      </c>
      <c r="I7" s="2">
        <v>1.59324</v>
      </c>
    </row>
    <row r="8" spans="1:9" x14ac:dyDescent="0.25">
      <c r="A8" s="33" t="s">
        <v>782</v>
      </c>
      <c r="B8" s="33" t="s">
        <v>1399</v>
      </c>
      <c r="C8" s="33" t="s">
        <v>1400</v>
      </c>
      <c r="D8" s="33" t="s">
        <v>926</v>
      </c>
      <c r="E8" s="2">
        <v>1.90012</v>
      </c>
      <c r="F8" s="2">
        <v>-0.33074999999999999</v>
      </c>
      <c r="G8" s="2">
        <v>-1.65951</v>
      </c>
      <c r="H8" s="2">
        <v>-0.97994999999999999</v>
      </c>
      <c r="I8" s="2">
        <v>2.6394600000000001</v>
      </c>
    </row>
    <row r="9" spans="1:9" x14ac:dyDescent="0.25">
      <c r="A9" s="33" t="s">
        <v>782</v>
      </c>
      <c r="B9" s="33" t="s">
        <v>1401</v>
      </c>
      <c r="C9" s="33" t="s">
        <v>1402</v>
      </c>
      <c r="D9" s="33" t="s">
        <v>926</v>
      </c>
      <c r="E9" s="2">
        <v>2.3919199999999989</v>
      </c>
      <c r="F9" s="2">
        <v>-0.13395000000000001</v>
      </c>
      <c r="G9" s="2">
        <v>-2.3963399999999999</v>
      </c>
      <c r="H9" s="2">
        <v>-0.92290000000000005</v>
      </c>
      <c r="I9" s="2">
        <v>3.3192399999999989</v>
      </c>
    </row>
    <row r="10" spans="1:9" x14ac:dyDescent="0.25">
      <c r="A10" s="33" t="s">
        <v>782</v>
      </c>
      <c r="B10" s="33" t="s">
        <v>1403</v>
      </c>
      <c r="C10" s="33" t="s">
        <v>1404</v>
      </c>
      <c r="D10" s="33" t="s">
        <v>926</v>
      </c>
      <c r="E10" s="2">
        <v>1.6201300000000001</v>
      </c>
      <c r="F10" s="2">
        <v>0.32427</v>
      </c>
      <c r="G10" s="2">
        <v>-2.0689600000000001</v>
      </c>
      <c r="H10" s="2">
        <v>-0.39551999999999993</v>
      </c>
      <c r="I10" s="2">
        <v>2.46448</v>
      </c>
    </row>
    <row r="11" spans="1:9" x14ac:dyDescent="0.25">
      <c r="A11" s="33" t="s">
        <v>782</v>
      </c>
      <c r="B11" s="33" t="s">
        <v>1405</v>
      </c>
      <c r="C11" s="33" t="s">
        <v>1406</v>
      </c>
      <c r="D11" s="33" t="s">
        <v>926</v>
      </c>
      <c r="E11" s="2">
        <v>0.96674000000000004</v>
      </c>
      <c r="F11" s="2">
        <v>0.30032999999999987</v>
      </c>
      <c r="G11" s="2">
        <v>-1.48367</v>
      </c>
      <c r="H11" s="2">
        <v>-5.7019999999999987E-2</v>
      </c>
      <c r="I11" s="2">
        <v>1.5406899999999999</v>
      </c>
    </row>
    <row r="12" spans="1:9" x14ac:dyDescent="0.25">
      <c r="A12" s="40" t="s">
        <v>782</v>
      </c>
      <c r="B12" s="40" t="s">
        <v>1407</v>
      </c>
      <c r="C12" s="40" t="s">
        <v>1408</v>
      </c>
      <c r="D12" s="40" t="s">
        <v>926</v>
      </c>
      <c r="E12" s="4">
        <v>2.46271</v>
      </c>
      <c r="F12" s="4">
        <v>-0.54790000000000005</v>
      </c>
      <c r="G12" s="4">
        <v>-2.2079399999999998</v>
      </c>
      <c r="H12" s="4">
        <v>-1.17577</v>
      </c>
      <c r="I12" s="4">
        <v>3.3837100000000002</v>
      </c>
    </row>
  </sheetData>
  <sheetProtection formatColumns="0" formatRows="0"/>
  <hyperlinks>
    <hyperlink ref="A1" location="TOC!A1" display="Table of Contents" xr:uid="{EC05F98B-45B3-4B55-A086-D80E8327FD32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6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.28515625" customWidth="1"/>
    <col min="2" max="2" width="11.140625" bestFit="1" customWidth="1"/>
    <col min="3" max="3" width="87.42578125" bestFit="1" customWidth="1"/>
  </cols>
  <sheetData>
    <row r="1" spans="1:8" x14ac:dyDescent="0.25">
      <c r="A1" s="141" t="s">
        <v>316</v>
      </c>
      <c r="B1" s="32" t="s">
        <v>340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116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117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1409</v>
      </c>
      <c r="C7" s="33" t="s">
        <v>1410</v>
      </c>
      <c r="D7" s="2">
        <v>1.62957</v>
      </c>
      <c r="E7" s="2">
        <v>-0.11867999999999999</v>
      </c>
      <c r="F7" s="2">
        <v>-2.4357700000000002</v>
      </c>
      <c r="G7" s="2">
        <v>-0.78090999999999999</v>
      </c>
      <c r="H7" s="2">
        <v>3.2166800000000002</v>
      </c>
    </row>
    <row r="8" spans="1:8" x14ac:dyDescent="0.25">
      <c r="A8" s="33" t="s">
        <v>782</v>
      </c>
      <c r="B8" s="33" t="s">
        <v>1411</v>
      </c>
      <c r="C8" s="33" t="s">
        <v>1412</v>
      </c>
      <c r="D8" s="2">
        <v>1.8388199999999999</v>
      </c>
      <c r="E8" s="2">
        <v>0.29309000000000007</v>
      </c>
      <c r="F8" s="2">
        <v>-2.9579300000000002</v>
      </c>
      <c r="G8" s="2">
        <v>-0.44439000000000001</v>
      </c>
      <c r="H8" s="2">
        <v>3.4023200000000009</v>
      </c>
    </row>
    <row r="9" spans="1:8" x14ac:dyDescent="0.25">
      <c r="A9" s="33" t="s">
        <v>782</v>
      </c>
      <c r="B9" s="33" t="s">
        <v>1413</v>
      </c>
      <c r="C9" s="33" t="s">
        <v>1414</v>
      </c>
      <c r="D9" s="2">
        <v>0.94055999999999984</v>
      </c>
      <c r="E9" s="2">
        <v>-4.9349999999999991E-2</v>
      </c>
      <c r="F9" s="2">
        <v>-1.1888799999999999</v>
      </c>
      <c r="G9" s="2">
        <v>-0.49879000000000001</v>
      </c>
      <c r="H9" s="2">
        <v>1.68767</v>
      </c>
    </row>
    <row r="10" spans="1:8" x14ac:dyDescent="0.25">
      <c r="A10" s="33" t="s">
        <v>782</v>
      </c>
      <c r="B10" s="33" t="s">
        <v>1415</v>
      </c>
      <c r="C10" s="33" t="s">
        <v>1416</v>
      </c>
      <c r="D10" s="2">
        <v>2.3188300000000002</v>
      </c>
      <c r="E10" s="2">
        <v>-5.5540000000000013E-2</v>
      </c>
      <c r="F10" s="2">
        <v>-3.3992</v>
      </c>
      <c r="G10" s="2">
        <v>-0.63534000000000013</v>
      </c>
      <c r="H10" s="2">
        <v>4.0345399999999989</v>
      </c>
    </row>
    <row r="11" spans="1:8" x14ac:dyDescent="0.25">
      <c r="A11" s="40" t="s">
        <v>782</v>
      </c>
      <c r="B11" s="40" t="s">
        <v>1417</v>
      </c>
      <c r="C11" s="40" t="s">
        <v>1418</v>
      </c>
      <c r="D11" s="4">
        <v>1.7722199999999999</v>
      </c>
      <c r="E11" s="4">
        <v>-6.9519999999999985E-2</v>
      </c>
      <c r="F11" s="4">
        <v>-2.66554</v>
      </c>
      <c r="G11" s="4">
        <v>-0.63057000000000019</v>
      </c>
      <c r="H11" s="4">
        <v>3.2961100000000001</v>
      </c>
    </row>
  </sheetData>
  <sheetProtection formatColumns="0" formatRows="0"/>
  <hyperlinks>
    <hyperlink ref="A1" location="TOC!A1" display="Table of Contents" xr:uid="{DF75CC64-0F69-41CD-80C8-B711A7A587C6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7"/>
  <dimension ref="A1:D2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99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118</v>
      </c>
      <c r="B3" s="33"/>
      <c r="C3" s="33"/>
      <c r="D3" s="33"/>
    </row>
    <row r="4" spans="1:4" x14ac:dyDescent="0.25">
      <c r="A4" s="34" t="s">
        <v>1419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x14ac:dyDescent="0.25">
      <c r="A7" s="38" t="s">
        <v>440</v>
      </c>
      <c r="B7" s="66"/>
      <c r="C7" s="33"/>
      <c r="D7" s="33"/>
    </row>
    <row r="8" spans="1:4" x14ac:dyDescent="0.25">
      <c r="A8" s="59" t="s">
        <v>1420</v>
      </c>
      <c r="B8" s="59" t="s">
        <v>1421</v>
      </c>
      <c r="C8" s="33"/>
      <c r="D8" s="33"/>
    </row>
    <row r="9" spans="1:4" x14ac:dyDescent="0.25">
      <c r="A9" s="38" t="s">
        <v>497</v>
      </c>
      <c r="B9" s="38"/>
      <c r="C9" s="33"/>
      <c r="D9" s="33"/>
    </row>
    <row r="10" spans="1:4" x14ac:dyDescent="0.25">
      <c r="A10" s="59" t="s">
        <v>346</v>
      </c>
      <c r="B10" s="59" t="s">
        <v>1422</v>
      </c>
      <c r="C10" s="33"/>
      <c r="D10" s="33"/>
    </row>
    <row r="11" spans="1:4" x14ac:dyDescent="0.25">
      <c r="A11" s="33" t="s">
        <v>386</v>
      </c>
      <c r="B11" s="33" t="s">
        <v>1423</v>
      </c>
      <c r="C11" s="33"/>
      <c r="D11" s="33"/>
    </row>
    <row r="12" spans="1:4" x14ac:dyDescent="0.25">
      <c r="A12" s="33" t="s">
        <v>385</v>
      </c>
      <c r="B12" s="33" t="s">
        <v>1424</v>
      </c>
      <c r="C12" s="33"/>
      <c r="D12" s="33"/>
    </row>
    <row r="13" spans="1:4" x14ac:dyDescent="0.25">
      <c r="A13" s="33" t="s">
        <v>389</v>
      </c>
      <c r="B13" s="33" t="s">
        <v>1425</v>
      </c>
      <c r="C13" s="33"/>
      <c r="D13" s="33"/>
    </row>
    <row r="14" spans="1:4" x14ac:dyDescent="0.25">
      <c r="A14" s="33" t="s">
        <v>436</v>
      </c>
      <c r="B14" s="33" t="s">
        <v>1426</v>
      </c>
      <c r="C14" s="33"/>
      <c r="D14" s="33"/>
    </row>
    <row r="15" spans="1:4" x14ac:dyDescent="0.25">
      <c r="A15" s="33" t="s">
        <v>343</v>
      </c>
      <c r="B15" s="33" t="s">
        <v>1427</v>
      </c>
      <c r="C15" s="33"/>
      <c r="D15" s="33"/>
    </row>
    <row r="16" spans="1:4" x14ac:dyDescent="0.25">
      <c r="A16" s="33" t="s">
        <v>344</v>
      </c>
      <c r="B16" s="33" t="s">
        <v>1428</v>
      </c>
      <c r="C16" s="33"/>
      <c r="D16" s="33"/>
    </row>
    <row r="17" spans="1:4" x14ac:dyDescent="0.25">
      <c r="A17" s="33" t="s">
        <v>342</v>
      </c>
      <c r="B17" s="33" t="s">
        <v>1429</v>
      </c>
      <c r="C17" s="33"/>
      <c r="D17" s="33"/>
    </row>
    <row r="18" spans="1:4" x14ac:dyDescent="0.25">
      <c r="A18" s="33" t="s">
        <v>345</v>
      </c>
      <c r="B18" s="33" t="s">
        <v>1430</v>
      </c>
      <c r="C18" s="33"/>
      <c r="D18" s="33"/>
    </row>
    <row r="19" spans="1:4" x14ac:dyDescent="0.25">
      <c r="A19" s="33" t="s">
        <v>388</v>
      </c>
      <c r="B19" s="33" t="s">
        <v>1431</v>
      </c>
      <c r="C19" s="33"/>
      <c r="D19" s="33"/>
    </row>
    <row r="20" spans="1:4" x14ac:dyDescent="0.25">
      <c r="A20" s="33" t="s">
        <v>391</v>
      </c>
      <c r="B20" s="33" t="s">
        <v>1432</v>
      </c>
      <c r="C20" s="33"/>
      <c r="D20" s="33"/>
    </row>
    <row r="21" spans="1:4" x14ac:dyDescent="0.25">
      <c r="A21" s="33" t="s">
        <v>390</v>
      </c>
      <c r="B21" s="33" t="s">
        <v>1433</v>
      </c>
      <c r="C21" s="33"/>
      <c r="D21" s="33"/>
    </row>
    <row r="22" spans="1:4" x14ac:dyDescent="0.25">
      <c r="A22" s="40" t="s">
        <v>387</v>
      </c>
      <c r="B22" s="40" t="s">
        <v>1434</v>
      </c>
      <c r="C22" s="33"/>
      <c r="D22" s="33"/>
    </row>
  </sheetData>
  <sheetProtection formatColumns="0" formatRows="0"/>
  <hyperlinks>
    <hyperlink ref="A1" location="TOC!A1" display="Table of Contents" xr:uid="{7EB4CBA3-54F4-4B80-B12A-20AFA54E037C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04"/>
  <dimension ref="A1:D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42578125" customWidth="1"/>
    <col min="2" max="2" width="23" customWidth="1"/>
    <col min="3" max="3" width="166.42578125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120</v>
      </c>
      <c r="B3" s="33"/>
      <c r="C3" s="33"/>
      <c r="D3" s="33"/>
    </row>
    <row r="4" spans="1:4" x14ac:dyDescent="0.25">
      <c r="A4" s="34" t="s">
        <v>121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545</v>
      </c>
      <c r="B6" s="42" t="s">
        <v>546</v>
      </c>
      <c r="C6" s="42" t="s">
        <v>547</v>
      </c>
      <c r="D6" s="33"/>
    </row>
    <row r="7" spans="1:4" x14ac:dyDescent="0.25">
      <c r="A7" s="95">
        <v>1</v>
      </c>
      <c r="B7" s="33" t="s">
        <v>1435</v>
      </c>
      <c r="C7" s="33" t="s">
        <v>1436</v>
      </c>
      <c r="D7" s="33"/>
    </row>
    <row r="8" spans="1:4" x14ac:dyDescent="0.25">
      <c r="A8" s="95">
        <v>2</v>
      </c>
      <c r="B8" s="33" t="s">
        <v>1437</v>
      </c>
      <c r="C8" s="33" t="s">
        <v>1438</v>
      </c>
      <c r="D8" s="33"/>
    </row>
    <row r="9" spans="1:4" x14ac:dyDescent="0.25">
      <c r="A9" s="95">
        <v>3</v>
      </c>
      <c r="B9" s="33" t="s">
        <v>1439</v>
      </c>
      <c r="C9" s="33" t="s">
        <v>1440</v>
      </c>
      <c r="D9" s="33"/>
    </row>
    <row r="10" spans="1:4" x14ac:dyDescent="0.25">
      <c r="A10" s="95">
        <v>4</v>
      </c>
      <c r="B10" s="33" t="s">
        <v>1441</v>
      </c>
      <c r="C10" s="33" t="s">
        <v>1442</v>
      </c>
      <c r="D10" s="33"/>
    </row>
    <row r="11" spans="1:4" x14ac:dyDescent="0.25">
      <c r="A11" s="95">
        <v>5</v>
      </c>
      <c r="B11" s="33" t="s">
        <v>1443</v>
      </c>
      <c r="C11" s="33" t="s">
        <v>1444</v>
      </c>
      <c r="D11" s="33"/>
    </row>
    <row r="12" spans="1:4" x14ac:dyDescent="0.25">
      <c r="A12" s="95">
        <v>6</v>
      </c>
      <c r="B12" s="33" t="s">
        <v>1445</v>
      </c>
      <c r="C12" s="33" t="s">
        <v>1446</v>
      </c>
      <c r="D12" s="33"/>
    </row>
    <row r="13" spans="1:4" x14ac:dyDescent="0.25">
      <c r="A13" s="95">
        <v>7</v>
      </c>
      <c r="B13" s="33" t="s">
        <v>1447</v>
      </c>
      <c r="C13" s="33" t="s">
        <v>1448</v>
      </c>
      <c r="D13" s="33"/>
    </row>
    <row r="14" spans="1:4" x14ac:dyDescent="0.25">
      <c r="A14" s="95">
        <v>8</v>
      </c>
      <c r="B14" s="33" t="s">
        <v>1449</v>
      </c>
      <c r="C14" s="33" t="s">
        <v>1450</v>
      </c>
      <c r="D14" s="33"/>
    </row>
    <row r="15" spans="1:4" x14ac:dyDescent="0.25">
      <c r="A15" s="96">
        <v>9</v>
      </c>
      <c r="B15" s="40" t="s">
        <v>1451</v>
      </c>
      <c r="C15" s="40" t="s">
        <v>1452</v>
      </c>
      <c r="D15" s="33"/>
    </row>
  </sheetData>
  <sheetProtection formatColumns="0" formatRows="0"/>
  <hyperlinks>
    <hyperlink ref="A1" location="TOC!A1" display="Table of Contents" xr:uid="{018B5491-A5EC-44FC-BD99-67C59014A40A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8"/>
  <dimension ref="A1:Q35"/>
  <sheetViews>
    <sheetView workbookViewId="0">
      <pane ySplit="6" topLeftCell="A20" activePane="bottomLeft" state="frozen"/>
      <selection pane="bottomLeft"/>
    </sheetView>
  </sheetViews>
  <sheetFormatPr defaultColWidth="8.7109375" defaultRowHeight="15" x14ac:dyDescent="0.25"/>
  <cols>
    <col min="1" max="1" width="35.140625" customWidth="1"/>
    <col min="2" max="14" width="9.42578125" style="2" customWidth="1"/>
    <col min="16" max="17" width="0" hidden="1" customWidth="1"/>
  </cols>
  <sheetData>
    <row r="1" spans="1:17" x14ac:dyDescent="0.25">
      <c r="A1" s="141" t="s">
        <v>316</v>
      </c>
      <c r="B1" s="97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77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122</v>
      </c>
      <c r="B3" s="77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4" t="s">
        <v>123</v>
      </c>
      <c r="B4" s="77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77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65" t="s">
        <v>566</v>
      </c>
      <c r="B6" s="86" t="s">
        <v>385</v>
      </c>
      <c r="C6" s="86" t="s">
        <v>386</v>
      </c>
      <c r="D6" s="86" t="s">
        <v>342</v>
      </c>
      <c r="E6" s="86" t="s">
        <v>387</v>
      </c>
      <c r="F6" s="86" t="s">
        <v>343</v>
      </c>
      <c r="G6" s="86" t="s">
        <v>344</v>
      </c>
      <c r="H6" s="86" t="s">
        <v>388</v>
      </c>
      <c r="I6" s="86" t="s">
        <v>436</v>
      </c>
      <c r="J6" s="86" t="s">
        <v>389</v>
      </c>
      <c r="K6" s="86" t="s">
        <v>345</v>
      </c>
      <c r="L6" s="86" t="s">
        <v>390</v>
      </c>
      <c r="M6" s="86" t="s">
        <v>346</v>
      </c>
      <c r="N6" s="86" t="s">
        <v>391</v>
      </c>
      <c r="O6" s="33"/>
      <c r="P6" s="33"/>
      <c r="Q6" s="33"/>
    </row>
    <row r="7" spans="1:17" x14ac:dyDescent="0.25">
      <c r="A7" t="s">
        <v>3185</v>
      </c>
      <c r="B7" s="53">
        <v>0.83</v>
      </c>
      <c r="C7" s="53">
        <v>0.68</v>
      </c>
      <c r="D7" s="53">
        <v>0.73</v>
      </c>
      <c r="E7" s="53">
        <v>0.89</v>
      </c>
      <c r="F7" s="53">
        <v>0.88</v>
      </c>
      <c r="G7" s="53">
        <v>0.8</v>
      </c>
      <c r="H7" s="53">
        <v>0.69</v>
      </c>
      <c r="I7" s="53">
        <v>0.87</v>
      </c>
      <c r="J7" s="53">
        <v>0.87</v>
      </c>
      <c r="K7" s="53">
        <v>0.89</v>
      </c>
      <c r="L7" s="53">
        <v>0.8</v>
      </c>
      <c r="M7" s="53">
        <v>0.79</v>
      </c>
      <c r="N7" s="53">
        <v>0.68</v>
      </c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">
        <v>3199</v>
      </c>
      <c r="B8" s="53">
        <v>0.89</v>
      </c>
      <c r="C8" s="53">
        <v>0.73</v>
      </c>
      <c r="D8" s="53">
        <v>0.78</v>
      </c>
      <c r="E8" s="53">
        <v>0.91</v>
      </c>
      <c r="F8" s="53">
        <v>0.85</v>
      </c>
      <c r="G8" s="53">
        <v>0.9</v>
      </c>
      <c r="H8" s="53">
        <v>0.89</v>
      </c>
      <c r="I8" s="53">
        <v>0.82</v>
      </c>
      <c r="J8" s="53">
        <v>0.85</v>
      </c>
      <c r="K8" s="53">
        <v>0.89</v>
      </c>
      <c r="L8" s="53">
        <v>0.8</v>
      </c>
      <c r="M8" s="53">
        <v>0.8</v>
      </c>
      <c r="N8" s="53">
        <v>0.76</v>
      </c>
      <c r="O8" s="33"/>
      <c r="P8" s="33" t="s">
        <v>577</v>
      </c>
      <c r="Q8" t="str">
        <f>VLOOKUP(P8,GroupLabels!$E$2:$H$145,3,0)</f>
        <v>Brazil - Portuguese</v>
      </c>
    </row>
    <row r="9" spans="1:17" x14ac:dyDescent="0.25">
      <c r="A9" t="s">
        <v>2985</v>
      </c>
      <c r="B9" s="53">
        <v>0.89</v>
      </c>
      <c r="C9" s="53">
        <v>0.78</v>
      </c>
      <c r="D9" s="53">
        <v>0.84</v>
      </c>
      <c r="E9" s="53">
        <v>0.89</v>
      </c>
      <c r="F9" s="53">
        <v>0.9</v>
      </c>
      <c r="G9" s="53">
        <v>0.87</v>
      </c>
      <c r="H9" s="53">
        <v>0.88</v>
      </c>
      <c r="I9" s="53">
        <v>0.89</v>
      </c>
      <c r="J9" s="53">
        <v>0.82</v>
      </c>
      <c r="K9" s="53">
        <v>0.91</v>
      </c>
      <c r="L9" s="53">
        <v>0.81</v>
      </c>
      <c r="M9" s="53">
        <v>0.81</v>
      </c>
      <c r="N9" s="53">
        <v>0.81</v>
      </c>
      <c r="O9" s="33"/>
      <c r="P9" s="33" t="s">
        <v>578</v>
      </c>
      <c r="Q9" t="str">
        <f>VLOOKUP(P9,GroupLabels!$E$2:$H$145,3,0)</f>
        <v>Brunei Darussalam - English</v>
      </c>
    </row>
    <row r="10" spans="1:17" x14ac:dyDescent="0.25">
      <c r="A10" t="s">
        <v>3178</v>
      </c>
      <c r="B10" s="53">
        <v>0.9</v>
      </c>
      <c r="C10" s="53">
        <v>0.82</v>
      </c>
      <c r="D10" s="53">
        <v>0.86</v>
      </c>
      <c r="E10" s="53">
        <v>0.91</v>
      </c>
      <c r="F10" s="53">
        <v>0.91</v>
      </c>
      <c r="G10" s="53">
        <v>0.9</v>
      </c>
      <c r="H10" s="53">
        <v>0.87</v>
      </c>
      <c r="I10" s="53">
        <v>0.89</v>
      </c>
      <c r="J10" s="53">
        <v>0.82</v>
      </c>
      <c r="K10" s="53">
        <v>0.91</v>
      </c>
      <c r="L10" s="53">
        <v>0.83</v>
      </c>
      <c r="M10" s="53">
        <v>0.82</v>
      </c>
      <c r="N10" s="53">
        <v>0.81</v>
      </c>
      <c r="O10" s="33"/>
      <c r="P10" s="33" t="s">
        <v>1453</v>
      </c>
      <c r="Q10" t="str">
        <f>VLOOKUP(P10,GroupLabels!$E$2:$H$145,3,0)</f>
        <v>Brunei Darussalam - Malay</v>
      </c>
    </row>
    <row r="11" spans="1:17" x14ac:dyDescent="0.25">
      <c r="A11" t="s">
        <v>3040</v>
      </c>
      <c r="B11" s="53">
        <v>0.88</v>
      </c>
      <c r="C11" s="53">
        <v>0.64</v>
      </c>
      <c r="D11" s="53">
        <v>0.77</v>
      </c>
      <c r="E11" s="53">
        <v>0.92</v>
      </c>
      <c r="F11" s="53">
        <v>0.84</v>
      </c>
      <c r="G11" s="53">
        <v>0.89</v>
      </c>
      <c r="H11" s="53">
        <v>0.92</v>
      </c>
      <c r="I11" s="53">
        <v>0.82</v>
      </c>
      <c r="J11" s="53">
        <v>0.81</v>
      </c>
      <c r="K11" s="53">
        <v>0.9</v>
      </c>
      <c r="L11" s="53">
        <v>0.86</v>
      </c>
      <c r="M11" s="53">
        <v>0.8</v>
      </c>
      <c r="N11" s="53">
        <v>0.86</v>
      </c>
      <c r="O11" s="33"/>
      <c r="P11" s="33" t="s">
        <v>586</v>
      </c>
      <c r="Q11" t="str">
        <f>VLOOKUP(P11,GroupLabels!$E$2:$H$145,3,0)</f>
        <v>Colombia - Spanish</v>
      </c>
    </row>
    <row r="12" spans="1:17" x14ac:dyDescent="0.25">
      <c r="A12" t="s">
        <v>3044</v>
      </c>
      <c r="B12" s="53">
        <v>0.89</v>
      </c>
      <c r="C12" s="53">
        <v>0.71</v>
      </c>
      <c r="D12" s="53">
        <v>0.83</v>
      </c>
      <c r="E12" s="53">
        <v>0.93</v>
      </c>
      <c r="F12" s="53">
        <v>0.88</v>
      </c>
      <c r="G12" s="53">
        <v>0.91</v>
      </c>
      <c r="H12" s="53">
        <v>0.93</v>
      </c>
      <c r="I12" s="53">
        <v>0.86</v>
      </c>
      <c r="J12" s="53">
        <v>0.79</v>
      </c>
      <c r="K12" s="53">
        <v>0.9</v>
      </c>
      <c r="L12" s="53">
        <v>0.92</v>
      </c>
      <c r="M12" s="53">
        <v>0.83</v>
      </c>
      <c r="N12" s="53">
        <v>0.92</v>
      </c>
      <c r="O12" s="33"/>
      <c r="P12" s="33" t="s">
        <v>594</v>
      </c>
      <c r="Q12" t="str">
        <f>VLOOKUP(P12,GroupLabels!$E$2:$H$145,3,0)</f>
        <v>Dominican Republic - Spanish</v>
      </c>
    </row>
    <row r="13" spans="1:17" x14ac:dyDescent="0.25">
      <c r="A13" t="s">
        <v>2920</v>
      </c>
      <c r="B13" s="53">
        <v>0.86</v>
      </c>
      <c r="C13" s="53">
        <v>0.69</v>
      </c>
      <c r="D13" s="53">
        <v>0.74</v>
      </c>
      <c r="E13" s="53">
        <v>0.87</v>
      </c>
      <c r="F13" s="53">
        <v>0.82</v>
      </c>
      <c r="G13" s="53">
        <v>0.74</v>
      </c>
      <c r="H13" s="53">
        <v>0.84</v>
      </c>
      <c r="I13" s="53">
        <v>0.65</v>
      </c>
      <c r="J13" s="53">
        <v>0.69</v>
      </c>
      <c r="K13" s="53">
        <v>0.85</v>
      </c>
      <c r="L13" s="53">
        <v>0.82</v>
      </c>
      <c r="M13" s="53">
        <v>0.7</v>
      </c>
      <c r="N13" s="53">
        <v>0.76</v>
      </c>
      <c r="O13" s="33"/>
      <c r="P13" s="33" t="s">
        <v>604</v>
      </c>
      <c r="Q13" t="str">
        <f>VLOOKUP(P13,GroupLabels!$E$2:$H$145,3,0)</f>
        <v>Georgia - Azerbaijani</v>
      </c>
    </row>
    <row r="14" spans="1:17" x14ac:dyDescent="0.25">
      <c r="A14" t="s">
        <v>3136</v>
      </c>
      <c r="B14" s="53">
        <v>0.87</v>
      </c>
      <c r="C14" s="53">
        <v>0.76</v>
      </c>
      <c r="D14" s="53">
        <v>0.79</v>
      </c>
      <c r="E14" s="53">
        <v>0.9</v>
      </c>
      <c r="F14" s="53">
        <v>0.85</v>
      </c>
      <c r="G14" s="53">
        <v>0.92</v>
      </c>
      <c r="H14" s="53">
        <v>0.86</v>
      </c>
      <c r="I14" s="53">
        <v>0.82</v>
      </c>
      <c r="J14" s="53">
        <v>0.84</v>
      </c>
      <c r="K14" s="53">
        <v>0.92</v>
      </c>
      <c r="L14" s="53">
        <v>0.84</v>
      </c>
      <c r="M14" s="53">
        <v>0.79</v>
      </c>
      <c r="N14" s="53">
        <v>0.81</v>
      </c>
      <c r="O14" s="33"/>
      <c r="P14" s="33" t="s">
        <v>605</v>
      </c>
      <c r="Q14" t="str">
        <f>VLOOKUP(P14,GroupLabels!$E$2:$H$145,3,0)</f>
        <v>Georgia - Georgian</v>
      </c>
    </row>
    <row r="15" spans="1:17" x14ac:dyDescent="0.25">
      <c r="A15" t="s">
        <v>3211</v>
      </c>
      <c r="B15" s="53">
        <v>0.86</v>
      </c>
      <c r="C15" s="53">
        <v>0.78</v>
      </c>
      <c r="D15" s="53">
        <v>0.8</v>
      </c>
      <c r="E15" s="53">
        <v>0.92</v>
      </c>
      <c r="F15" s="53">
        <v>0.88</v>
      </c>
      <c r="G15" s="53">
        <v>0.93</v>
      </c>
      <c r="H15" s="53">
        <v>0.91</v>
      </c>
      <c r="I15" s="53">
        <v>0.84</v>
      </c>
      <c r="J15" s="53">
        <v>0.83</v>
      </c>
      <c r="K15" s="53">
        <v>0.91</v>
      </c>
      <c r="L15" s="53">
        <v>0.88</v>
      </c>
      <c r="M15" s="53">
        <v>0.83</v>
      </c>
      <c r="N15" s="53">
        <v>0.9</v>
      </c>
      <c r="O15" s="33"/>
      <c r="P15" s="33" t="s">
        <v>606</v>
      </c>
      <c r="Q15" t="str">
        <f>VLOOKUP(P15,GroupLabels!$E$2:$H$145,3,0)</f>
        <v>Georgia - Russian</v>
      </c>
    </row>
    <row r="16" spans="1:17" x14ac:dyDescent="0.25">
      <c r="A16" t="s">
        <v>767</v>
      </c>
      <c r="B16" s="53">
        <v>0.81</v>
      </c>
      <c r="C16" s="53">
        <v>0.68</v>
      </c>
      <c r="D16" s="53">
        <v>0.79</v>
      </c>
      <c r="E16" s="53">
        <v>0.9</v>
      </c>
      <c r="F16" s="53">
        <v>0.9</v>
      </c>
      <c r="G16" s="53">
        <v>0.76</v>
      </c>
      <c r="H16" s="53">
        <v>0.67</v>
      </c>
      <c r="I16" s="53">
        <v>0.86</v>
      </c>
      <c r="J16" s="53">
        <v>0.77</v>
      </c>
      <c r="K16" s="53">
        <v>0.87</v>
      </c>
      <c r="L16" s="53">
        <v>0.81</v>
      </c>
      <c r="M16" s="53">
        <v>0.74</v>
      </c>
      <c r="N16" s="53">
        <v>0.71</v>
      </c>
      <c r="O16" s="33"/>
      <c r="P16" s="33" t="s">
        <v>607</v>
      </c>
      <c r="Q16" t="str">
        <f>VLOOKUP(P16,GroupLabels!$E$2:$H$145,3,0)</f>
        <v>Germany - German</v>
      </c>
    </row>
    <row r="17" spans="1:17" x14ac:dyDescent="0.25">
      <c r="A17" t="s">
        <v>3278</v>
      </c>
      <c r="B17" s="53">
        <v>0.91</v>
      </c>
      <c r="C17" s="53">
        <v>0.77</v>
      </c>
      <c r="D17" s="53">
        <v>0.87</v>
      </c>
      <c r="E17" s="53">
        <v>0.94</v>
      </c>
      <c r="F17" s="53">
        <v>0.95</v>
      </c>
      <c r="G17" s="53">
        <v>0.89</v>
      </c>
      <c r="H17" s="53">
        <v>0.85</v>
      </c>
      <c r="I17" s="53">
        <v>0.93</v>
      </c>
      <c r="J17" s="53">
        <v>0.8</v>
      </c>
      <c r="K17" s="53">
        <v>0.9</v>
      </c>
      <c r="L17" s="53">
        <v>0.8</v>
      </c>
      <c r="M17" s="53">
        <v>0.87</v>
      </c>
      <c r="N17" s="53">
        <v>0.82</v>
      </c>
      <c r="O17" s="33"/>
      <c r="P17" s="33" t="s">
        <v>610</v>
      </c>
      <c r="Q17" t="str">
        <f>VLOOKUP(P17,GroupLabels!$E$2:$H$145,3,0)</f>
        <v>Hong Kong (China) - Chinese</v>
      </c>
    </row>
    <row r="18" spans="1:17" x14ac:dyDescent="0.25">
      <c r="A18" t="s">
        <v>2993</v>
      </c>
      <c r="B18" s="53">
        <v>0.91</v>
      </c>
      <c r="C18" s="53">
        <v>0.83</v>
      </c>
      <c r="D18" s="53">
        <v>0.9</v>
      </c>
      <c r="E18" s="53">
        <v>0.92</v>
      </c>
      <c r="F18" s="53">
        <v>0.95</v>
      </c>
      <c r="G18" s="53">
        <v>0.88</v>
      </c>
      <c r="H18" s="53">
        <v>0.89</v>
      </c>
      <c r="I18" s="53">
        <v>0.93</v>
      </c>
      <c r="J18" s="53">
        <v>0.83</v>
      </c>
      <c r="K18" s="53">
        <v>0.9</v>
      </c>
      <c r="L18" s="53">
        <v>0.9</v>
      </c>
      <c r="M18" s="53">
        <v>0.85</v>
      </c>
      <c r="N18" s="53">
        <v>0.75</v>
      </c>
      <c r="O18" s="33"/>
      <c r="P18" s="33" t="s">
        <v>611</v>
      </c>
      <c r="Q18" t="str">
        <f>VLOOKUP(P18,GroupLabels!$E$2:$H$145,3,0)</f>
        <v>Hong Kong (China) - English</v>
      </c>
    </row>
    <row r="19" spans="1:17" x14ac:dyDescent="0.25">
      <c r="A19" t="s">
        <v>2995</v>
      </c>
      <c r="B19" s="53">
        <v>0.84</v>
      </c>
      <c r="C19" s="53">
        <v>0.7</v>
      </c>
      <c r="D19" s="53">
        <v>0.75</v>
      </c>
      <c r="E19" s="53">
        <v>0.9</v>
      </c>
      <c r="F19" s="53">
        <v>0.91</v>
      </c>
      <c r="G19" s="53">
        <v>0.84</v>
      </c>
      <c r="H19" s="53">
        <v>0.83</v>
      </c>
      <c r="I19" s="53">
        <v>0.87</v>
      </c>
      <c r="J19" s="53">
        <v>0.88</v>
      </c>
      <c r="K19" s="53">
        <v>0.92</v>
      </c>
      <c r="L19" s="53">
        <v>0.82</v>
      </c>
      <c r="M19" s="53">
        <v>0.81</v>
      </c>
      <c r="N19" s="53">
        <v>0.79</v>
      </c>
      <c r="O19" s="33"/>
      <c r="P19" s="33" t="s">
        <v>615</v>
      </c>
      <c r="Q19" t="str">
        <f>VLOOKUP(P19,GroupLabels!$E$2:$H$145,3,0)</f>
        <v>Ireland - English</v>
      </c>
    </row>
    <row r="20" spans="1:17" x14ac:dyDescent="0.25">
      <c r="A20" t="s">
        <v>3088</v>
      </c>
      <c r="B20" s="53">
        <v>0.89</v>
      </c>
      <c r="C20" s="53">
        <v>0.63</v>
      </c>
      <c r="D20" s="53">
        <v>0.97</v>
      </c>
      <c r="E20" s="53">
        <v>0.95</v>
      </c>
      <c r="F20" s="53">
        <v>0.81</v>
      </c>
      <c r="G20" s="53">
        <v>0.87</v>
      </c>
      <c r="H20" s="53">
        <v>0.94</v>
      </c>
      <c r="I20" s="53">
        <v>0.86</v>
      </c>
      <c r="J20" s="53">
        <v>0.87</v>
      </c>
      <c r="K20" s="53">
        <v>0.98</v>
      </c>
      <c r="L20" s="53">
        <v>0.85</v>
      </c>
      <c r="M20" s="53">
        <v>0.81</v>
      </c>
      <c r="N20" s="53">
        <v>0.93</v>
      </c>
      <c r="O20" s="33"/>
      <c r="P20" s="33" t="s">
        <v>616</v>
      </c>
      <c r="Q20" t="str">
        <f>VLOOKUP(P20,GroupLabels!$E$2:$H$145,3,0)</f>
        <v>Ireland - Irish Gaeilge</v>
      </c>
    </row>
    <row r="21" spans="1:17" x14ac:dyDescent="0.25">
      <c r="A21" t="s">
        <v>2967</v>
      </c>
      <c r="B21" s="53">
        <v>0.8</v>
      </c>
      <c r="C21" s="53">
        <v>0.68</v>
      </c>
      <c r="D21" s="53">
        <v>0.76</v>
      </c>
      <c r="E21" s="53">
        <v>0.89</v>
      </c>
      <c r="F21" s="53">
        <v>0.88</v>
      </c>
      <c r="G21" s="53">
        <v>0.77</v>
      </c>
      <c r="H21" s="53">
        <v>0.68</v>
      </c>
      <c r="I21" s="53">
        <v>0.86</v>
      </c>
      <c r="J21" s="53">
        <v>0.79</v>
      </c>
      <c r="K21" s="53">
        <v>0.86</v>
      </c>
      <c r="L21" s="53">
        <v>0.81</v>
      </c>
      <c r="M21" s="53">
        <v>0.77</v>
      </c>
      <c r="N21" s="53">
        <v>0.73</v>
      </c>
      <c r="O21" s="33"/>
      <c r="P21" s="33" t="s">
        <v>620</v>
      </c>
      <c r="Q21" t="str">
        <f>VLOOKUP(P21,GroupLabels!$E$2:$H$145,3,0)</f>
        <v>Italy - German</v>
      </c>
    </row>
    <row r="22" spans="1:17" x14ac:dyDescent="0.25">
      <c r="A22" t="s">
        <v>3126</v>
      </c>
      <c r="B22" s="53">
        <v>0.84</v>
      </c>
      <c r="C22" s="53">
        <v>0.68</v>
      </c>
      <c r="D22" s="53">
        <v>0.77</v>
      </c>
      <c r="E22" s="53">
        <v>0.89</v>
      </c>
      <c r="F22" s="53">
        <v>0.85</v>
      </c>
      <c r="G22" s="53">
        <v>0.83</v>
      </c>
      <c r="H22" s="53">
        <v>0.84</v>
      </c>
      <c r="I22" s="53">
        <v>0.85</v>
      </c>
      <c r="J22" s="53">
        <v>0.87</v>
      </c>
      <c r="K22" s="53">
        <v>0.88</v>
      </c>
      <c r="L22" s="53">
        <v>0.78</v>
      </c>
      <c r="M22" s="53">
        <v>0.78</v>
      </c>
      <c r="N22" s="53">
        <v>0.77</v>
      </c>
      <c r="O22" s="33"/>
      <c r="P22" s="33" t="s">
        <v>621</v>
      </c>
      <c r="Q22" t="str">
        <f>VLOOKUP(P22,GroupLabels!$E$2:$H$145,3,0)</f>
        <v>Italy - Italian</v>
      </c>
    </row>
    <row r="23" spans="1:17" x14ac:dyDescent="0.25">
      <c r="A23" t="s">
        <v>3154</v>
      </c>
      <c r="B23" s="53">
        <v>0.9</v>
      </c>
      <c r="C23" s="53">
        <v>0.81</v>
      </c>
      <c r="D23" s="53">
        <v>0.82</v>
      </c>
      <c r="E23" s="53">
        <v>0.92</v>
      </c>
      <c r="F23" s="53">
        <v>0.92</v>
      </c>
      <c r="G23" s="53">
        <v>0.9</v>
      </c>
      <c r="H23" s="53">
        <v>0.76</v>
      </c>
      <c r="I23" s="53">
        <v>0.89</v>
      </c>
      <c r="J23" s="53">
        <v>0.84</v>
      </c>
      <c r="K23" s="53">
        <v>0.93</v>
      </c>
      <c r="L23" s="53">
        <v>0.81</v>
      </c>
      <c r="M23" s="53">
        <v>0.87</v>
      </c>
      <c r="N23" s="53">
        <v>0.77</v>
      </c>
      <c r="O23" s="33"/>
      <c r="P23" s="33" t="s">
        <v>627</v>
      </c>
      <c r="Q23" t="str">
        <f>VLOOKUP(P23,GroupLabels!$E$2:$H$145,3,0)</f>
        <v>Korea - Korean</v>
      </c>
    </row>
    <row r="24" spans="1:17" x14ac:dyDescent="0.25">
      <c r="A24" t="s">
        <v>3004</v>
      </c>
      <c r="B24" s="53">
        <v>0.82</v>
      </c>
      <c r="C24" s="53">
        <v>0.68</v>
      </c>
      <c r="D24" s="53">
        <v>0.77</v>
      </c>
      <c r="E24" s="53">
        <v>0.86</v>
      </c>
      <c r="F24" s="53">
        <v>0.88</v>
      </c>
      <c r="G24" s="53">
        <v>0.81</v>
      </c>
      <c r="H24" s="53">
        <v>0.65</v>
      </c>
      <c r="I24" s="53">
        <v>0.85</v>
      </c>
      <c r="J24" s="53">
        <v>0.88</v>
      </c>
      <c r="K24" s="53">
        <v>0.9</v>
      </c>
      <c r="L24" s="53">
        <v>0.83</v>
      </c>
      <c r="M24" s="53">
        <v>0.79</v>
      </c>
      <c r="N24" s="53">
        <v>0.77</v>
      </c>
      <c r="O24" s="33"/>
      <c r="P24" s="33" t="s">
        <v>641</v>
      </c>
      <c r="Q24" t="str">
        <f>VLOOKUP(P24,GroupLabels!$E$2:$H$145,3,0)</f>
        <v>Luxembourg - English</v>
      </c>
    </row>
    <row r="25" spans="1:17" x14ac:dyDescent="0.25">
      <c r="A25" t="s">
        <v>3085</v>
      </c>
      <c r="B25" s="53">
        <v>0.86</v>
      </c>
      <c r="C25" s="53">
        <v>0.75</v>
      </c>
      <c r="D25" s="53">
        <v>0.82</v>
      </c>
      <c r="E25" s="53">
        <v>0.9</v>
      </c>
      <c r="F25" s="53">
        <v>0.91</v>
      </c>
      <c r="G25" s="53">
        <v>0.88</v>
      </c>
      <c r="H25" s="53">
        <v>0.69</v>
      </c>
      <c r="I25" s="53">
        <v>0.87</v>
      </c>
      <c r="J25" s="53">
        <v>0.88</v>
      </c>
      <c r="K25" s="53">
        <v>0.9</v>
      </c>
      <c r="L25" s="53">
        <v>0.8</v>
      </c>
      <c r="M25" s="53">
        <v>0.81</v>
      </c>
      <c r="N25" s="53">
        <v>0.78</v>
      </c>
      <c r="O25" s="33"/>
      <c r="P25" s="33" t="s">
        <v>642</v>
      </c>
      <c r="Q25" t="str">
        <f>VLOOKUP(P25,GroupLabels!$E$2:$H$145,3,0)</f>
        <v>Luxembourg - French</v>
      </c>
    </row>
    <row r="26" spans="1:17" x14ac:dyDescent="0.25">
      <c r="A26" t="s">
        <v>2969</v>
      </c>
      <c r="B26" s="53">
        <v>0.83</v>
      </c>
      <c r="C26" s="53">
        <v>0.73</v>
      </c>
      <c r="D26" s="53">
        <v>0.81</v>
      </c>
      <c r="E26" s="53">
        <v>0.91</v>
      </c>
      <c r="F26" s="53">
        <v>0.91</v>
      </c>
      <c r="G26" s="53">
        <v>0.78</v>
      </c>
      <c r="H26" s="53">
        <v>0.72</v>
      </c>
      <c r="I26" s="53">
        <v>0.87</v>
      </c>
      <c r="J26" s="53">
        <v>0.79</v>
      </c>
      <c r="K26" s="53">
        <v>0.88</v>
      </c>
      <c r="L26" s="53">
        <v>0.83</v>
      </c>
      <c r="M26" s="53">
        <v>0.78</v>
      </c>
      <c r="N26" s="53">
        <v>0.76</v>
      </c>
      <c r="O26" s="33"/>
      <c r="P26" s="33" t="s">
        <v>643</v>
      </c>
      <c r="Q26" t="str">
        <f>VLOOKUP(P26,GroupLabels!$E$2:$H$145,3,0)</f>
        <v>Luxembourg - German</v>
      </c>
    </row>
    <row r="27" spans="1:17" x14ac:dyDescent="0.25">
      <c r="A27" t="s">
        <v>3007</v>
      </c>
      <c r="B27" s="53">
        <v>0.89</v>
      </c>
      <c r="C27" s="53">
        <v>0.79</v>
      </c>
      <c r="D27" s="53">
        <v>0.81</v>
      </c>
      <c r="E27" s="53">
        <v>0.9</v>
      </c>
      <c r="F27" s="53">
        <v>0.92</v>
      </c>
      <c r="G27" s="53">
        <v>0.86</v>
      </c>
      <c r="H27" s="53">
        <v>0.76</v>
      </c>
      <c r="I27" s="53">
        <v>0.91</v>
      </c>
      <c r="J27" s="53">
        <v>0.81</v>
      </c>
      <c r="K27" s="53">
        <v>0.89</v>
      </c>
      <c r="L27" s="53">
        <v>0.79</v>
      </c>
      <c r="M27" s="53">
        <v>0.85</v>
      </c>
      <c r="N27" s="53">
        <v>0.8</v>
      </c>
      <c r="O27" s="33"/>
      <c r="P27" s="33" t="s">
        <v>644</v>
      </c>
      <c r="Q27" t="str">
        <f>VLOOKUP(P27,GroupLabels!$E$2:$H$145,3,0)</f>
        <v>Macao (China) - English</v>
      </c>
    </row>
    <row r="28" spans="1:17" x14ac:dyDescent="0.25">
      <c r="A28" t="s">
        <v>3200</v>
      </c>
      <c r="B28" s="53">
        <v>0.77</v>
      </c>
      <c r="C28" s="53">
        <v>0.66</v>
      </c>
      <c r="D28" s="53">
        <v>0.83</v>
      </c>
      <c r="E28" s="53">
        <v>0.85</v>
      </c>
      <c r="F28" s="53">
        <v>0.84</v>
      </c>
      <c r="G28" s="53">
        <v>0.9</v>
      </c>
      <c r="H28" s="53">
        <v>0.85</v>
      </c>
      <c r="I28" s="53">
        <v>0.85</v>
      </c>
      <c r="J28" s="53">
        <v>0.84</v>
      </c>
      <c r="K28" s="53">
        <v>0.89</v>
      </c>
      <c r="L28" s="53">
        <v>0.69</v>
      </c>
      <c r="M28" s="53">
        <v>0.76</v>
      </c>
      <c r="N28" s="53">
        <v>0.74</v>
      </c>
      <c r="O28" s="33"/>
      <c r="P28" s="33" t="s">
        <v>645</v>
      </c>
      <c r="Q28" t="str">
        <f>VLOOKUP(P28,GroupLabels!$E$2:$H$145,3,0)</f>
        <v>Macao (China) - Portuguese</v>
      </c>
    </row>
    <row r="29" spans="1:17" x14ac:dyDescent="0.25">
      <c r="A29" t="s">
        <v>3279</v>
      </c>
      <c r="B29" s="53">
        <v>0.91</v>
      </c>
      <c r="C29" s="53">
        <v>0.82</v>
      </c>
      <c r="D29" s="53">
        <v>0.85</v>
      </c>
      <c r="E29" s="53">
        <v>0.92</v>
      </c>
      <c r="F29" s="53">
        <v>0.93</v>
      </c>
      <c r="G29" s="53">
        <v>0.88</v>
      </c>
      <c r="H29" s="53">
        <v>0.85</v>
      </c>
      <c r="I29" s="53">
        <v>0.92</v>
      </c>
      <c r="J29" s="53">
        <v>0.8</v>
      </c>
      <c r="K29" s="53">
        <v>0.92</v>
      </c>
      <c r="L29" s="53">
        <v>0.78</v>
      </c>
      <c r="M29" s="53">
        <v>0.85</v>
      </c>
      <c r="N29" s="53">
        <v>0.83</v>
      </c>
      <c r="O29" s="33"/>
      <c r="P29" s="33" t="s">
        <v>646</v>
      </c>
      <c r="Q29" t="str">
        <f>VLOOKUP(P29,GroupLabels!$E$2:$H$145,3,0)</f>
        <v>Macao (China) - Chinese</v>
      </c>
    </row>
    <row r="30" spans="1:17" x14ac:dyDescent="0.25">
      <c r="A30" t="s">
        <v>3143</v>
      </c>
      <c r="B30" s="53">
        <v>0.88</v>
      </c>
      <c r="C30" s="53">
        <v>0.69</v>
      </c>
      <c r="D30" s="53">
        <v>0.85</v>
      </c>
      <c r="E30" s="53">
        <v>0.94</v>
      </c>
      <c r="F30" s="53">
        <v>0.89</v>
      </c>
      <c r="G30" s="53">
        <v>0.82</v>
      </c>
      <c r="H30" s="53">
        <v>0.82</v>
      </c>
      <c r="I30" s="53">
        <v>0.84</v>
      </c>
      <c r="J30" s="53">
        <v>0.78</v>
      </c>
      <c r="K30" s="53">
        <v>0.91</v>
      </c>
      <c r="L30" s="53">
        <v>0.9</v>
      </c>
      <c r="M30" s="53">
        <v>0.85</v>
      </c>
      <c r="N30" s="53">
        <v>0.79</v>
      </c>
      <c r="O30" s="33"/>
      <c r="P30" s="33" t="s">
        <v>656</v>
      </c>
      <c r="Q30" t="str">
        <f>VLOOKUP(P30,GroupLabels!$E$2:$H$145,3,0)</f>
        <v>Mongolia - Kazakh</v>
      </c>
    </row>
    <row r="31" spans="1:17" x14ac:dyDescent="0.25">
      <c r="A31" t="s">
        <v>3175</v>
      </c>
      <c r="B31" s="53">
        <v>0.89</v>
      </c>
      <c r="C31" s="53">
        <v>0.77</v>
      </c>
      <c r="D31" s="53">
        <v>0.84</v>
      </c>
      <c r="E31" s="53">
        <v>0.92</v>
      </c>
      <c r="F31" s="53">
        <v>0.91</v>
      </c>
      <c r="G31" s="53">
        <v>0.86</v>
      </c>
      <c r="H31" s="53">
        <v>0.82</v>
      </c>
      <c r="I31" s="53">
        <v>0.84</v>
      </c>
      <c r="J31" s="53">
        <v>0.86</v>
      </c>
      <c r="K31" s="53">
        <v>0.93</v>
      </c>
      <c r="L31" s="53">
        <v>0.84</v>
      </c>
      <c r="M31" s="53">
        <v>0.83</v>
      </c>
      <c r="N31" s="53">
        <v>0.82</v>
      </c>
      <c r="O31" s="33"/>
      <c r="P31" s="33" t="s">
        <v>657</v>
      </c>
      <c r="Q31" t="str">
        <f>VLOOKUP(P31,GroupLabels!$E$2:$H$145,3,0)</f>
        <v>Mongolia - Mongolian</v>
      </c>
    </row>
    <row r="32" spans="1:17" x14ac:dyDescent="0.25">
      <c r="A32" t="s">
        <v>3202</v>
      </c>
      <c r="B32" s="53">
        <v>0.85</v>
      </c>
      <c r="C32" s="53">
        <v>0.67</v>
      </c>
      <c r="D32" s="53">
        <v>0.8</v>
      </c>
      <c r="E32" s="53">
        <v>0.9</v>
      </c>
      <c r="F32" s="53">
        <v>0.87</v>
      </c>
      <c r="G32" s="53">
        <v>0.9</v>
      </c>
      <c r="H32" s="53">
        <v>0.77</v>
      </c>
      <c r="I32" s="53">
        <v>0.85</v>
      </c>
      <c r="J32" s="53">
        <v>0.88</v>
      </c>
      <c r="K32" s="53">
        <v>0.89</v>
      </c>
      <c r="L32" s="53">
        <v>0.79</v>
      </c>
      <c r="M32" s="53">
        <v>0.8</v>
      </c>
      <c r="N32" s="53">
        <v>0.81</v>
      </c>
      <c r="O32" s="33"/>
      <c r="P32" s="33" t="s">
        <v>671</v>
      </c>
      <c r="Q32" t="str">
        <f>VLOOKUP(P32,GroupLabels!$E$2:$H$145,3,0)</f>
        <v>Portugal - Portuguese</v>
      </c>
    </row>
    <row r="33" spans="1:17" x14ac:dyDescent="0.25">
      <c r="A33" t="s">
        <v>3106</v>
      </c>
      <c r="B33" s="53">
        <v>0.85</v>
      </c>
      <c r="C33" s="53">
        <v>0.7</v>
      </c>
      <c r="D33" s="53">
        <v>0.82</v>
      </c>
      <c r="E33" s="53">
        <v>0.91</v>
      </c>
      <c r="F33" s="53">
        <v>0.88</v>
      </c>
      <c r="G33" s="53">
        <v>0.82</v>
      </c>
      <c r="H33" s="53">
        <v>0.77</v>
      </c>
      <c r="I33" s="53">
        <v>0.87</v>
      </c>
      <c r="J33" s="53">
        <v>0.79</v>
      </c>
      <c r="K33" s="53">
        <v>0.88</v>
      </c>
      <c r="L33" s="53">
        <v>0.81</v>
      </c>
      <c r="M33" s="53">
        <v>0.77</v>
      </c>
      <c r="N33" s="53">
        <v>0.71</v>
      </c>
      <c r="O33" s="33"/>
      <c r="P33" s="33" t="s">
        <v>674</v>
      </c>
      <c r="Q33" t="str">
        <f>VLOOKUP(P33,GroupLabels!$E$2:$H$145,3,0)</f>
        <v>Romania - Hungarian</v>
      </c>
    </row>
    <row r="34" spans="1:17" x14ac:dyDescent="0.25">
      <c r="A34" t="s">
        <v>3207</v>
      </c>
      <c r="B34" s="53">
        <v>0.85</v>
      </c>
      <c r="C34" s="53">
        <v>0.71</v>
      </c>
      <c r="D34" s="53">
        <v>0.84</v>
      </c>
      <c r="E34" s="53">
        <v>0.92</v>
      </c>
      <c r="F34" s="53">
        <v>0.91</v>
      </c>
      <c r="G34" s="53">
        <v>0.88</v>
      </c>
      <c r="H34" s="53">
        <v>0.8</v>
      </c>
      <c r="I34" s="53">
        <v>0.86</v>
      </c>
      <c r="J34" s="53">
        <v>0.83</v>
      </c>
      <c r="K34" s="53">
        <v>0.9</v>
      </c>
      <c r="L34" s="53">
        <v>0.84</v>
      </c>
      <c r="M34" s="53">
        <v>0.79</v>
      </c>
      <c r="N34" s="53">
        <v>0.85</v>
      </c>
      <c r="O34" s="33"/>
      <c r="P34" s="33" t="s">
        <v>675</v>
      </c>
      <c r="Q34" t="str">
        <f>VLOOKUP(P34,GroupLabels!$E$2:$H$145,3,0)</f>
        <v>Romania - Romanian</v>
      </c>
    </row>
    <row r="35" spans="1:17" x14ac:dyDescent="0.25">
      <c r="A35" s="3" t="s">
        <v>3282</v>
      </c>
      <c r="B35" s="78">
        <v>0.91</v>
      </c>
      <c r="C35" s="78">
        <v>0.83</v>
      </c>
      <c r="D35" s="78">
        <v>0.87</v>
      </c>
      <c r="E35" s="78">
        <v>0.92</v>
      </c>
      <c r="F35" s="78">
        <v>0.94</v>
      </c>
      <c r="G35" s="78">
        <v>0.87</v>
      </c>
      <c r="H35" s="78">
        <v>0.86</v>
      </c>
      <c r="I35" s="78">
        <v>0.94</v>
      </c>
      <c r="J35" s="78">
        <v>0.82</v>
      </c>
      <c r="K35" s="78">
        <v>0.92</v>
      </c>
      <c r="L35" s="78">
        <v>0.83</v>
      </c>
      <c r="M35" s="78">
        <v>0.84</v>
      </c>
      <c r="N35" s="78">
        <v>0.81</v>
      </c>
      <c r="O35" s="33"/>
      <c r="P35" s="33" t="s">
        <v>693</v>
      </c>
      <c r="Q35" t="str">
        <f>VLOOKUP(P35,GroupLabels!$E$2:$H$145,3,0)</f>
        <v>Chinese Taipei - Chinese</v>
      </c>
    </row>
  </sheetData>
  <sheetProtection formatColumns="0" formatRows="0"/>
  <sortState xmlns:xlrd2="http://schemas.microsoft.com/office/spreadsheetml/2017/richdata2" ref="A7:Q34">
    <sortCondition ref="A7:A34"/>
  </sortState>
  <hyperlinks>
    <hyperlink ref="A1" location="TOC!A1" display="Table of Contents" xr:uid="{84156B41-000F-4AAA-9230-9DDEEFA151DC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9"/>
  <dimension ref="A1:Q3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1" customWidth="1"/>
    <col min="2" max="2" width="10" style="8" customWidth="1"/>
    <col min="3" max="14" width="9.140625" style="8" customWidth="1"/>
    <col min="16" max="17" width="0" hidden="1"/>
  </cols>
  <sheetData>
    <row r="1" spans="1:17" x14ac:dyDescent="0.25">
      <c r="A1" s="141" t="s">
        <v>316</v>
      </c>
      <c r="B1" s="98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91"/>
      <c r="B2" s="99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124</v>
      </c>
      <c r="B3" s="99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90" t="s">
        <v>125</v>
      </c>
      <c r="B4" s="9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91"/>
      <c r="B5" s="99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92" t="s">
        <v>566</v>
      </c>
      <c r="B6" s="100" t="s">
        <v>385</v>
      </c>
      <c r="C6" s="100" t="s">
        <v>386</v>
      </c>
      <c r="D6" s="100" t="s">
        <v>387</v>
      </c>
      <c r="E6" s="100" t="s">
        <v>343</v>
      </c>
      <c r="F6" s="100" t="s">
        <v>344</v>
      </c>
      <c r="G6" s="100" t="s">
        <v>388</v>
      </c>
      <c r="H6" s="100" t="s">
        <v>436</v>
      </c>
      <c r="I6" s="100" t="s">
        <v>345</v>
      </c>
      <c r="J6" s="100" t="s">
        <v>390</v>
      </c>
      <c r="K6" s="100" t="s">
        <v>346</v>
      </c>
      <c r="L6" s="100" t="s">
        <v>391</v>
      </c>
      <c r="M6" s="100" t="s">
        <v>342</v>
      </c>
      <c r="N6" s="100" t="s">
        <v>389</v>
      </c>
      <c r="O6" s="33"/>
      <c r="P6" s="33"/>
      <c r="Q6" s="33"/>
    </row>
    <row r="7" spans="1:17" x14ac:dyDescent="0.25">
      <c r="A7" t="s">
        <v>3185</v>
      </c>
      <c r="B7" s="73">
        <v>7</v>
      </c>
      <c r="C7" s="73">
        <v>4</v>
      </c>
      <c r="D7" s="73">
        <v>13</v>
      </c>
      <c r="E7" s="73">
        <v>11</v>
      </c>
      <c r="F7" s="73">
        <v>5</v>
      </c>
      <c r="G7" s="73">
        <v>5</v>
      </c>
      <c r="H7" s="73">
        <v>5</v>
      </c>
      <c r="I7" s="73">
        <v>8</v>
      </c>
      <c r="J7" s="73">
        <v>7</v>
      </c>
      <c r="K7" s="73">
        <v>13</v>
      </c>
      <c r="L7" s="73">
        <v>5</v>
      </c>
      <c r="M7" s="73">
        <v>11</v>
      </c>
      <c r="N7" s="73">
        <v>5</v>
      </c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">
        <v>2985</v>
      </c>
      <c r="B8" s="73">
        <v>7</v>
      </c>
      <c r="C8" s="73">
        <v>4</v>
      </c>
      <c r="D8" s="73">
        <v>13</v>
      </c>
      <c r="E8" s="73">
        <v>11</v>
      </c>
      <c r="F8" s="73">
        <v>5</v>
      </c>
      <c r="G8" s="73">
        <v>5</v>
      </c>
      <c r="H8" s="73">
        <v>5</v>
      </c>
      <c r="I8" s="73">
        <v>8</v>
      </c>
      <c r="J8" s="73">
        <v>7</v>
      </c>
      <c r="K8" s="73">
        <v>13</v>
      </c>
      <c r="L8" s="73">
        <v>5</v>
      </c>
      <c r="M8" s="73">
        <v>11</v>
      </c>
      <c r="N8" s="73">
        <v>5</v>
      </c>
      <c r="O8" s="33"/>
      <c r="P8" s="33" t="s">
        <v>578</v>
      </c>
      <c r="Q8" t="str">
        <f>VLOOKUP(P8,GroupLabels!$E$2:$H$145,3,0)</f>
        <v>Brunei Darussalam - English</v>
      </c>
    </row>
    <row r="9" spans="1:17" x14ac:dyDescent="0.25">
      <c r="A9" t="s">
        <v>3178</v>
      </c>
      <c r="B9" s="73">
        <v>7</v>
      </c>
      <c r="C9" s="73">
        <v>4</v>
      </c>
      <c r="D9" s="73">
        <v>13</v>
      </c>
      <c r="E9" s="73">
        <v>11</v>
      </c>
      <c r="F9" s="73">
        <v>5</v>
      </c>
      <c r="G9" s="73">
        <v>5</v>
      </c>
      <c r="H9" s="73">
        <v>5</v>
      </c>
      <c r="I9" s="73">
        <v>8</v>
      </c>
      <c r="J9" s="73">
        <v>7</v>
      </c>
      <c r="K9" s="73">
        <v>13</v>
      </c>
      <c r="L9" s="73">
        <v>5</v>
      </c>
      <c r="M9" s="73">
        <v>11</v>
      </c>
      <c r="N9" s="73">
        <v>5</v>
      </c>
      <c r="O9" s="33"/>
      <c r="P9" s="33" t="s">
        <v>1453</v>
      </c>
      <c r="Q9" t="str">
        <f>VLOOKUP(P9,GroupLabels!$E$2:$H$145,3,0)</f>
        <v>Brunei Darussalam - Malay</v>
      </c>
    </row>
    <row r="10" spans="1:17" x14ac:dyDescent="0.25">
      <c r="A10" t="s">
        <v>3040</v>
      </c>
      <c r="B10" s="73">
        <v>7</v>
      </c>
      <c r="C10" s="73">
        <v>4</v>
      </c>
      <c r="D10" s="73">
        <v>13</v>
      </c>
      <c r="E10" s="73">
        <v>11</v>
      </c>
      <c r="F10" s="73">
        <v>5</v>
      </c>
      <c r="G10" s="73">
        <v>5</v>
      </c>
      <c r="H10" s="73">
        <v>5</v>
      </c>
      <c r="I10" s="73">
        <v>8</v>
      </c>
      <c r="J10" s="73">
        <v>7</v>
      </c>
      <c r="K10" s="73">
        <v>13</v>
      </c>
      <c r="L10" s="73">
        <v>5</v>
      </c>
      <c r="M10" s="73">
        <v>11</v>
      </c>
      <c r="N10" s="73">
        <v>5</v>
      </c>
      <c r="O10" s="33"/>
      <c r="P10" s="33" t="s">
        <v>586</v>
      </c>
      <c r="Q10" t="str">
        <f>VLOOKUP(P10,GroupLabels!$E$2:$H$145,3,0)</f>
        <v>Colombia - Spanish</v>
      </c>
    </row>
    <row r="11" spans="1:17" x14ac:dyDescent="0.25">
      <c r="A11" t="s">
        <v>3044</v>
      </c>
      <c r="B11" s="73">
        <v>7</v>
      </c>
      <c r="C11" s="73">
        <v>4</v>
      </c>
      <c r="D11" s="73">
        <v>13</v>
      </c>
      <c r="E11" s="73">
        <v>11</v>
      </c>
      <c r="F11" s="73">
        <v>5</v>
      </c>
      <c r="G11" s="73">
        <v>5</v>
      </c>
      <c r="H11" s="73">
        <v>5</v>
      </c>
      <c r="I11" s="73">
        <v>8</v>
      </c>
      <c r="J11" s="73">
        <v>7</v>
      </c>
      <c r="K11" s="73">
        <v>13</v>
      </c>
      <c r="L11" s="73">
        <v>5</v>
      </c>
      <c r="M11" s="73">
        <v>11</v>
      </c>
      <c r="N11" s="73">
        <v>5</v>
      </c>
      <c r="O11" s="33"/>
      <c r="P11" s="33" t="s">
        <v>594</v>
      </c>
      <c r="Q11" t="str">
        <f>VLOOKUP(P11,GroupLabels!$E$2:$H$145,3,0)</f>
        <v>Dominican Republic - Spanish</v>
      </c>
    </row>
    <row r="12" spans="1:17" x14ac:dyDescent="0.25">
      <c r="A12" t="s">
        <v>2920</v>
      </c>
      <c r="B12" s="73">
        <v>7</v>
      </c>
      <c r="C12" s="73">
        <v>4</v>
      </c>
      <c r="D12" s="73">
        <v>13</v>
      </c>
      <c r="E12" s="73">
        <v>11</v>
      </c>
      <c r="F12" s="73">
        <v>5</v>
      </c>
      <c r="G12" s="73">
        <v>5</v>
      </c>
      <c r="H12" s="73">
        <v>5</v>
      </c>
      <c r="I12" s="73">
        <v>8</v>
      </c>
      <c r="J12" s="73">
        <v>7</v>
      </c>
      <c r="K12" s="73">
        <v>13</v>
      </c>
      <c r="L12" s="73">
        <v>5</v>
      </c>
      <c r="M12" s="73">
        <v>11</v>
      </c>
      <c r="N12" s="73">
        <v>5</v>
      </c>
      <c r="O12" s="33"/>
      <c r="P12" s="33" t="s">
        <v>604</v>
      </c>
      <c r="Q12" t="str">
        <f>VLOOKUP(P12,GroupLabels!$E$2:$H$145,3,0)</f>
        <v>Georgia - Azerbaijani</v>
      </c>
    </row>
    <row r="13" spans="1:17" x14ac:dyDescent="0.25">
      <c r="A13" t="s">
        <v>3136</v>
      </c>
      <c r="B13" s="73">
        <v>7</v>
      </c>
      <c r="C13" s="73">
        <v>4</v>
      </c>
      <c r="D13" s="73">
        <v>13</v>
      </c>
      <c r="E13" s="73">
        <v>11</v>
      </c>
      <c r="F13" s="73">
        <v>5</v>
      </c>
      <c r="G13" s="73">
        <v>5</v>
      </c>
      <c r="H13" s="73">
        <v>5</v>
      </c>
      <c r="I13" s="73">
        <v>8</v>
      </c>
      <c r="J13" s="73">
        <v>7</v>
      </c>
      <c r="K13" s="73">
        <v>13</v>
      </c>
      <c r="L13" s="73">
        <v>5</v>
      </c>
      <c r="M13" s="73">
        <v>11</v>
      </c>
      <c r="N13" s="73">
        <v>5</v>
      </c>
      <c r="O13" s="33"/>
      <c r="P13" s="33" t="s">
        <v>605</v>
      </c>
      <c r="Q13" t="str">
        <f>VLOOKUP(P13,GroupLabels!$E$2:$H$145,3,0)</f>
        <v>Georgia - Georgian</v>
      </c>
    </row>
    <row r="14" spans="1:17" x14ac:dyDescent="0.25">
      <c r="A14" t="s">
        <v>3211</v>
      </c>
      <c r="B14" s="73">
        <v>7</v>
      </c>
      <c r="C14" s="73">
        <v>4</v>
      </c>
      <c r="D14" s="73">
        <v>13</v>
      </c>
      <c r="E14" s="73">
        <v>11</v>
      </c>
      <c r="F14" s="73">
        <v>5</v>
      </c>
      <c r="G14" s="73">
        <v>5</v>
      </c>
      <c r="H14" s="73">
        <v>5</v>
      </c>
      <c r="I14" s="73">
        <v>8</v>
      </c>
      <c r="J14" s="73">
        <v>7</v>
      </c>
      <c r="K14" s="73">
        <v>13</v>
      </c>
      <c r="L14" s="73">
        <v>5</v>
      </c>
      <c r="M14" s="73">
        <v>11</v>
      </c>
      <c r="N14" s="73">
        <v>5</v>
      </c>
      <c r="O14" s="33"/>
      <c r="P14" s="33" t="s">
        <v>606</v>
      </c>
      <c r="Q14" t="str">
        <f>VLOOKUP(P14,GroupLabels!$E$2:$H$145,3,0)</f>
        <v>Georgia - Russian</v>
      </c>
    </row>
    <row r="15" spans="1:17" x14ac:dyDescent="0.25">
      <c r="A15" t="s">
        <v>767</v>
      </c>
      <c r="B15" s="73">
        <v>7</v>
      </c>
      <c r="C15" s="73">
        <v>4</v>
      </c>
      <c r="D15" s="73">
        <v>13</v>
      </c>
      <c r="E15" s="73">
        <v>11</v>
      </c>
      <c r="F15" s="73">
        <v>5</v>
      </c>
      <c r="G15" s="73">
        <v>5</v>
      </c>
      <c r="H15" s="73">
        <v>5</v>
      </c>
      <c r="I15" s="73">
        <v>8</v>
      </c>
      <c r="J15" s="73">
        <v>7</v>
      </c>
      <c r="K15" s="73">
        <v>13</v>
      </c>
      <c r="L15" s="73">
        <v>5</v>
      </c>
      <c r="M15" s="73">
        <v>11</v>
      </c>
      <c r="N15" s="73">
        <v>5</v>
      </c>
      <c r="O15" s="33"/>
      <c r="P15" s="33" t="s">
        <v>607</v>
      </c>
      <c r="Q15" t="str">
        <f>VLOOKUP(P15,GroupLabels!$E$2:$H$145,3,0)</f>
        <v>Germany - German</v>
      </c>
    </row>
    <row r="16" spans="1:17" x14ac:dyDescent="0.25">
      <c r="A16" t="s">
        <v>3278</v>
      </c>
      <c r="B16" s="73">
        <v>7</v>
      </c>
      <c r="C16" s="73">
        <v>4</v>
      </c>
      <c r="D16" s="73">
        <v>13</v>
      </c>
      <c r="E16" s="73">
        <v>11</v>
      </c>
      <c r="F16" s="73">
        <v>5</v>
      </c>
      <c r="G16" s="73">
        <v>5</v>
      </c>
      <c r="H16" s="73">
        <v>5</v>
      </c>
      <c r="I16" s="73">
        <v>8</v>
      </c>
      <c r="J16" s="73">
        <v>7</v>
      </c>
      <c r="K16" s="73">
        <v>13</v>
      </c>
      <c r="L16" s="73">
        <v>5</v>
      </c>
      <c r="M16" s="73">
        <v>11</v>
      </c>
      <c r="N16" s="73">
        <v>5</v>
      </c>
      <c r="O16" s="33"/>
      <c r="P16" s="33" t="s">
        <v>610</v>
      </c>
      <c r="Q16" t="str">
        <f>VLOOKUP(P16,GroupLabels!$E$2:$H$145,3,0)</f>
        <v>Hong Kong (China) - Chinese</v>
      </c>
    </row>
    <row r="17" spans="1:17" x14ac:dyDescent="0.25">
      <c r="A17" t="s">
        <v>2993</v>
      </c>
      <c r="B17" s="73">
        <v>7</v>
      </c>
      <c r="C17" s="73">
        <v>4</v>
      </c>
      <c r="D17" s="73">
        <v>13</v>
      </c>
      <c r="E17" s="73">
        <v>11</v>
      </c>
      <c r="F17" s="73">
        <v>5</v>
      </c>
      <c r="G17" s="73">
        <v>5</v>
      </c>
      <c r="H17" s="73">
        <v>5</v>
      </c>
      <c r="I17" s="73">
        <v>8</v>
      </c>
      <c r="J17" s="73">
        <v>7</v>
      </c>
      <c r="K17" s="73">
        <v>13</v>
      </c>
      <c r="L17" s="73">
        <v>5</v>
      </c>
      <c r="M17" s="73">
        <v>11</v>
      </c>
      <c r="N17" s="73">
        <v>5</v>
      </c>
      <c r="O17" s="33"/>
      <c r="P17" s="33" t="s">
        <v>611</v>
      </c>
      <c r="Q17" t="str">
        <f>VLOOKUP(P17,GroupLabels!$E$2:$H$145,3,0)</f>
        <v>Hong Kong (China) - English</v>
      </c>
    </row>
    <row r="18" spans="1:17" x14ac:dyDescent="0.25">
      <c r="A18" t="s">
        <v>2995</v>
      </c>
      <c r="B18" s="73">
        <v>7</v>
      </c>
      <c r="C18" s="73">
        <v>4</v>
      </c>
      <c r="D18" s="73">
        <v>13</v>
      </c>
      <c r="E18" s="73">
        <v>11</v>
      </c>
      <c r="F18" s="73">
        <v>5</v>
      </c>
      <c r="G18" s="73">
        <v>5</v>
      </c>
      <c r="H18" s="73">
        <v>5</v>
      </c>
      <c r="I18" s="73">
        <v>8</v>
      </c>
      <c r="J18" s="73">
        <v>7</v>
      </c>
      <c r="K18" s="73">
        <v>13</v>
      </c>
      <c r="L18" s="73">
        <v>5</v>
      </c>
      <c r="M18" s="73">
        <v>11</v>
      </c>
      <c r="N18" s="73">
        <v>5</v>
      </c>
      <c r="O18" s="33"/>
      <c r="P18" s="33" t="s">
        <v>615</v>
      </c>
      <c r="Q18" t="str">
        <f>VLOOKUP(P18,GroupLabels!$E$2:$H$145,3,0)</f>
        <v>Ireland - English</v>
      </c>
    </row>
    <row r="19" spans="1:17" x14ac:dyDescent="0.25">
      <c r="A19" t="s">
        <v>3088</v>
      </c>
      <c r="B19" s="73">
        <v>7</v>
      </c>
      <c r="C19" s="73">
        <v>4</v>
      </c>
      <c r="D19" s="73">
        <v>13</v>
      </c>
      <c r="E19" s="73">
        <v>11</v>
      </c>
      <c r="F19" s="73">
        <v>5</v>
      </c>
      <c r="G19" s="73">
        <v>5</v>
      </c>
      <c r="H19" s="73">
        <v>5</v>
      </c>
      <c r="I19" s="73">
        <v>8</v>
      </c>
      <c r="J19" s="73">
        <v>7</v>
      </c>
      <c r="K19" s="73">
        <v>13</v>
      </c>
      <c r="L19" s="73">
        <v>5</v>
      </c>
      <c r="M19" s="73">
        <v>11</v>
      </c>
      <c r="N19" s="73">
        <v>5</v>
      </c>
      <c r="O19" s="33"/>
      <c r="P19" s="33" t="s">
        <v>616</v>
      </c>
      <c r="Q19" t="str">
        <f>VLOOKUP(P19,GroupLabels!$E$2:$H$145,3,0)</f>
        <v>Ireland - Irish Gaeilge</v>
      </c>
    </row>
    <row r="20" spans="1:17" x14ac:dyDescent="0.25">
      <c r="A20" t="s">
        <v>2967</v>
      </c>
      <c r="B20" s="73">
        <v>7</v>
      </c>
      <c r="C20" s="73">
        <v>4</v>
      </c>
      <c r="D20" s="73">
        <v>13</v>
      </c>
      <c r="E20" s="73">
        <v>11</v>
      </c>
      <c r="F20" s="73">
        <v>5</v>
      </c>
      <c r="G20" s="73">
        <v>5</v>
      </c>
      <c r="H20" s="73">
        <v>5</v>
      </c>
      <c r="I20" s="73">
        <v>8</v>
      </c>
      <c r="J20" s="73">
        <v>7</v>
      </c>
      <c r="K20" s="73">
        <v>13</v>
      </c>
      <c r="L20" s="73">
        <v>5</v>
      </c>
      <c r="M20" s="73">
        <v>11</v>
      </c>
      <c r="N20" s="73">
        <v>5</v>
      </c>
      <c r="O20" s="33"/>
      <c r="P20" s="33" t="s">
        <v>620</v>
      </c>
      <c r="Q20" t="str">
        <f>VLOOKUP(P20,GroupLabels!$E$2:$H$145,3,0)</f>
        <v>Italy - German</v>
      </c>
    </row>
    <row r="21" spans="1:17" x14ac:dyDescent="0.25">
      <c r="A21" t="s">
        <v>3126</v>
      </c>
      <c r="B21" s="73">
        <v>7</v>
      </c>
      <c r="C21" s="73">
        <v>4</v>
      </c>
      <c r="D21" s="73">
        <v>13</v>
      </c>
      <c r="E21" s="73">
        <v>11</v>
      </c>
      <c r="F21" s="73">
        <v>5</v>
      </c>
      <c r="G21" s="73">
        <v>5</v>
      </c>
      <c r="H21" s="73">
        <v>5</v>
      </c>
      <c r="I21" s="73">
        <v>8</v>
      </c>
      <c r="J21" s="73">
        <v>7</v>
      </c>
      <c r="K21" s="73">
        <v>13</v>
      </c>
      <c r="L21" s="73">
        <v>5</v>
      </c>
      <c r="M21" s="73">
        <v>11</v>
      </c>
      <c r="N21" s="73">
        <v>5</v>
      </c>
      <c r="O21" s="33"/>
      <c r="P21" s="33" t="s">
        <v>621</v>
      </c>
      <c r="Q21" t="str">
        <f>VLOOKUP(P21,GroupLabels!$E$2:$H$145,3,0)</f>
        <v>Italy - Italian</v>
      </c>
    </row>
    <row r="22" spans="1:17" x14ac:dyDescent="0.25">
      <c r="A22" t="s">
        <v>3154</v>
      </c>
      <c r="B22" s="73">
        <v>7</v>
      </c>
      <c r="C22" s="73">
        <v>4</v>
      </c>
      <c r="D22" s="73">
        <v>13</v>
      </c>
      <c r="E22" s="73">
        <v>11</v>
      </c>
      <c r="F22" s="73">
        <v>5</v>
      </c>
      <c r="G22" s="73">
        <v>5</v>
      </c>
      <c r="H22" s="73">
        <v>5</v>
      </c>
      <c r="I22" s="73">
        <v>8</v>
      </c>
      <c r="J22" s="73">
        <v>7</v>
      </c>
      <c r="K22" s="73">
        <v>13</v>
      </c>
      <c r="L22" s="73">
        <v>5</v>
      </c>
      <c r="M22" s="73">
        <v>11</v>
      </c>
      <c r="N22" s="73">
        <v>5</v>
      </c>
      <c r="O22" s="33"/>
      <c r="P22" s="33" t="s">
        <v>627</v>
      </c>
      <c r="Q22" t="str">
        <f>VLOOKUP(P22,GroupLabels!$E$2:$H$145,3,0)</f>
        <v>Korea - Korean</v>
      </c>
    </row>
    <row r="23" spans="1:17" x14ac:dyDescent="0.25">
      <c r="A23" t="s">
        <v>3004</v>
      </c>
      <c r="B23" s="73">
        <v>7</v>
      </c>
      <c r="C23" s="73">
        <v>4</v>
      </c>
      <c r="D23" s="73">
        <v>13</v>
      </c>
      <c r="E23" s="73">
        <v>11</v>
      </c>
      <c r="F23" s="73">
        <v>5</v>
      </c>
      <c r="G23" s="73">
        <v>5</v>
      </c>
      <c r="H23" s="73">
        <v>5</v>
      </c>
      <c r="I23" s="73">
        <v>8</v>
      </c>
      <c r="J23" s="73">
        <v>7</v>
      </c>
      <c r="K23" s="73">
        <v>13</v>
      </c>
      <c r="L23" s="73">
        <v>5</v>
      </c>
      <c r="M23" s="73">
        <v>11</v>
      </c>
      <c r="N23" s="73">
        <v>5</v>
      </c>
      <c r="O23" s="33"/>
      <c r="P23" s="33" t="s">
        <v>641</v>
      </c>
      <c r="Q23" t="str">
        <f>VLOOKUP(P23,GroupLabels!$E$2:$H$145,3,0)</f>
        <v>Luxembourg - English</v>
      </c>
    </row>
    <row r="24" spans="1:17" x14ac:dyDescent="0.25">
      <c r="A24" t="s">
        <v>3085</v>
      </c>
      <c r="B24" s="73">
        <v>7</v>
      </c>
      <c r="C24" s="73">
        <v>4</v>
      </c>
      <c r="D24" s="73">
        <v>13</v>
      </c>
      <c r="E24" s="73">
        <v>11</v>
      </c>
      <c r="F24" s="73">
        <v>5</v>
      </c>
      <c r="G24" s="73">
        <v>5</v>
      </c>
      <c r="H24" s="73">
        <v>5</v>
      </c>
      <c r="I24" s="73">
        <v>8</v>
      </c>
      <c r="J24" s="73">
        <v>7</v>
      </c>
      <c r="K24" s="73">
        <v>13</v>
      </c>
      <c r="L24" s="73">
        <v>5</v>
      </c>
      <c r="M24" s="73">
        <v>11</v>
      </c>
      <c r="N24" s="73">
        <v>5</v>
      </c>
      <c r="O24" s="33"/>
      <c r="P24" s="33" t="s">
        <v>642</v>
      </c>
      <c r="Q24" t="str">
        <f>VLOOKUP(P24,GroupLabels!$E$2:$H$145,3,0)</f>
        <v>Luxembourg - French</v>
      </c>
    </row>
    <row r="25" spans="1:17" x14ac:dyDescent="0.25">
      <c r="A25" t="s">
        <v>2969</v>
      </c>
      <c r="B25" s="73">
        <v>7</v>
      </c>
      <c r="C25" s="73">
        <v>4</v>
      </c>
      <c r="D25" s="73">
        <v>13</v>
      </c>
      <c r="E25" s="73">
        <v>11</v>
      </c>
      <c r="F25" s="73">
        <v>5</v>
      </c>
      <c r="G25" s="73">
        <v>5</v>
      </c>
      <c r="H25" s="73">
        <v>5</v>
      </c>
      <c r="I25" s="73">
        <v>8</v>
      </c>
      <c r="J25" s="73">
        <v>7</v>
      </c>
      <c r="K25" s="73">
        <v>13</v>
      </c>
      <c r="L25" s="73">
        <v>5</v>
      </c>
      <c r="M25" s="73">
        <v>11</v>
      </c>
      <c r="N25" s="73">
        <v>5</v>
      </c>
      <c r="O25" s="33"/>
      <c r="P25" s="33" t="s">
        <v>643</v>
      </c>
      <c r="Q25" t="str">
        <f>VLOOKUP(P25,GroupLabels!$E$2:$H$145,3,0)</f>
        <v>Luxembourg - German</v>
      </c>
    </row>
    <row r="26" spans="1:17" x14ac:dyDescent="0.25">
      <c r="A26" t="s">
        <v>3007</v>
      </c>
      <c r="B26" s="73">
        <v>7</v>
      </c>
      <c r="C26" s="73">
        <v>4</v>
      </c>
      <c r="D26" s="73">
        <v>13</v>
      </c>
      <c r="E26" s="73">
        <v>11</v>
      </c>
      <c r="F26" s="73">
        <v>5</v>
      </c>
      <c r="G26" s="73">
        <v>5</v>
      </c>
      <c r="H26" s="73">
        <v>5</v>
      </c>
      <c r="I26" s="73">
        <v>8</v>
      </c>
      <c r="J26" s="73">
        <v>7</v>
      </c>
      <c r="K26" s="73">
        <v>13</v>
      </c>
      <c r="L26" s="73">
        <v>5</v>
      </c>
      <c r="M26" s="73">
        <v>11</v>
      </c>
      <c r="N26" s="73">
        <v>5</v>
      </c>
      <c r="O26" s="33"/>
      <c r="P26" s="33" t="s">
        <v>644</v>
      </c>
      <c r="Q26" t="str">
        <f>VLOOKUP(P26,GroupLabels!$E$2:$H$145,3,0)</f>
        <v>Macao (China) - English</v>
      </c>
    </row>
    <row r="27" spans="1:17" x14ac:dyDescent="0.25">
      <c r="A27" t="s">
        <v>3200</v>
      </c>
      <c r="B27" s="73">
        <v>7</v>
      </c>
      <c r="C27" s="73">
        <v>4</v>
      </c>
      <c r="D27" s="73">
        <v>13</v>
      </c>
      <c r="E27" s="73">
        <v>11</v>
      </c>
      <c r="F27" s="73">
        <v>5</v>
      </c>
      <c r="G27" s="73">
        <v>5</v>
      </c>
      <c r="H27" s="73">
        <v>5</v>
      </c>
      <c r="I27" s="73">
        <v>8</v>
      </c>
      <c r="J27" s="73">
        <v>7</v>
      </c>
      <c r="K27" s="73">
        <v>13</v>
      </c>
      <c r="L27" s="73">
        <v>5</v>
      </c>
      <c r="M27" s="73">
        <v>11</v>
      </c>
      <c r="N27" s="73">
        <v>5</v>
      </c>
      <c r="O27" s="33"/>
      <c r="P27" s="33" t="s">
        <v>645</v>
      </c>
      <c r="Q27" t="str">
        <f>VLOOKUP(P27,GroupLabels!$E$2:$H$145,3,0)</f>
        <v>Macao (China) - Portuguese</v>
      </c>
    </row>
    <row r="28" spans="1:17" x14ac:dyDescent="0.25">
      <c r="A28" t="s">
        <v>3279</v>
      </c>
      <c r="B28" s="73">
        <v>7</v>
      </c>
      <c r="C28" s="73">
        <v>4</v>
      </c>
      <c r="D28" s="73">
        <v>13</v>
      </c>
      <c r="E28" s="73">
        <v>11</v>
      </c>
      <c r="F28" s="73">
        <v>5</v>
      </c>
      <c r="G28" s="73">
        <v>5</v>
      </c>
      <c r="H28" s="73">
        <v>5</v>
      </c>
      <c r="I28" s="73">
        <v>8</v>
      </c>
      <c r="J28" s="73">
        <v>7</v>
      </c>
      <c r="K28" s="73">
        <v>13</v>
      </c>
      <c r="L28" s="73">
        <v>5</v>
      </c>
      <c r="M28" s="73">
        <v>11</v>
      </c>
      <c r="N28" s="73">
        <v>5</v>
      </c>
      <c r="O28" s="33"/>
      <c r="P28" s="33" t="s">
        <v>646</v>
      </c>
      <c r="Q28" t="str">
        <f>VLOOKUP(P28,GroupLabels!$E$2:$H$145,3,0)</f>
        <v>Macao (China) - Chinese</v>
      </c>
    </row>
    <row r="29" spans="1:17" x14ac:dyDescent="0.25">
      <c r="A29" t="s">
        <v>3143</v>
      </c>
      <c r="B29" s="73">
        <v>7</v>
      </c>
      <c r="C29" s="73">
        <v>4</v>
      </c>
      <c r="D29" s="73">
        <v>13</v>
      </c>
      <c r="E29" s="73">
        <v>11</v>
      </c>
      <c r="F29" s="73">
        <v>5</v>
      </c>
      <c r="G29" s="73">
        <v>5</v>
      </c>
      <c r="H29" s="73">
        <v>5</v>
      </c>
      <c r="I29" s="73">
        <v>8</v>
      </c>
      <c r="J29" s="73">
        <v>7</v>
      </c>
      <c r="K29" s="73">
        <v>13</v>
      </c>
      <c r="L29" s="73">
        <v>5</v>
      </c>
      <c r="M29" s="73">
        <v>10</v>
      </c>
      <c r="N29" s="73">
        <v>5</v>
      </c>
      <c r="O29" s="33"/>
      <c r="P29" s="33" t="s">
        <v>656</v>
      </c>
      <c r="Q29" t="str">
        <f>VLOOKUP(P29,GroupLabels!$E$2:$H$145,3,0)</f>
        <v>Mongolia - Kazakh</v>
      </c>
    </row>
    <row r="30" spans="1:17" x14ac:dyDescent="0.25">
      <c r="A30" t="s">
        <v>3175</v>
      </c>
      <c r="B30" s="73">
        <v>7</v>
      </c>
      <c r="C30" s="73">
        <v>4</v>
      </c>
      <c r="D30" s="73">
        <v>13</v>
      </c>
      <c r="E30" s="73">
        <v>11</v>
      </c>
      <c r="F30" s="73">
        <v>5</v>
      </c>
      <c r="G30" s="73">
        <v>5</v>
      </c>
      <c r="H30" s="73">
        <v>5</v>
      </c>
      <c r="I30" s="73">
        <v>8</v>
      </c>
      <c r="J30" s="73">
        <v>7</v>
      </c>
      <c r="K30" s="73">
        <v>13</v>
      </c>
      <c r="L30" s="73">
        <v>5</v>
      </c>
      <c r="M30" s="73">
        <v>11</v>
      </c>
      <c r="N30" s="73">
        <v>5</v>
      </c>
      <c r="O30" s="33"/>
      <c r="P30" s="33" t="s">
        <v>657</v>
      </c>
      <c r="Q30" t="str">
        <f>VLOOKUP(P30,GroupLabels!$E$2:$H$145,3,0)</f>
        <v>Mongolia - Mongolian</v>
      </c>
    </row>
    <row r="31" spans="1:17" x14ac:dyDescent="0.25">
      <c r="A31" t="s">
        <v>3202</v>
      </c>
      <c r="B31" s="73">
        <v>7</v>
      </c>
      <c r="C31" s="73">
        <v>4</v>
      </c>
      <c r="D31" s="73">
        <v>13</v>
      </c>
      <c r="E31" s="73">
        <v>11</v>
      </c>
      <c r="F31" s="73">
        <v>5</v>
      </c>
      <c r="G31" s="73">
        <v>5</v>
      </c>
      <c r="H31" s="73">
        <v>5</v>
      </c>
      <c r="I31" s="73">
        <v>8</v>
      </c>
      <c r="J31" s="73">
        <v>7</v>
      </c>
      <c r="K31" s="73">
        <v>13</v>
      </c>
      <c r="L31" s="73">
        <v>5</v>
      </c>
      <c r="M31" s="73">
        <v>11</v>
      </c>
      <c r="N31" s="73">
        <v>5</v>
      </c>
      <c r="O31" s="33"/>
      <c r="P31" s="33" t="s">
        <v>671</v>
      </c>
      <c r="Q31" t="str">
        <f>VLOOKUP(P31,GroupLabels!$E$2:$H$145,3,0)</f>
        <v>Portugal - Portuguese</v>
      </c>
    </row>
    <row r="32" spans="1:17" x14ac:dyDescent="0.25">
      <c r="A32" t="s">
        <v>3106</v>
      </c>
      <c r="B32" s="73">
        <v>7</v>
      </c>
      <c r="C32" s="73">
        <v>4</v>
      </c>
      <c r="D32" s="73">
        <v>13</v>
      </c>
      <c r="E32" s="73">
        <v>11</v>
      </c>
      <c r="F32" s="73">
        <v>5</v>
      </c>
      <c r="G32" s="73">
        <v>5</v>
      </c>
      <c r="H32" s="73">
        <v>5</v>
      </c>
      <c r="I32" s="73">
        <v>8</v>
      </c>
      <c r="J32" s="73">
        <v>7</v>
      </c>
      <c r="K32" s="73">
        <v>13</v>
      </c>
      <c r="L32" s="73">
        <v>5</v>
      </c>
      <c r="M32" s="73">
        <v>11</v>
      </c>
      <c r="N32" s="73">
        <v>4</v>
      </c>
      <c r="O32" s="33"/>
      <c r="P32" s="33" t="s">
        <v>674</v>
      </c>
      <c r="Q32" t="str">
        <f>VLOOKUP(P32,GroupLabels!$E$2:$H$145,3,0)</f>
        <v>Romania - Hungarian</v>
      </c>
    </row>
    <row r="33" spans="1:17" x14ac:dyDescent="0.25">
      <c r="A33" t="s">
        <v>3207</v>
      </c>
      <c r="B33" s="73">
        <v>7</v>
      </c>
      <c r="C33" s="73">
        <v>4</v>
      </c>
      <c r="D33" s="73">
        <v>13</v>
      </c>
      <c r="E33" s="73">
        <v>11</v>
      </c>
      <c r="F33" s="73">
        <v>5</v>
      </c>
      <c r="G33" s="73">
        <v>5</v>
      </c>
      <c r="H33" s="73">
        <v>5</v>
      </c>
      <c r="I33" s="73">
        <v>8</v>
      </c>
      <c r="J33" s="73">
        <v>7</v>
      </c>
      <c r="K33" s="73">
        <v>13</v>
      </c>
      <c r="L33" s="73">
        <v>5</v>
      </c>
      <c r="M33" s="73">
        <v>11</v>
      </c>
      <c r="N33" s="73">
        <v>5</v>
      </c>
      <c r="O33" s="33"/>
      <c r="P33" s="33" t="s">
        <v>675</v>
      </c>
      <c r="Q33" t="str">
        <f>VLOOKUP(P33,GroupLabels!$E$2:$H$145,3,0)</f>
        <v>Romania - Romanian</v>
      </c>
    </row>
    <row r="34" spans="1:17" x14ac:dyDescent="0.25">
      <c r="A34" s="3" t="s">
        <v>3282</v>
      </c>
      <c r="B34" s="75">
        <v>7</v>
      </c>
      <c r="C34" s="75">
        <v>4</v>
      </c>
      <c r="D34" s="75">
        <v>13</v>
      </c>
      <c r="E34" s="75">
        <v>11</v>
      </c>
      <c r="F34" s="75">
        <v>5</v>
      </c>
      <c r="G34" s="75">
        <v>5</v>
      </c>
      <c r="H34" s="75">
        <v>5</v>
      </c>
      <c r="I34" s="75">
        <v>8</v>
      </c>
      <c r="J34" s="75">
        <v>7</v>
      </c>
      <c r="K34" s="75">
        <v>13</v>
      </c>
      <c r="L34" s="75">
        <v>5</v>
      </c>
      <c r="M34" s="75">
        <v>11</v>
      </c>
      <c r="N34" s="75">
        <v>5</v>
      </c>
      <c r="O34" s="33"/>
      <c r="P34" s="33" t="s">
        <v>693</v>
      </c>
      <c r="Q34" t="str">
        <f>VLOOKUP(P34,GroupLabels!$E$2:$H$145,3,0)</f>
        <v>Chinese Taipei - Chinese</v>
      </c>
    </row>
  </sheetData>
  <sheetProtection formatColumns="0" formatRows="0"/>
  <sortState xmlns:xlrd2="http://schemas.microsoft.com/office/spreadsheetml/2017/richdata2" ref="A7:Q33">
    <sortCondition ref="A7:A33"/>
  </sortState>
  <hyperlinks>
    <hyperlink ref="A1" location="TOC!A1" display="Table of Contents" xr:uid="{E6D7F75C-677F-4532-9193-607F9BA9E679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0"/>
  <dimension ref="A1:Q3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6.7109375" customWidth="1"/>
    <col min="2" max="6" width="8.7109375" style="8" customWidth="1"/>
    <col min="16" max="17" width="0" hidden="1"/>
  </cols>
  <sheetData>
    <row r="1" spans="1:17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91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126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4" t="s">
        <v>127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92" t="s">
        <v>566</v>
      </c>
      <c r="B6" s="92" t="s">
        <v>342</v>
      </c>
      <c r="C6" s="92" t="s">
        <v>343</v>
      </c>
      <c r="D6" s="92" t="s">
        <v>344</v>
      </c>
      <c r="E6" s="92" t="s">
        <v>345</v>
      </c>
      <c r="F6" s="92" t="s">
        <v>346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x14ac:dyDescent="0.25">
      <c r="A7" t="s">
        <v>3185</v>
      </c>
      <c r="B7" s="33">
        <v>9</v>
      </c>
      <c r="C7" s="33">
        <v>6</v>
      </c>
      <c r="D7" s="33">
        <v>5</v>
      </c>
      <c r="E7" s="33">
        <v>6</v>
      </c>
      <c r="F7" s="33">
        <v>10</v>
      </c>
      <c r="G7" s="33"/>
      <c r="H7" s="33"/>
      <c r="I7" s="33"/>
      <c r="J7" s="33"/>
      <c r="K7" s="33"/>
      <c r="L7" s="33"/>
      <c r="M7" s="33"/>
      <c r="N7" s="33"/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">
        <v>3199</v>
      </c>
      <c r="B8" s="33">
        <v>8</v>
      </c>
      <c r="C8" s="33">
        <v>6</v>
      </c>
      <c r="D8" s="33">
        <v>5</v>
      </c>
      <c r="E8" s="33">
        <v>6</v>
      </c>
      <c r="F8" s="33">
        <v>10</v>
      </c>
      <c r="G8" s="33"/>
      <c r="H8" s="33"/>
      <c r="I8" s="33"/>
      <c r="J8" s="33"/>
      <c r="K8" s="33"/>
      <c r="L8" s="33"/>
      <c r="M8" s="33"/>
      <c r="N8" s="33"/>
      <c r="O8" s="33"/>
      <c r="P8" s="33" t="s">
        <v>577</v>
      </c>
      <c r="Q8" t="str">
        <f>VLOOKUP(P8,GroupLabels!$E$2:$H$145,3,0)</f>
        <v>Brazil - Portuguese</v>
      </c>
    </row>
    <row r="9" spans="1:17" x14ac:dyDescent="0.25">
      <c r="A9" t="s">
        <v>2985</v>
      </c>
      <c r="B9" s="33">
        <v>9</v>
      </c>
      <c r="C9" s="33">
        <v>6</v>
      </c>
      <c r="D9" s="33">
        <v>5</v>
      </c>
      <c r="E9" s="33">
        <v>6</v>
      </c>
      <c r="F9" s="33">
        <v>10</v>
      </c>
      <c r="G9" s="33"/>
      <c r="H9" s="33"/>
      <c r="I9" s="33"/>
      <c r="J9" s="33"/>
      <c r="K9" s="33"/>
      <c r="L9" s="33"/>
      <c r="M9" s="33"/>
      <c r="N9" s="33"/>
      <c r="O9" s="33"/>
      <c r="P9" s="33" t="s">
        <v>578</v>
      </c>
      <c r="Q9" t="str">
        <f>VLOOKUP(P9,GroupLabels!$E$2:$H$145,3,0)</f>
        <v>Brunei Darussalam - English</v>
      </c>
    </row>
    <row r="10" spans="1:17" x14ac:dyDescent="0.25">
      <c r="A10" t="s">
        <v>3178</v>
      </c>
      <c r="B10" s="33">
        <v>9</v>
      </c>
      <c r="C10" s="33">
        <v>6</v>
      </c>
      <c r="D10" s="33">
        <v>5</v>
      </c>
      <c r="E10" s="33">
        <v>6</v>
      </c>
      <c r="F10" s="33">
        <v>10</v>
      </c>
      <c r="G10" s="33"/>
      <c r="H10" s="33"/>
      <c r="I10" s="33"/>
      <c r="J10" s="33"/>
      <c r="K10" s="33"/>
      <c r="L10" s="33"/>
      <c r="M10" s="33"/>
      <c r="N10" s="33"/>
      <c r="O10" s="33"/>
      <c r="P10" s="33" t="s">
        <v>1453</v>
      </c>
      <c r="Q10" t="str">
        <f>VLOOKUP(P10,GroupLabels!$E$2:$H$145,3,0)</f>
        <v>Brunei Darussalam - Malay</v>
      </c>
    </row>
    <row r="11" spans="1:17" x14ac:dyDescent="0.25">
      <c r="A11" t="s">
        <v>3282</v>
      </c>
      <c r="B11" s="33">
        <v>9</v>
      </c>
      <c r="C11" s="33">
        <v>6</v>
      </c>
      <c r="D11" s="33">
        <v>5</v>
      </c>
      <c r="E11" s="33">
        <v>6</v>
      </c>
      <c r="F11" s="33">
        <v>10</v>
      </c>
      <c r="G11" s="33"/>
      <c r="H11" s="33"/>
      <c r="I11" s="33"/>
      <c r="J11" s="33"/>
      <c r="K11" s="33"/>
      <c r="L11" s="33"/>
      <c r="M11" s="33"/>
      <c r="N11" s="33"/>
      <c r="O11" s="33"/>
      <c r="P11" s="33" t="s">
        <v>693</v>
      </c>
      <c r="Q11" t="str">
        <f>VLOOKUP(P11,GroupLabels!$E$2:$H$145,3,0)</f>
        <v>Chinese Taipei - Chinese</v>
      </c>
    </row>
    <row r="12" spans="1:17" x14ac:dyDescent="0.25">
      <c r="A12" t="s">
        <v>3040</v>
      </c>
      <c r="B12" s="33">
        <v>9</v>
      </c>
      <c r="C12" s="33">
        <v>6</v>
      </c>
      <c r="D12" s="33">
        <v>5</v>
      </c>
      <c r="E12" s="33">
        <v>6</v>
      </c>
      <c r="F12" s="33">
        <v>10</v>
      </c>
      <c r="G12" s="33"/>
      <c r="H12" s="33"/>
      <c r="I12" s="33"/>
      <c r="J12" s="33"/>
      <c r="K12" s="33"/>
      <c r="L12" s="33"/>
      <c r="M12" s="33"/>
      <c r="N12" s="33"/>
      <c r="O12" s="33"/>
      <c r="P12" s="33" t="s">
        <v>586</v>
      </c>
      <c r="Q12" t="str">
        <f>VLOOKUP(P12,GroupLabels!$E$2:$H$145,3,0)</f>
        <v>Colombia - Spanish</v>
      </c>
    </row>
    <row r="13" spans="1:17" x14ac:dyDescent="0.25">
      <c r="A13" t="s">
        <v>3044</v>
      </c>
      <c r="B13" s="33">
        <v>9</v>
      </c>
      <c r="C13" s="33">
        <v>6</v>
      </c>
      <c r="D13" s="33">
        <v>5</v>
      </c>
      <c r="E13" s="33">
        <v>6</v>
      </c>
      <c r="F13" s="33">
        <v>10</v>
      </c>
      <c r="G13" s="33"/>
      <c r="H13" s="33"/>
      <c r="I13" s="33"/>
      <c r="J13" s="33"/>
      <c r="K13" s="33"/>
      <c r="L13" s="33"/>
      <c r="M13" s="33"/>
      <c r="N13" s="33"/>
      <c r="O13" s="33"/>
      <c r="P13" s="33" t="s">
        <v>594</v>
      </c>
      <c r="Q13" t="str">
        <f>VLOOKUP(P13,GroupLabels!$E$2:$H$145,3,0)</f>
        <v>Dominican Republic - Spanish</v>
      </c>
    </row>
    <row r="14" spans="1:17" x14ac:dyDescent="0.25">
      <c r="A14" t="s">
        <v>2920</v>
      </c>
      <c r="B14" s="33">
        <v>9</v>
      </c>
      <c r="C14" s="33">
        <v>6</v>
      </c>
      <c r="D14" s="33">
        <v>5</v>
      </c>
      <c r="E14" s="33">
        <v>6</v>
      </c>
      <c r="F14" s="33">
        <v>10</v>
      </c>
      <c r="G14" s="33"/>
      <c r="H14" s="33"/>
      <c r="I14" s="33"/>
      <c r="J14" s="33"/>
      <c r="K14" s="33"/>
      <c r="L14" s="33"/>
      <c r="M14" s="33"/>
      <c r="N14" s="33"/>
      <c r="O14" s="33"/>
      <c r="P14" s="33" t="s">
        <v>604</v>
      </c>
      <c r="Q14" t="str">
        <f>VLOOKUP(P14,GroupLabels!$E$2:$H$145,3,0)</f>
        <v>Georgia - Azerbaijani</v>
      </c>
    </row>
    <row r="15" spans="1:17" x14ac:dyDescent="0.25">
      <c r="A15" t="s">
        <v>3136</v>
      </c>
      <c r="B15" s="33">
        <v>9</v>
      </c>
      <c r="C15" s="33">
        <v>6</v>
      </c>
      <c r="D15" s="33">
        <v>5</v>
      </c>
      <c r="E15" s="33">
        <v>6</v>
      </c>
      <c r="F15" s="33">
        <v>10</v>
      </c>
      <c r="G15" s="33"/>
      <c r="H15" s="33"/>
      <c r="I15" s="33"/>
      <c r="J15" s="33"/>
      <c r="K15" s="33"/>
      <c r="L15" s="33"/>
      <c r="M15" s="33"/>
      <c r="N15" s="33"/>
      <c r="O15" s="33"/>
      <c r="P15" s="33" t="s">
        <v>605</v>
      </c>
      <c r="Q15" t="str">
        <f>VLOOKUP(P15,GroupLabels!$E$2:$H$145,3,0)</f>
        <v>Georgia - Georgian</v>
      </c>
    </row>
    <row r="16" spans="1:17" x14ac:dyDescent="0.25">
      <c r="A16" t="s">
        <v>3211</v>
      </c>
      <c r="B16" s="33">
        <v>9</v>
      </c>
      <c r="C16" s="33">
        <v>6</v>
      </c>
      <c r="D16" s="33">
        <v>5</v>
      </c>
      <c r="E16" s="33">
        <v>6</v>
      </c>
      <c r="F16" s="33">
        <v>10</v>
      </c>
      <c r="G16" s="33"/>
      <c r="H16" s="33"/>
      <c r="I16" s="33"/>
      <c r="J16" s="33"/>
      <c r="K16" s="33"/>
      <c r="L16" s="33"/>
      <c r="M16" s="33"/>
      <c r="N16" s="33"/>
      <c r="O16" s="33"/>
      <c r="P16" s="33" t="s">
        <v>606</v>
      </c>
      <c r="Q16" t="str">
        <f>VLOOKUP(P16,GroupLabels!$E$2:$H$145,3,0)</f>
        <v>Georgia - Russian</v>
      </c>
    </row>
    <row r="17" spans="1:17" x14ac:dyDescent="0.25">
      <c r="A17" t="s">
        <v>767</v>
      </c>
      <c r="B17" s="33">
        <v>9</v>
      </c>
      <c r="C17" s="33">
        <v>6</v>
      </c>
      <c r="D17" s="33">
        <v>5</v>
      </c>
      <c r="E17" s="33">
        <v>6</v>
      </c>
      <c r="F17" s="33">
        <v>10</v>
      </c>
      <c r="G17" s="33"/>
      <c r="H17" s="33"/>
      <c r="I17" s="33"/>
      <c r="J17" s="33"/>
      <c r="K17" s="33"/>
      <c r="L17" s="33"/>
      <c r="M17" s="33"/>
      <c r="N17" s="33"/>
      <c r="O17" s="33"/>
      <c r="P17" s="33" t="s">
        <v>607</v>
      </c>
      <c r="Q17" t="str">
        <f>VLOOKUP(P17,GroupLabels!$E$2:$H$145,3,0)</f>
        <v>Germany - German</v>
      </c>
    </row>
    <row r="18" spans="1:17" x14ac:dyDescent="0.25">
      <c r="A18" t="s">
        <v>3278</v>
      </c>
      <c r="B18" s="33">
        <v>9</v>
      </c>
      <c r="C18" s="33">
        <v>6</v>
      </c>
      <c r="D18" s="33">
        <v>5</v>
      </c>
      <c r="E18" s="33">
        <v>6</v>
      </c>
      <c r="F18" s="33">
        <v>10</v>
      </c>
      <c r="G18" s="33"/>
      <c r="H18" s="33"/>
      <c r="I18" s="33"/>
      <c r="J18" s="33"/>
      <c r="K18" s="33"/>
      <c r="L18" s="33"/>
      <c r="M18" s="33"/>
      <c r="N18" s="33"/>
      <c r="O18" s="33"/>
      <c r="P18" s="33" t="s">
        <v>610</v>
      </c>
      <c r="Q18" t="str">
        <f>VLOOKUP(P18,GroupLabels!$E$2:$H$145,3,0)</f>
        <v>Hong Kong (China) - Chinese</v>
      </c>
    </row>
    <row r="19" spans="1:17" x14ac:dyDescent="0.25">
      <c r="A19" t="s">
        <v>2993</v>
      </c>
      <c r="B19" s="33">
        <v>9</v>
      </c>
      <c r="C19" s="33">
        <v>6</v>
      </c>
      <c r="D19" s="33">
        <v>5</v>
      </c>
      <c r="E19" s="33">
        <v>6</v>
      </c>
      <c r="F19" s="33">
        <v>10</v>
      </c>
      <c r="G19" s="33"/>
      <c r="H19" s="33"/>
      <c r="I19" s="33"/>
      <c r="J19" s="33"/>
      <c r="K19" s="33"/>
      <c r="L19" s="33"/>
      <c r="M19" s="33"/>
      <c r="N19" s="33"/>
      <c r="O19" s="33"/>
      <c r="P19" s="33" t="s">
        <v>611</v>
      </c>
      <c r="Q19" t="str">
        <f>VLOOKUP(P19,GroupLabels!$E$2:$H$145,3,0)</f>
        <v>Hong Kong (China) - English</v>
      </c>
    </row>
    <row r="20" spans="1:17" x14ac:dyDescent="0.25">
      <c r="A20" t="s">
        <v>2995</v>
      </c>
      <c r="B20" s="33">
        <v>9</v>
      </c>
      <c r="C20" s="33">
        <v>6</v>
      </c>
      <c r="D20" s="33">
        <v>5</v>
      </c>
      <c r="E20" s="33">
        <v>6</v>
      </c>
      <c r="F20" s="33">
        <v>10</v>
      </c>
      <c r="G20" s="33"/>
      <c r="H20" s="33"/>
      <c r="I20" s="33"/>
      <c r="J20" s="33"/>
      <c r="K20" s="33"/>
      <c r="L20" s="33"/>
      <c r="M20" s="33"/>
      <c r="N20" s="33"/>
      <c r="O20" s="33"/>
      <c r="P20" s="33" t="s">
        <v>615</v>
      </c>
      <c r="Q20" t="str">
        <f>VLOOKUP(P20,GroupLabels!$E$2:$H$145,3,0)</f>
        <v>Ireland - English</v>
      </c>
    </row>
    <row r="21" spans="1:17" x14ac:dyDescent="0.25">
      <c r="A21" t="s">
        <v>3088</v>
      </c>
      <c r="B21" s="33">
        <v>9</v>
      </c>
      <c r="C21" s="33">
        <v>6</v>
      </c>
      <c r="D21" s="33">
        <v>5</v>
      </c>
      <c r="E21" s="33">
        <v>6</v>
      </c>
      <c r="F21" s="33">
        <v>10</v>
      </c>
      <c r="G21" s="33"/>
      <c r="H21" s="33"/>
      <c r="I21" s="33"/>
      <c r="J21" s="33"/>
      <c r="K21" s="33"/>
      <c r="L21" s="33"/>
      <c r="M21" s="33"/>
      <c r="N21" s="33"/>
      <c r="O21" s="33"/>
      <c r="P21" s="33" t="s">
        <v>616</v>
      </c>
      <c r="Q21" t="str">
        <f>VLOOKUP(P21,GroupLabels!$E$2:$H$145,3,0)</f>
        <v>Ireland - Irish Gaeilge</v>
      </c>
    </row>
    <row r="22" spans="1:17" x14ac:dyDescent="0.25">
      <c r="A22" t="s">
        <v>2967</v>
      </c>
      <c r="B22" s="33">
        <v>9</v>
      </c>
      <c r="C22" s="33">
        <v>6</v>
      </c>
      <c r="D22" s="33">
        <v>5</v>
      </c>
      <c r="E22" s="33">
        <v>6</v>
      </c>
      <c r="F22" s="33">
        <v>10</v>
      </c>
      <c r="G22" s="33"/>
      <c r="H22" s="33"/>
      <c r="I22" s="33"/>
      <c r="J22" s="33"/>
      <c r="K22" s="33"/>
      <c r="L22" s="33"/>
      <c r="M22" s="33"/>
      <c r="N22" s="33"/>
      <c r="O22" s="33"/>
      <c r="P22" s="33" t="s">
        <v>620</v>
      </c>
      <c r="Q22" t="str">
        <f>VLOOKUP(P22,GroupLabels!$E$2:$H$145,3,0)</f>
        <v>Italy - German</v>
      </c>
    </row>
    <row r="23" spans="1:17" x14ac:dyDescent="0.25">
      <c r="A23" t="s">
        <v>3126</v>
      </c>
      <c r="B23" s="33">
        <v>9</v>
      </c>
      <c r="C23" s="33">
        <v>6</v>
      </c>
      <c r="D23" s="33">
        <v>5</v>
      </c>
      <c r="E23" s="33">
        <v>6</v>
      </c>
      <c r="F23" s="33">
        <v>10</v>
      </c>
      <c r="G23" s="33"/>
      <c r="H23" s="33"/>
      <c r="I23" s="33"/>
      <c r="J23" s="33"/>
      <c r="K23" s="33"/>
      <c r="L23" s="33"/>
      <c r="M23" s="33"/>
      <c r="N23" s="33"/>
      <c r="O23" s="33"/>
      <c r="P23" s="33" t="s">
        <v>621</v>
      </c>
      <c r="Q23" t="str">
        <f>VLOOKUP(P23,GroupLabels!$E$2:$H$145,3,0)</f>
        <v>Italy - Italian</v>
      </c>
    </row>
    <row r="24" spans="1:17" x14ac:dyDescent="0.25">
      <c r="A24" t="s">
        <v>3154</v>
      </c>
      <c r="B24" s="33">
        <v>9</v>
      </c>
      <c r="C24" s="33">
        <v>6</v>
      </c>
      <c r="D24" s="33">
        <v>5</v>
      </c>
      <c r="E24" s="33">
        <v>6</v>
      </c>
      <c r="F24" s="33">
        <v>10</v>
      </c>
      <c r="G24" s="33"/>
      <c r="H24" s="33"/>
      <c r="I24" s="33"/>
      <c r="J24" s="33"/>
      <c r="K24" s="33"/>
      <c r="L24" s="33"/>
      <c r="M24" s="33"/>
      <c r="N24" s="33"/>
      <c r="O24" s="33"/>
      <c r="P24" s="33" t="s">
        <v>627</v>
      </c>
      <c r="Q24" t="str">
        <f>VLOOKUP(P24,GroupLabels!$E$2:$H$145,3,0)</f>
        <v>Korea - Korean</v>
      </c>
    </row>
    <row r="25" spans="1:17" x14ac:dyDescent="0.25">
      <c r="A25" t="s">
        <v>3004</v>
      </c>
      <c r="B25" s="33">
        <v>9</v>
      </c>
      <c r="C25" s="33">
        <v>6</v>
      </c>
      <c r="D25" s="33">
        <v>5</v>
      </c>
      <c r="E25" s="33">
        <v>6</v>
      </c>
      <c r="F25" s="33">
        <v>10</v>
      </c>
      <c r="G25" s="33"/>
      <c r="H25" s="33"/>
      <c r="I25" s="33"/>
      <c r="J25" s="33"/>
      <c r="K25" s="33"/>
      <c r="L25" s="33"/>
      <c r="M25" s="33"/>
      <c r="N25" s="33"/>
      <c r="O25" s="33"/>
      <c r="P25" s="33" t="s">
        <v>641</v>
      </c>
      <c r="Q25" t="str">
        <f>VLOOKUP(P25,GroupLabels!$E$2:$H$145,3,0)</f>
        <v>Luxembourg - English</v>
      </c>
    </row>
    <row r="26" spans="1:17" x14ac:dyDescent="0.25">
      <c r="A26" t="s">
        <v>3085</v>
      </c>
      <c r="B26" s="33">
        <v>9</v>
      </c>
      <c r="C26" s="33">
        <v>6</v>
      </c>
      <c r="D26" s="33">
        <v>5</v>
      </c>
      <c r="E26" s="33">
        <v>6</v>
      </c>
      <c r="F26" s="33">
        <v>10</v>
      </c>
      <c r="G26" s="33"/>
      <c r="H26" s="33"/>
      <c r="I26" s="33"/>
      <c r="J26" s="33"/>
      <c r="K26" s="33"/>
      <c r="L26" s="33"/>
      <c r="M26" s="33"/>
      <c r="N26" s="33"/>
      <c r="O26" s="33"/>
      <c r="P26" s="33" t="s">
        <v>642</v>
      </c>
      <c r="Q26" t="str">
        <f>VLOOKUP(P26,GroupLabels!$E$2:$H$145,3,0)</f>
        <v>Luxembourg - French</v>
      </c>
    </row>
    <row r="27" spans="1:17" x14ac:dyDescent="0.25">
      <c r="A27" t="s">
        <v>2969</v>
      </c>
      <c r="B27" s="33">
        <v>9</v>
      </c>
      <c r="C27" s="33">
        <v>6</v>
      </c>
      <c r="D27" s="33">
        <v>5</v>
      </c>
      <c r="E27" s="33">
        <v>6</v>
      </c>
      <c r="F27" s="33">
        <v>10</v>
      </c>
      <c r="G27" s="33"/>
      <c r="H27" s="33"/>
      <c r="I27" s="33"/>
      <c r="J27" s="33"/>
      <c r="K27" s="33"/>
      <c r="L27" s="33"/>
      <c r="M27" s="33"/>
      <c r="N27" s="33"/>
      <c r="O27" s="33"/>
      <c r="P27" s="33" t="s">
        <v>643</v>
      </c>
      <c r="Q27" t="str">
        <f>VLOOKUP(P27,GroupLabels!$E$2:$H$145,3,0)</f>
        <v>Luxembourg - German</v>
      </c>
    </row>
    <row r="28" spans="1:17" x14ac:dyDescent="0.25">
      <c r="A28" t="s">
        <v>3007</v>
      </c>
      <c r="B28" s="33">
        <v>9</v>
      </c>
      <c r="C28" s="33">
        <v>6</v>
      </c>
      <c r="D28" s="33">
        <v>5</v>
      </c>
      <c r="E28" s="33">
        <v>6</v>
      </c>
      <c r="F28" s="33">
        <v>10</v>
      </c>
      <c r="G28" s="33"/>
      <c r="H28" s="33"/>
      <c r="I28" s="33"/>
      <c r="J28" s="33"/>
      <c r="K28" s="33"/>
      <c r="L28" s="33"/>
      <c r="M28" s="33"/>
      <c r="N28" s="33"/>
      <c r="O28" s="33"/>
      <c r="P28" s="33" t="s">
        <v>644</v>
      </c>
      <c r="Q28" t="str">
        <f>VLOOKUP(P28,GroupLabels!$E$2:$H$145,3,0)</f>
        <v>Macao (China) - English</v>
      </c>
    </row>
    <row r="29" spans="1:17" x14ac:dyDescent="0.25">
      <c r="A29" t="s">
        <v>3200</v>
      </c>
      <c r="B29" s="33">
        <v>9</v>
      </c>
      <c r="C29" s="33">
        <v>6</v>
      </c>
      <c r="D29" s="33">
        <v>5</v>
      </c>
      <c r="E29" s="33">
        <v>6</v>
      </c>
      <c r="F29" s="33">
        <v>10</v>
      </c>
      <c r="G29" s="33"/>
      <c r="H29" s="33"/>
      <c r="I29" s="33"/>
      <c r="J29" s="33"/>
      <c r="K29" s="33"/>
      <c r="L29" s="33"/>
      <c r="M29" s="33"/>
      <c r="N29" s="33"/>
      <c r="O29" s="33"/>
      <c r="P29" s="33" t="s">
        <v>645</v>
      </c>
      <c r="Q29" t="str">
        <f>VLOOKUP(P29,GroupLabels!$E$2:$H$145,3,0)</f>
        <v>Macao (China) - Portuguese</v>
      </c>
    </row>
    <row r="30" spans="1:17" x14ac:dyDescent="0.25">
      <c r="A30" t="s">
        <v>3279</v>
      </c>
      <c r="B30" s="33">
        <v>9</v>
      </c>
      <c r="C30" s="33">
        <v>6</v>
      </c>
      <c r="D30" s="33">
        <v>5</v>
      </c>
      <c r="E30" s="33">
        <v>6</v>
      </c>
      <c r="F30" s="33">
        <v>10</v>
      </c>
      <c r="G30" s="33"/>
      <c r="H30" s="33"/>
      <c r="I30" s="33"/>
      <c r="J30" s="33"/>
      <c r="K30" s="33"/>
      <c r="L30" s="33"/>
      <c r="M30" s="33"/>
      <c r="N30" s="33"/>
      <c r="O30" s="33"/>
      <c r="P30" s="33" t="s">
        <v>646</v>
      </c>
      <c r="Q30" t="str">
        <f>VLOOKUP(P30,GroupLabels!$E$2:$H$145,3,0)</f>
        <v>Macao (China) - Chinese</v>
      </c>
    </row>
    <row r="31" spans="1:17" x14ac:dyDescent="0.25">
      <c r="A31" t="s">
        <v>3143</v>
      </c>
      <c r="B31" s="33">
        <v>8</v>
      </c>
      <c r="C31" s="33">
        <v>6</v>
      </c>
      <c r="D31" s="33">
        <v>5</v>
      </c>
      <c r="E31" s="33">
        <v>6</v>
      </c>
      <c r="F31" s="33">
        <v>10</v>
      </c>
      <c r="G31" s="33"/>
      <c r="H31" s="33"/>
      <c r="I31" s="33"/>
      <c r="J31" s="33"/>
      <c r="K31" s="33"/>
      <c r="L31" s="33"/>
      <c r="M31" s="33"/>
      <c r="N31" s="33"/>
      <c r="O31" s="33"/>
      <c r="P31" s="33" t="s">
        <v>656</v>
      </c>
      <c r="Q31" t="str">
        <f>VLOOKUP(P31,GroupLabels!$E$2:$H$145,3,0)</f>
        <v>Mongolia - Kazakh</v>
      </c>
    </row>
    <row r="32" spans="1:17" x14ac:dyDescent="0.25">
      <c r="A32" t="s">
        <v>3175</v>
      </c>
      <c r="B32" s="33">
        <v>9</v>
      </c>
      <c r="C32" s="33">
        <v>6</v>
      </c>
      <c r="D32" s="33">
        <v>5</v>
      </c>
      <c r="E32" s="33">
        <v>6</v>
      </c>
      <c r="F32" s="33">
        <v>10</v>
      </c>
      <c r="G32" s="33"/>
      <c r="H32" s="33"/>
      <c r="I32" s="33"/>
      <c r="J32" s="33"/>
      <c r="K32" s="33"/>
      <c r="L32" s="33"/>
      <c r="M32" s="33"/>
      <c r="N32" s="33"/>
      <c r="O32" s="33"/>
      <c r="P32" s="33" t="s">
        <v>657</v>
      </c>
      <c r="Q32" t="str">
        <f>VLOOKUP(P32,GroupLabels!$E$2:$H$145,3,0)</f>
        <v>Mongolia - Mongolian</v>
      </c>
    </row>
    <row r="33" spans="1:17" x14ac:dyDescent="0.25">
      <c r="A33" t="s">
        <v>3202</v>
      </c>
      <c r="B33" s="33">
        <v>9</v>
      </c>
      <c r="C33" s="33">
        <v>6</v>
      </c>
      <c r="D33" s="33">
        <v>5</v>
      </c>
      <c r="E33" s="33">
        <v>6</v>
      </c>
      <c r="F33" s="33">
        <v>10</v>
      </c>
      <c r="G33" s="33"/>
      <c r="H33" s="33"/>
      <c r="I33" s="33"/>
      <c r="J33" s="33"/>
      <c r="K33" s="33"/>
      <c r="L33" s="33"/>
      <c r="M33" s="33"/>
      <c r="N33" s="33"/>
      <c r="O33" s="33"/>
      <c r="P33" s="33" t="s">
        <v>671</v>
      </c>
      <c r="Q33" t="str">
        <f>VLOOKUP(P33,GroupLabels!$E$2:$H$145,3,0)</f>
        <v>Portugal - Portuguese</v>
      </c>
    </row>
    <row r="34" spans="1:17" x14ac:dyDescent="0.25">
      <c r="A34" t="s">
        <v>3106</v>
      </c>
      <c r="B34" s="33">
        <v>9</v>
      </c>
      <c r="C34" s="33">
        <v>6</v>
      </c>
      <c r="D34" s="33">
        <v>5</v>
      </c>
      <c r="E34" s="33">
        <v>6</v>
      </c>
      <c r="F34" s="33">
        <v>10</v>
      </c>
      <c r="G34" s="33"/>
      <c r="H34" s="33"/>
      <c r="I34" s="33"/>
      <c r="J34" s="33"/>
      <c r="K34" s="33"/>
      <c r="L34" s="33"/>
      <c r="M34" s="33"/>
      <c r="N34" s="33"/>
      <c r="O34" s="33"/>
      <c r="P34" s="33" t="s">
        <v>674</v>
      </c>
      <c r="Q34" t="str">
        <f>VLOOKUP(P34,GroupLabels!$E$2:$H$145,3,0)</f>
        <v>Romania - Hungarian</v>
      </c>
    </row>
    <row r="35" spans="1:17" x14ac:dyDescent="0.25">
      <c r="A35" t="s">
        <v>3207</v>
      </c>
      <c r="B35" s="33">
        <v>9</v>
      </c>
      <c r="C35" s="33">
        <v>6</v>
      </c>
      <c r="D35" s="33">
        <v>5</v>
      </c>
      <c r="E35" s="33">
        <v>6</v>
      </c>
      <c r="F35" s="33">
        <v>10</v>
      </c>
      <c r="G35" s="33"/>
      <c r="H35" s="33"/>
      <c r="I35" s="33"/>
      <c r="J35" s="33"/>
      <c r="K35" s="33"/>
      <c r="L35" s="33"/>
      <c r="M35" s="33"/>
      <c r="N35" s="33"/>
      <c r="O35" s="33"/>
      <c r="P35" s="33" t="s">
        <v>675</v>
      </c>
      <c r="Q35" t="str">
        <f>VLOOKUP(P35,GroupLabels!$E$2:$H$145,3,0)</f>
        <v>Romania - Romanian</v>
      </c>
    </row>
    <row r="36" spans="1:17" x14ac:dyDescent="0.25">
      <c r="A36" s="3" t="s">
        <v>3282</v>
      </c>
      <c r="B36" s="40">
        <v>9</v>
      </c>
      <c r="C36" s="40">
        <v>6</v>
      </c>
      <c r="D36" s="40">
        <v>5</v>
      </c>
      <c r="E36" s="40">
        <v>6</v>
      </c>
      <c r="F36" s="40">
        <v>10</v>
      </c>
      <c r="G36" s="33"/>
      <c r="H36" s="33"/>
      <c r="I36" s="33"/>
      <c r="J36" s="33"/>
      <c r="K36" s="33"/>
      <c r="L36" s="33"/>
      <c r="M36" s="33"/>
      <c r="N36" s="33"/>
      <c r="O36" s="33"/>
      <c r="P36" s="33" t="s">
        <v>693</v>
      </c>
      <c r="Q36" t="str">
        <f>VLOOKUP(P36,GroupLabels!$E$2:$H$145,3,0)</f>
        <v>Chinese Taipei - Chinese</v>
      </c>
    </row>
  </sheetData>
  <sheetProtection formatColumns="0" formatRows="0"/>
  <sortState xmlns:xlrd2="http://schemas.microsoft.com/office/spreadsheetml/2017/richdata2" ref="A7:Q35">
    <sortCondition ref="A7:A35"/>
  </sortState>
  <hyperlinks>
    <hyperlink ref="A1" location="TOC!A1" display="Table of Contents" xr:uid="{A0F6CA0F-5592-436F-9E85-8AA8512E7917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1"/>
  <dimension ref="A1:I1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7109375" customWidth="1"/>
    <col min="2" max="2" width="13.7109375" customWidth="1"/>
    <col min="3" max="3" width="110.7109375" customWidth="1"/>
    <col min="4" max="4" width="9.42578125" customWidth="1"/>
  </cols>
  <sheetData>
    <row r="1" spans="1:9" x14ac:dyDescent="0.25">
      <c r="A1" s="141" t="s">
        <v>316</v>
      </c>
      <c r="B1" s="32" t="s">
        <v>346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128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129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1454</v>
      </c>
      <c r="C7" s="33" t="s">
        <v>1455</v>
      </c>
      <c r="D7" s="33" t="s">
        <v>926</v>
      </c>
      <c r="E7" s="2">
        <v>2.22431</v>
      </c>
      <c r="F7" s="2">
        <v>-0.75492999999999999</v>
      </c>
      <c r="G7" s="2">
        <v>-2.39697</v>
      </c>
      <c r="H7" s="2">
        <v>1.19265</v>
      </c>
      <c r="I7" s="2">
        <v>1.2043200000000001</v>
      </c>
    </row>
    <row r="8" spans="1:9" x14ac:dyDescent="0.25">
      <c r="A8" s="33" t="s">
        <v>782</v>
      </c>
      <c r="B8" s="33" t="s">
        <v>1456</v>
      </c>
      <c r="C8" s="33" t="s">
        <v>1457</v>
      </c>
      <c r="D8" s="33" t="s">
        <v>926</v>
      </c>
      <c r="E8" s="2">
        <v>2.09239</v>
      </c>
      <c r="F8" s="2">
        <v>-5.3170000000000002E-2</v>
      </c>
      <c r="G8" s="2">
        <v>-1.7696400000000001</v>
      </c>
      <c r="H8" s="2">
        <v>0.93528000000000011</v>
      </c>
      <c r="I8" s="2">
        <v>0.83436000000000021</v>
      </c>
    </row>
    <row r="9" spans="1:9" x14ac:dyDescent="0.25">
      <c r="A9" s="33" t="s">
        <v>782</v>
      </c>
      <c r="B9" s="33" t="s">
        <v>1458</v>
      </c>
      <c r="C9" s="33" t="s">
        <v>1459</v>
      </c>
      <c r="D9" s="33" t="s">
        <v>926</v>
      </c>
      <c r="E9" s="2">
        <v>1.42276</v>
      </c>
      <c r="F9" s="2">
        <v>-0.41969000000000001</v>
      </c>
      <c r="G9" s="2">
        <v>-1.48031</v>
      </c>
      <c r="H9" s="2">
        <v>0.73460000000000014</v>
      </c>
      <c r="I9" s="2">
        <v>0.74570999999999998</v>
      </c>
    </row>
    <row r="10" spans="1:9" x14ac:dyDescent="0.25">
      <c r="A10" s="33" t="s">
        <v>782</v>
      </c>
      <c r="B10" s="33" t="s">
        <v>1460</v>
      </c>
      <c r="C10" s="33" t="s">
        <v>1461</v>
      </c>
      <c r="D10" s="33" t="s">
        <v>926</v>
      </c>
      <c r="E10" s="2">
        <v>2.5375000000000001</v>
      </c>
      <c r="F10" s="2">
        <v>0.17052</v>
      </c>
      <c r="G10" s="2">
        <v>-1.69746</v>
      </c>
      <c r="H10" s="2">
        <v>0.82448999999999995</v>
      </c>
      <c r="I10" s="2">
        <v>0.87297000000000002</v>
      </c>
    </row>
    <row r="11" spans="1:9" x14ac:dyDescent="0.25">
      <c r="A11" s="33" t="s">
        <v>782</v>
      </c>
      <c r="B11" s="33" t="s">
        <v>1462</v>
      </c>
      <c r="C11" s="33" t="s">
        <v>1463</v>
      </c>
      <c r="D11" s="33" t="s">
        <v>926</v>
      </c>
      <c r="E11" s="2">
        <v>1.4825699999999999</v>
      </c>
      <c r="F11" s="2">
        <v>1.1910799999999999</v>
      </c>
      <c r="G11" s="2">
        <v>-8.4390000000000007E-2</v>
      </c>
      <c r="H11" s="2">
        <v>0.20852000000000001</v>
      </c>
      <c r="I11" s="2">
        <v>-0.12413</v>
      </c>
    </row>
    <row r="12" spans="1:9" x14ac:dyDescent="0.25">
      <c r="A12" s="33" t="s">
        <v>782</v>
      </c>
      <c r="B12" s="33" t="s">
        <v>1464</v>
      </c>
      <c r="C12" s="33" t="s">
        <v>1465</v>
      </c>
      <c r="D12" s="33" t="s">
        <v>926</v>
      </c>
      <c r="E12" s="2">
        <v>0.74489000000000016</v>
      </c>
      <c r="F12" s="2">
        <v>-0.57215000000000005</v>
      </c>
      <c r="G12" s="2">
        <v>-0.73050000000000015</v>
      </c>
      <c r="H12" s="2">
        <v>0.58996000000000004</v>
      </c>
      <c r="I12" s="2">
        <v>0.14054</v>
      </c>
    </row>
    <row r="13" spans="1:9" x14ac:dyDescent="0.25">
      <c r="A13" s="33" t="s">
        <v>782</v>
      </c>
      <c r="B13" s="33" t="s">
        <v>1466</v>
      </c>
      <c r="C13" s="33" t="s">
        <v>1467</v>
      </c>
      <c r="D13" s="33" t="s">
        <v>926</v>
      </c>
      <c r="E13" s="2">
        <v>1.4752099999999999</v>
      </c>
      <c r="F13" s="2">
        <v>7.7600000000000002E-2</v>
      </c>
      <c r="G13" s="2">
        <v>-0.43946000000000002</v>
      </c>
      <c r="H13" s="2">
        <v>0.66066000000000003</v>
      </c>
      <c r="I13" s="2">
        <v>-0.22120000000000001</v>
      </c>
    </row>
    <row r="14" spans="1:9" x14ac:dyDescent="0.25">
      <c r="A14" s="33" t="s">
        <v>782</v>
      </c>
      <c r="B14" s="33" t="s">
        <v>1468</v>
      </c>
      <c r="C14" s="33" t="s">
        <v>1469</v>
      </c>
      <c r="D14" s="33" t="s">
        <v>926</v>
      </c>
      <c r="E14" s="2">
        <v>1.4049799999999999</v>
      </c>
      <c r="F14" s="2">
        <v>0.16450000000000001</v>
      </c>
      <c r="G14" s="2">
        <v>-0.52034999999999987</v>
      </c>
      <c r="H14" s="2">
        <v>0.74668000000000012</v>
      </c>
      <c r="I14" s="2">
        <v>-0.22633</v>
      </c>
    </row>
    <row r="15" spans="1:9" x14ac:dyDescent="0.25">
      <c r="A15" s="33" t="s">
        <v>782</v>
      </c>
      <c r="B15" s="33" t="s">
        <v>1470</v>
      </c>
      <c r="C15" s="33" t="s">
        <v>1471</v>
      </c>
      <c r="D15" s="33" t="s">
        <v>926</v>
      </c>
      <c r="E15" s="2">
        <v>1.69764</v>
      </c>
      <c r="F15" s="2">
        <v>0.31844</v>
      </c>
      <c r="G15" s="2">
        <v>-1.10066</v>
      </c>
      <c r="H15" s="2">
        <v>0.70340000000000014</v>
      </c>
      <c r="I15" s="2">
        <v>0.39725999999999989</v>
      </c>
    </row>
    <row r="16" spans="1:9" x14ac:dyDescent="0.25">
      <c r="A16" s="33" t="s">
        <v>782</v>
      </c>
      <c r="B16" s="33" t="s">
        <v>1472</v>
      </c>
      <c r="C16" s="33" t="s">
        <v>1473</v>
      </c>
      <c r="D16" s="33" t="s">
        <v>926</v>
      </c>
      <c r="E16" s="2">
        <v>1.91774</v>
      </c>
      <c r="F16" s="2">
        <v>-0.1222</v>
      </c>
      <c r="G16" s="2">
        <v>-1.27318</v>
      </c>
      <c r="H16" s="2">
        <v>0.79596</v>
      </c>
      <c r="I16" s="2">
        <v>0.47721999999999992</v>
      </c>
    </row>
    <row r="17" spans="1:9" x14ac:dyDescent="0.25">
      <c r="A17" s="33" t="s">
        <v>782</v>
      </c>
      <c r="B17" s="33" t="s">
        <v>1474</v>
      </c>
      <c r="C17" s="33" t="s">
        <v>1475</v>
      </c>
      <c r="D17" s="33"/>
      <c r="E17" s="2">
        <v>1.0145900000000001</v>
      </c>
      <c r="F17" s="2">
        <v>-0.42316999999999999</v>
      </c>
      <c r="G17" s="2">
        <v>-1.16334</v>
      </c>
      <c r="H17" s="2">
        <v>0.74356999999999984</v>
      </c>
      <c r="I17" s="2">
        <v>0.41977000000000009</v>
      </c>
    </row>
    <row r="18" spans="1:9" x14ac:dyDescent="0.25">
      <c r="A18" s="33" t="s">
        <v>782</v>
      </c>
      <c r="B18" s="33" t="s">
        <v>1476</v>
      </c>
      <c r="C18" s="33" t="s">
        <v>1477</v>
      </c>
      <c r="D18" s="33"/>
      <c r="E18" s="2">
        <v>0.92600000000000005</v>
      </c>
      <c r="F18" s="2">
        <v>-2.9790000000000001E-2</v>
      </c>
      <c r="G18" s="2">
        <v>-1.1109</v>
      </c>
      <c r="H18" s="2">
        <v>0.74116000000000004</v>
      </c>
      <c r="I18" s="2">
        <v>0.36974000000000001</v>
      </c>
    </row>
    <row r="19" spans="1:9" x14ac:dyDescent="0.25">
      <c r="A19" s="40" t="s">
        <v>782</v>
      </c>
      <c r="B19" s="40" t="s">
        <v>1478</v>
      </c>
      <c r="C19" s="40" t="s">
        <v>1479</v>
      </c>
      <c r="D19" s="40"/>
      <c r="E19" s="4">
        <v>1.35548</v>
      </c>
      <c r="F19" s="4">
        <v>0.13078000000000001</v>
      </c>
      <c r="G19" s="4">
        <v>-1.63446</v>
      </c>
      <c r="H19" s="4">
        <v>1.0229900000000001</v>
      </c>
      <c r="I19" s="4">
        <v>0.61146999999999985</v>
      </c>
    </row>
  </sheetData>
  <sheetProtection formatColumns="0" formatRows="0"/>
  <hyperlinks>
    <hyperlink ref="A1" location="TOC!A1" display="Table of Contents" xr:uid="{A5543B4D-C22A-41D6-A142-A85C3A2F67A5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2"/>
  <dimension ref="A1:I2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96.28515625" customWidth="1"/>
  </cols>
  <sheetData>
    <row r="1" spans="1:9" x14ac:dyDescent="0.25">
      <c r="A1" s="141" t="s">
        <v>316</v>
      </c>
      <c r="B1" s="32" t="s">
        <v>385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130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131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1480</v>
      </c>
      <c r="C7" s="33" t="s">
        <v>1481</v>
      </c>
      <c r="D7" s="2">
        <v>1.09066</v>
      </c>
      <c r="E7" s="2">
        <v>-1.4348000000000001</v>
      </c>
      <c r="F7" s="2">
        <v>-1.5140499999999999</v>
      </c>
      <c r="G7" s="2">
        <v>-0.43158000000000002</v>
      </c>
      <c r="H7" s="2">
        <v>0.93244000000000016</v>
      </c>
      <c r="I7" s="2">
        <v>1.01319</v>
      </c>
    </row>
    <row r="8" spans="1:9" x14ac:dyDescent="0.25">
      <c r="A8" s="33" t="s">
        <v>782</v>
      </c>
      <c r="B8" s="33" t="s">
        <v>1482</v>
      </c>
      <c r="C8" s="33" t="s">
        <v>1483</v>
      </c>
      <c r="D8" s="2">
        <v>1.6495200000000001</v>
      </c>
      <c r="E8" s="2">
        <v>-2.31508</v>
      </c>
      <c r="F8" s="2">
        <v>-1.82778</v>
      </c>
      <c r="G8" s="2">
        <v>-0.96765000000000001</v>
      </c>
      <c r="H8" s="2">
        <v>0.80969000000000002</v>
      </c>
      <c r="I8" s="2">
        <v>1.9857400000000001</v>
      </c>
    </row>
    <row r="9" spans="1:9" x14ac:dyDescent="0.25">
      <c r="A9" s="33" t="s">
        <v>782</v>
      </c>
      <c r="B9" s="33" t="s">
        <v>1484</v>
      </c>
      <c r="C9" s="33" t="s">
        <v>1485</v>
      </c>
      <c r="D9" s="2">
        <v>1.55691</v>
      </c>
      <c r="E9" s="2">
        <v>-2.3545699999999989</v>
      </c>
      <c r="F9" s="2">
        <v>-1.5550299999999999</v>
      </c>
      <c r="G9" s="2">
        <v>-1.08084</v>
      </c>
      <c r="H9" s="2">
        <v>0.68906000000000001</v>
      </c>
      <c r="I9" s="2">
        <v>1.9468099999999999</v>
      </c>
    </row>
    <row r="10" spans="1:9" x14ac:dyDescent="0.25">
      <c r="A10" s="33" t="s">
        <v>782</v>
      </c>
      <c r="B10" s="33" t="s">
        <v>1486</v>
      </c>
      <c r="C10" s="33" t="s">
        <v>1487</v>
      </c>
      <c r="D10" s="2">
        <v>1.6410400000000001</v>
      </c>
      <c r="E10" s="2">
        <v>-2.7561200000000001</v>
      </c>
      <c r="F10" s="2">
        <v>-1.3947499999999999</v>
      </c>
      <c r="G10" s="2">
        <v>-1.10225</v>
      </c>
      <c r="H10" s="2">
        <v>0.79139999999999999</v>
      </c>
      <c r="I10" s="2">
        <v>1.7056</v>
      </c>
    </row>
    <row r="11" spans="1:9" x14ac:dyDescent="0.25">
      <c r="A11" s="33" t="s">
        <v>782</v>
      </c>
      <c r="B11" s="33" t="s">
        <v>1488</v>
      </c>
      <c r="C11" s="33" t="s">
        <v>1489</v>
      </c>
      <c r="D11" s="2">
        <v>1.3550199999999999</v>
      </c>
      <c r="E11" s="2">
        <v>-2.3828399999999998</v>
      </c>
      <c r="F11" s="2">
        <v>-1.14619</v>
      </c>
      <c r="G11" s="2">
        <v>-1.0313099999999999</v>
      </c>
      <c r="H11" s="2">
        <v>0.55864000000000003</v>
      </c>
      <c r="I11" s="2">
        <v>1.61886</v>
      </c>
    </row>
    <row r="12" spans="1:9" x14ac:dyDescent="0.25">
      <c r="A12" s="33" t="s">
        <v>782</v>
      </c>
      <c r="B12" s="33" t="s">
        <v>1490</v>
      </c>
      <c r="C12" s="33" t="s">
        <v>1491</v>
      </c>
      <c r="D12" s="2">
        <v>1.65811</v>
      </c>
      <c r="E12" s="2">
        <v>-2.4630800000000002</v>
      </c>
      <c r="F12" s="2">
        <v>-2.6625999999999999</v>
      </c>
      <c r="G12" s="2">
        <v>-0.86368000000000011</v>
      </c>
      <c r="H12" s="2">
        <v>1.2797099999999999</v>
      </c>
      <c r="I12" s="2">
        <v>2.2465700000000002</v>
      </c>
    </row>
    <row r="13" spans="1:9" x14ac:dyDescent="0.25">
      <c r="A13" s="40" t="s">
        <v>782</v>
      </c>
      <c r="B13" s="40" t="s">
        <v>1492</v>
      </c>
      <c r="C13" s="40" t="s">
        <v>1493</v>
      </c>
      <c r="D13" s="4">
        <v>1.01718</v>
      </c>
      <c r="E13" s="4">
        <v>-2.01891</v>
      </c>
      <c r="F13" s="4">
        <v>-0.13309000000000001</v>
      </c>
      <c r="G13" s="4">
        <v>-0.70465000000000011</v>
      </c>
      <c r="H13" s="4">
        <v>0.14943999999999999</v>
      </c>
      <c r="I13" s="4">
        <v>0.68830000000000002</v>
      </c>
    </row>
    <row r="14" spans="1:9" x14ac:dyDescent="0.25">
      <c r="A14" s="33"/>
      <c r="B14" s="33"/>
      <c r="C14" s="33"/>
      <c r="D14" s="53"/>
      <c r="E14" s="53"/>
      <c r="F14" s="53"/>
      <c r="G14" s="53"/>
      <c r="H14" s="53"/>
      <c r="I14" s="53"/>
    </row>
    <row r="15" spans="1:9" x14ac:dyDescent="0.25">
      <c r="A15" s="33"/>
      <c r="B15" s="33"/>
      <c r="C15" s="33"/>
      <c r="D15" s="53"/>
      <c r="E15" s="53"/>
      <c r="F15" s="53"/>
      <c r="G15" s="53"/>
      <c r="H15" s="53"/>
      <c r="I15" s="53"/>
    </row>
    <row r="16" spans="1:9" x14ac:dyDescent="0.25">
      <c r="A16" s="33"/>
      <c r="B16" s="33"/>
      <c r="C16" s="33"/>
      <c r="D16" s="53"/>
      <c r="E16" s="53"/>
      <c r="F16" s="53"/>
      <c r="G16" s="53"/>
      <c r="H16" s="53"/>
      <c r="I16" s="53"/>
    </row>
    <row r="17" spans="1:9" x14ac:dyDescent="0.25">
      <c r="A17" s="33"/>
      <c r="B17" s="33"/>
      <c r="C17" s="33"/>
      <c r="D17" s="53"/>
      <c r="E17" s="53"/>
      <c r="F17" s="53"/>
      <c r="G17" s="53"/>
      <c r="H17" s="53"/>
      <c r="I17" s="53"/>
    </row>
    <row r="18" spans="1:9" x14ac:dyDescent="0.25">
      <c r="A18" s="33"/>
      <c r="B18" s="33"/>
      <c r="C18" s="33"/>
      <c r="D18" s="53"/>
      <c r="E18" s="53"/>
      <c r="F18" s="53"/>
      <c r="G18" s="53"/>
      <c r="H18" s="53"/>
      <c r="I18" s="53"/>
    </row>
    <row r="19" spans="1:9" x14ac:dyDescent="0.25">
      <c r="A19" s="33"/>
      <c r="B19" s="33"/>
      <c r="C19" s="33"/>
      <c r="D19" s="53"/>
      <c r="E19" s="53"/>
      <c r="F19" s="53"/>
      <c r="G19" s="53"/>
      <c r="H19" s="53"/>
      <c r="I19" s="53"/>
    </row>
    <row r="20" spans="1:9" x14ac:dyDescent="0.25">
      <c r="A20" s="33"/>
      <c r="B20" s="33"/>
      <c r="C20" s="33"/>
      <c r="D20" s="53"/>
      <c r="E20" s="53"/>
      <c r="F20" s="53"/>
      <c r="G20" s="53"/>
      <c r="H20" s="53"/>
      <c r="I20" s="53"/>
    </row>
    <row r="21" spans="1:9" x14ac:dyDescent="0.25">
      <c r="A21" s="33"/>
      <c r="B21" s="33"/>
      <c r="C21" s="33"/>
      <c r="D21" s="53"/>
      <c r="E21" s="53"/>
      <c r="F21" s="53"/>
      <c r="G21" s="53"/>
      <c r="H21" s="53"/>
      <c r="I21" s="53"/>
    </row>
    <row r="22" spans="1:9" x14ac:dyDescent="0.25">
      <c r="A22" s="33"/>
      <c r="B22" s="33"/>
      <c r="C22" s="33"/>
      <c r="D22" s="53"/>
      <c r="E22" s="53"/>
      <c r="F22" s="53"/>
      <c r="G22" s="53"/>
      <c r="H22" s="53"/>
      <c r="I22" s="53"/>
    </row>
    <row r="23" spans="1:9" x14ac:dyDescent="0.25">
      <c r="A23" s="33"/>
      <c r="B23" s="33"/>
      <c r="C23" s="33"/>
      <c r="D23" s="53"/>
      <c r="E23" s="53"/>
      <c r="F23" s="53"/>
      <c r="G23" s="53"/>
      <c r="H23" s="53"/>
      <c r="I23" s="53"/>
    </row>
    <row r="24" spans="1:9" x14ac:dyDescent="0.25">
      <c r="A24" s="33"/>
      <c r="B24" s="33"/>
      <c r="C24" s="33"/>
      <c r="D24" s="53"/>
      <c r="E24" s="53"/>
      <c r="F24" s="53"/>
      <c r="G24" s="53"/>
      <c r="H24" s="53"/>
      <c r="I24" s="53"/>
    </row>
    <row r="25" spans="1:9" x14ac:dyDescent="0.25">
      <c r="A25" s="33"/>
      <c r="B25" s="33"/>
      <c r="C25" s="33"/>
      <c r="D25" s="53"/>
      <c r="E25" s="53"/>
      <c r="F25" s="53"/>
      <c r="G25" s="53"/>
      <c r="H25" s="53"/>
      <c r="I25" s="53"/>
    </row>
    <row r="26" spans="1:9" x14ac:dyDescent="0.25">
      <c r="A26" s="33"/>
      <c r="B26" s="33"/>
      <c r="C26" s="33"/>
      <c r="D26" s="53"/>
      <c r="E26" s="53"/>
      <c r="F26" s="53"/>
      <c r="G26" s="53"/>
      <c r="H26" s="53"/>
      <c r="I26" s="53"/>
    </row>
    <row r="27" spans="1:9" x14ac:dyDescent="0.25">
      <c r="A27" s="33"/>
      <c r="B27" s="33"/>
      <c r="C27" s="33"/>
      <c r="D27" s="53"/>
      <c r="E27" s="53"/>
      <c r="F27" s="53"/>
      <c r="G27" s="53"/>
      <c r="H27" s="53"/>
      <c r="I27" s="53"/>
    </row>
    <row r="28" spans="1:9" x14ac:dyDescent="0.25">
      <c r="A28" s="33"/>
      <c r="B28" s="33"/>
      <c r="C28" s="33"/>
      <c r="D28" s="53"/>
      <c r="E28" s="53"/>
      <c r="F28" s="53"/>
      <c r="G28" s="53"/>
      <c r="H28" s="53"/>
      <c r="I28" s="53"/>
    </row>
  </sheetData>
  <sheetProtection formatColumns="0" formatRows="0"/>
  <hyperlinks>
    <hyperlink ref="A1" location="TOC!A1" display="Table of Contents" xr:uid="{FD6B789F-F608-4B82-93FB-DF566E6AA976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3"/>
  <dimension ref="A1:I2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96.28515625" customWidth="1"/>
  </cols>
  <sheetData>
    <row r="1" spans="1:9" x14ac:dyDescent="0.25">
      <c r="A1" s="141" t="s">
        <v>316</v>
      </c>
      <c r="B1" s="32" t="s">
        <v>386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132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133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1494</v>
      </c>
      <c r="C7" s="33" t="s">
        <v>1495</v>
      </c>
      <c r="D7" s="2">
        <v>0.84013000000000015</v>
      </c>
      <c r="E7" s="2">
        <v>0.63000999999999996</v>
      </c>
      <c r="F7" s="2">
        <v>-0.70989000000000013</v>
      </c>
      <c r="G7" s="2">
        <v>-0.52520999999999995</v>
      </c>
      <c r="H7" s="2">
        <v>0.11486</v>
      </c>
      <c r="I7" s="2">
        <v>1.1202399999999999</v>
      </c>
    </row>
    <row r="8" spans="1:9" x14ac:dyDescent="0.25">
      <c r="A8" s="33" t="s">
        <v>782</v>
      </c>
      <c r="B8" s="33" t="s">
        <v>1496</v>
      </c>
      <c r="C8" s="33" t="s">
        <v>1497</v>
      </c>
      <c r="D8" s="2">
        <v>1.23167</v>
      </c>
      <c r="E8" s="2">
        <v>1.2444200000000001</v>
      </c>
      <c r="F8" s="2">
        <v>-1.54582</v>
      </c>
      <c r="G8" s="2">
        <v>-0.35998000000000002</v>
      </c>
      <c r="H8" s="2">
        <v>0.55239000000000005</v>
      </c>
      <c r="I8" s="2">
        <v>1.35341</v>
      </c>
    </row>
    <row r="9" spans="1:9" x14ac:dyDescent="0.25">
      <c r="A9" s="33" t="s">
        <v>782</v>
      </c>
      <c r="B9" s="33" t="s">
        <v>1498</v>
      </c>
      <c r="C9" s="33" t="s">
        <v>1499</v>
      </c>
      <c r="D9" s="2">
        <v>0.97033999999999998</v>
      </c>
      <c r="E9" s="2">
        <v>0.48169000000000012</v>
      </c>
      <c r="F9" s="2">
        <v>-1.1352</v>
      </c>
      <c r="G9" s="2">
        <v>-0.64905000000000002</v>
      </c>
      <c r="H9" s="2">
        <v>0.60715999999999981</v>
      </c>
      <c r="I9" s="2">
        <v>1.17709</v>
      </c>
    </row>
    <row r="10" spans="1:9" x14ac:dyDescent="0.25">
      <c r="A10" s="40" t="s">
        <v>782</v>
      </c>
      <c r="B10" s="40" t="s">
        <v>1500</v>
      </c>
      <c r="C10" s="40" t="s">
        <v>1501</v>
      </c>
      <c r="D10" s="4">
        <v>0.67107000000000017</v>
      </c>
      <c r="E10" s="4">
        <v>0.37148999999999999</v>
      </c>
      <c r="F10" s="4">
        <v>-0.56298000000000004</v>
      </c>
      <c r="G10" s="4">
        <v>-0.56991000000000003</v>
      </c>
      <c r="H10" s="4">
        <v>0.49645</v>
      </c>
      <c r="I10" s="4">
        <v>0.63644000000000012</v>
      </c>
    </row>
    <row r="11" spans="1:9" x14ac:dyDescent="0.25">
      <c r="A11" s="33"/>
      <c r="B11" s="33"/>
      <c r="C11" s="33"/>
      <c r="D11" s="53"/>
      <c r="E11" s="53"/>
      <c r="F11" s="53"/>
      <c r="G11" s="53"/>
      <c r="H11" s="53"/>
      <c r="I11" s="53"/>
    </row>
    <row r="12" spans="1:9" x14ac:dyDescent="0.25">
      <c r="A12" s="33"/>
      <c r="B12" s="33"/>
      <c r="C12" s="33"/>
      <c r="D12" s="53"/>
      <c r="E12" s="53"/>
      <c r="F12" s="53"/>
      <c r="G12" s="53"/>
      <c r="H12" s="53"/>
      <c r="I12" s="53"/>
    </row>
    <row r="13" spans="1:9" x14ac:dyDescent="0.25">
      <c r="A13" s="33"/>
      <c r="B13" s="33"/>
      <c r="C13" s="33"/>
      <c r="D13" s="53"/>
      <c r="E13" s="53"/>
      <c r="F13" s="53"/>
      <c r="G13" s="53"/>
      <c r="H13" s="53"/>
      <c r="I13" s="53"/>
    </row>
    <row r="14" spans="1:9" x14ac:dyDescent="0.25">
      <c r="A14" s="33"/>
      <c r="B14" s="33"/>
      <c r="C14" s="33"/>
      <c r="D14" s="53"/>
      <c r="E14" s="53"/>
      <c r="F14" s="53"/>
      <c r="G14" s="53"/>
      <c r="H14" s="53"/>
      <c r="I14" s="53"/>
    </row>
    <row r="15" spans="1:9" x14ac:dyDescent="0.25">
      <c r="A15" s="33"/>
      <c r="B15" s="33"/>
      <c r="C15" s="33"/>
      <c r="D15" s="53"/>
      <c r="E15" s="53"/>
      <c r="F15" s="53"/>
      <c r="G15" s="53"/>
      <c r="H15" s="53"/>
      <c r="I15" s="53"/>
    </row>
    <row r="16" spans="1:9" x14ac:dyDescent="0.25">
      <c r="A16" s="33"/>
      <c r="B16" s="33"/>
      <c r="C16" s="33"/>
      <c r="D16" s="53"/>
      <c r="E16" s="53"/>
      <c r="F16" s="53"/>
      <c r="G16" s="53"/>
      <c r="H16" s="53"/>
      <c r="I16" s="53"/>
    </row>
    <row r="17" spans="1:9" x14ac:dyDescent="0.25">
      <c r="A17" s="33"/>
      <c r="B17" s="33"/>
      <c r="C17" s="33"/>
      <c r="D17" s="53"/>
      <c r="E17" s="53"/>
      <c r="F17" s="53"/>
      <c r="G17" s="53"/>
      <c r="H17" s="53"/>
      <c r="I17" s="53"/>
    </row>
    <row r="18" spans="1:9" x14ac:dyDescent="0.25">
      <c r="A18" s="33"/>
      <c r="B18" s="33"/>
      <c r="C18" s="33"/>
      <c r="D18" s="53"/>
      <c r="E18" s="53"/>
      <c r="F18" s="53"/>
      <c r="G18" s="53"/>
      <c r="H18" s="53"/>
      <c r="I18" s="53"/>
    </row>
    <row r="19" spans="1:9" x14ac:dyDescent="0.25">
      <c r="A19" s="33"/>
      <c r="B19" s="33"/>
      <c r="C19" s="33"/>
      <c r="D19" s="53"/>
      <c r="E19" s="53"/>
      <c r="F19" s="53"/>
      <c r="G19" s="53"/>
      <c r="H19" s="53"/>
      <c r="I19" s="53"/>
    </row>
    <row r="20" spans="1:9" x14ac:dyDescent="0.25">
      <c r="A20" s="33"/>
      <c r="B20" s="33"/>
      <c r="C20" s="33"/>
      <c r="D20" s="53"/>
      <c r="E20" s="53"/>
      <c r="F20" s="53"/>
      <c r="G20" s="53"/>
      <c r="H20" s="53"/>
      <c r="I20" s="53"/>
    </row>
    <row r="21" spans="1:9" x14ac:dyDescent="0.25">
      <c r="A21" s="33"/>
      <c r="B21" s="33"/>
      <c r="C21" s="33"/>
      <c r="D21" s="53"/>
      <c r="E21" s="53"/>
      <c r="F21" s="53"/>
      <c r="G21" s="53"/>
      <c r="H21" s="53"/>
      <c r="I21" s="53"/>
    </row>
    <row r="22" spans="1:9" x14ac:dyDescent="0.25">
      <c r="A22" s="33"/>
      <c r="B22" s="33"/>
      <c r="C22" s="33"/>
      <c r="D22" s="53"/>
      <c r="E22" s="53"/>
      <c r="F22" s="53"/>
      <c r="G22" s="53"/>
      <c r="H22" s="53"/>
      <c r="I22" s="53"/>
    </row>
    <row r="23" spans="1:9" x14ac:dyDescent="0.25">
      <c r="A23" s="33"/>
      <c r="B23" s="33"/>
      <c r="C23" s="33"/>
      <c r="D23" s="53"/>
      <c r="E23" s="53"/>
      <c r="F23" s="53"/>
      <c r="G23" s="53"/>
      <c r="H23" s="53"/>
      <c r="I23" s="53"/>
    </row>
    <row r="24" spans="1:9" x14ac:dyDescent="0.25">
      <c r="A24" s="33"/>
      <c r="B24" s="33"/>
      <c r="C24" s="33"/>
      <c r="D24" s="53"/>
      <c r="E24" s="53"/>
      <c r="F24" s="53"/>
      <c r="G24" s="53"/>
      <c r="H24" s="53"/>
      <c r="I24" s="53"/>
    </row>
    <row r="25" spans="1:9" x14ac:dyDescent="0.25">
      <c r="A25" s="33"/>
      <c r="B25" s="33"/>
      <c r="C25" s="33"/>
      <c r="D25" s="53"/>
      <c r="E25" s="53"/>
      <c r="F25" s="53"/>
      <c r="G25" s="53"/>
      <c r="H25" s="53"/>
      <c r="I25" s="53"/>
    </row>
  </sheetData>
  <sheetProtection formatColumns="0" formatRows="0"/>
  <hyperlinks>
    <hyperlink ref="A1" location="TOC!A1" display="Table of Contents" xr:uid="{AEEA242A-DF18-490A-93C6-E6AF364168DB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4"/>
  <dimension ref="A1:G3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28515625" customWidth="1"/>
    <col min="2" max="2" width="13.140625" bestFit="1" customWidth="1"/>
    <col min="3" max="3" width="122.28515625" customWidth="1"/>
    <col min="4" max="5" width="10.42578125" customWidth="1"/>
  </cols>
  <sheetData>
    <row r="1" spans="1:7" x14ac:dyDescent="0.25">
      <c r="A1" s="141" t="s">
        <v>316</v>
      </c>
      <c r="B1" s="32" t="s">
        <v>342</v>
      </c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x14ac:dyDescent="0.25">
      <c r="A3" s="34" t="s">
        <v>134</v>
      </c>
      <c r="B3" s="33"/>
      <c r="C3" s="33"/>
      <c r="D3" s="33"/>
      <c r="E3" s="33"/>
      <c r="F3" s="33"/>
      <c r="G3" s="33"/>
    </row>
    <row r="4" spans="1:7" x14ac:dyDescent="0.25">
      <c r="A4" s="34" t="s">
        <v>135</v>
      </c>
      <c r="B4" s="33"/>
      <c r="C4" s="33"/>
      <c r="D4" s="33"/>
      <c r="E4" s="33"/>
      <c r="F4" s="33"/>
      <c r="G4" s="33"/>
    </row>
    <row r="5" spans="1:7" x14ac:dyDescent="0.25">
      <c r="A5" s="33"/>
      <c r="B5" s="33"/>
      <c r="C5" s="33"/>
      <c r="D5" s="33"/>
      <c r="E5" s="33"/>
      <c r="F5" s="33"/>
      <c r="G5" s="33"/>
    </row>
    <row r="6" spans="1:7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</row>
    <row r="7" spans="1:7" x14ac:dyDescent="0.25">
      <c r="A7" s="33" t="s">
        <v>782</v>
      </c>
      <c r="B7" s="33" t="s">
        <v>1502</v>
      </c>
      <c r="C7" s="33" t="s">
        <v>1503</v>
      </c>
      <c r="D7" s="33" t="s">
        <v>927</v>
      </c>
      <c r="E7" s="33" t="s">
        <v>926</v>
      </c>
      <c r="F7" s="2">
        <v>2.1192500000000001</v>
      </c>
      <c r="G7" s="2">
        <v>-0.71131999999999984</v>
      </c>
    </row>
    <row r="8" spans="1:7" x14ac:dyDescent="0.25">
      <c r="A8" s="33" t="s">
        <v>782</v>
      </c>
      <c r="B8" s="33" t="s">
        <v>1504</v>
      </c>
      <c r="C8" s="33" t="s">
        <v>1505</v>
      </c>
      <c r="D8" s="33" t="s">
        <v>927</v>
      </c>
      <c r="E8" s="33" t="s">
        <v>926</v>
      </c>
      <c r="F8" s="2">
        <v>1.9207799999999999</v>
      </c>
      <c r="G8" s="2">
        <v>-0.15573999999999999</v>
      </c>
    </row>
    <row r="9" spans="1:7" x14ac:dyDescent="0.25">
      <c r="A9" s="33" t="s">
        <v>782</v>
      </c>
      <c r="B9" s="33" t="s">
        <v>1506</v>
      </c>
      <c r="C9" s="33" t="s">
        <v>1507</v>
      </c>
      <c r="D9" s="33" t="s">
        <v>927</v>
      </c>
      <c r="E9" s="33" t="s">
        <v>926</v>
      </c>
      <c r="F9" s="2">
        <v>2.27651</v>
      </c>
      <c r="G9" s="2">
        <v>-0.77271999999999985</v>
      </c>
    </row>
    <row r="10" spans="1:7" x14ac:dyDescent="0.25">
      <c r="A10" s="33" t="s">
        <v>782</v>
      </c>
      <c r="B10" s="33" t="s">
        <v>1508</v>
      </c>
      <c r="C10" s="33" t="s">
        <v>1509</v>
      </c>
      <c r="D10" s="33" t="s">
        <v>927</v>
      </c>
      <c r="E10" s="33" t="s">
        <v>926</v>
      </c>
      <c r="F10" s="2">
        <v>2.01797</v>
      </c>
      <c r="G10" s="2">
        <v>-0.38342999999999988</v>
      </c>
    </row>
    <row r="11" spans="1:7" x14ac:dyDescent="0.25">
      <c r="A11" s="33" t="s">
        <v>782</v>
      </c>
      <c r="B11" s="33" t="s">
        <v>1510</v>
      </c>
      <c r="C11" s="33" t="s">
        <v>1511</v>
      </c>
      <c r="D11" s="33" t="s">
        <v>927</v>
      </c>
      <c r="E11" s="33" t="s">
        <v>926</v>
      </c>
      <c r="F11" s="2">
        <v>1.0436099999999999</v>
      </c>
      <c r="G11" s="2">
        <v>1.2668699999999999</v>
      </c>
    </row>
    <row r="12" spans="1:7" x14ac:dyDescent="0.25">
      <c r="A12" s="33" t="s">
        <v>782</v>
      </c>
      <c r="B12" s="33" t="s">
        <v>1512</v>
      </c>
      <c r="C12" s="33" t="s">
        <v>1513</v>
      </c>
      <c r="D12" s="33" t="s">
        <v>927</v>
      </c>
      <c r="E12" s="33" t="s">
        <v>926</v>
      </c>
      <c r="F12" s="2">
        <v>1.14259</v>
      </c>
      <c r="G12" s="2">
        <v>1.5013000000000001</v>
      </c>
    </row>
    <row r="13" spans="1:7" x14ac:dyDescent="0.25">
      <c r="A13" s="33" t="s">
        <v>782</v>
      </c>
      <c r="B13" s="33" t="s">
        <v>1514</v>
      </c>
      <c r="C13" s="33" t="s">
        <v>1515</v>
      </c>
      <c r="D13" s="33" t="s">
        <v>927</v>
      </c>
      <c r="E13" s="33" t="s">
        <v>926</v>
      </c>
      <c r="F13" s="2">
        <v>1.42686</v>
      </c>
      <c r="G13" s="2">
        <v>1.8561399999999999</v>
      </c>
    </row>
    <row r="14" spans="1:7" x14ac:dyDescent="0.25">
      <c r="A14" s="33" t="s">
        <v>782</v>
      </c>
      <c r="B14" s="33" t="s">
        <v>1516</v>
      </c>
      <c r="C14" s="33" t="s">
        <v>1517</v>
      </c>
      <c r="D14" s="33" t="s">
        <v>927</v>
      </c>
      <c r="E14" s="33" t="s">
        <v>926</v>
      </c>
      <c r="F14" s="2">
        <v>2.0466600000000001</v>
      </c>
      <c r="G14" s="2">
        <v>-0.65456000000000003</v>
      </c>
    </row>
    <row r="15" spans="1:7" x14ac:dyDescent="0.25">
      <c r="A15" s="33" t="s">
        <v>782</v>
      </c>
      <c r="B15" s="33" t="s">
        <v>1518</v>
      </c>
      <c r="C15" s="33" t="s">
        <v>1519</v>
      </c>
      <c r="D15" s="33" t="s">
        <v>927</v>
      </c>
      <c r="E15" s="33" t="s">
        <v>926</v>
      </c>
      <c r="F15" s="2">
        <v>1.97719</v>
      </c>
      <c r="G15" s="2">
        <v>-2.801E-2</v>
      </c>
    </row>
    <row r="16" spans="1:7" x14ac:dyDescent="0.25">
      <c r="A16" s="33" t="s">
        <v>782</v>
      </c>
      <c r="B16" s="33" t="s">
        <v>1520</v>
      </c>
      <c r="C16" s="33" t="s">
        <v>1521</v>
      </c>
      <c r="D16" s="33" t="s">
        <v>927</v>
      </c>
      <c r="E16" s="33"/>
      <c r="F16" s="2">
        <v>1.64655</v>
      </c>
      <c r="G16" s="2">
        <v>0.98314000000000012</v>
      </c>
    </row>
    <row r="17" spans="1:7" x14ac:dyDescent="0.25">
      <c r="A17" s="40" t="s">
        <v>782</v>
      </c>
      <c r="B17" s="40" t="s">
        <v>1522</v>
      </c>
      <c r="C17" s="40" t="s">
        <v>1523</v>
      </c>
      <c r="D17" s="40" t="s">
        <v>927</v>
      </c>
      <c r="E17" s="40"/>
      <c r="F17" s="4">
        <v>1.7420800000000001</v>
      </c>
      <c r="G17" s="4">
        <v>0.98216999999999988</v>
      </c>
    </row>
    <row r="18" spans="1:7" x14ac:dyDescent="0.25">
      <c r="A18" s="33"/>
      <c r="B18" s="33"/>
      <c r="C18" s="33"/>
      <c r="D18" s="33"/>
      <c r="E18" s="33"/>
      <c r="F18" s="53"/>
      <c r="G18" s="53"/>
    </row>
    <row r="19" spans="1:7" x14ac:dyDescent="0.25">
      <c r="A19" s="33"/>
      <c r="B19" s="33"/>
      <c r="C19" s="33"/>
      <c r="D19" s="33"/>
      <c r="E19" s="33"/>
      <c r="F19" s="53"/>
      <c r="G19" s="53"/>
    </row>
    <row r="20" spans="1:7" x14ac:dyDescent="0.25">
      <c r="A20" s="33"/>
      <c r="B20" s="33"/>
      <c r="C20" s="33"/>
      <c r="D20" s="33"/>
      <c r="E20" s="33"/>
      <c r="F20" s="53"/>
      <c r="G20" s="53"/>
    </row>
    <row r="21" spans="1:7" x14ac:dyDescent="0.25">
      <c r="A21" s="33"/>
      <c r="B21" s="33"/>
      <c r="C21" s="33"/>
      <c r="D21" s="33"/>
      <c r="E21" s="33"/>
      <c r="F21" s="53"/>
      <c r="G21" s="53"/>
    </row>
    <row r="22" spans="1:7" x14ac:dyDescent="0.25">
      <c r="A22" s="33"/>
      <c r="B22" s="33"/>
      <c r="C22" s="33"/>
      <c r="D22" s="33"/>
      <c r="E22" s="33"/>
      <c r="F22" s="53"/>
      <c r="G22" s="53"/>
    </row>
    <row r="23" spans="1:7" x14ac:dyDescent="0.25">
      <c r="A23" s="33"/>
      <c r="B23" s="33"/>
      <c r="C23" s="33"/>
      <c r="D23" s="33"/>
      <c r="E23" s="33"/>
      <c r="F23" s="53"/>
      <c r="G23" s="53"/>
    </row>
    <row r="24" spans="1:7" x14ac:dyDescent="0.25">
      <c r="A24" s="33"/>
      <c r="B24" s="33"/>
      <c r="C24" s="33"/>
      <c r="D24" s="33"/>
      <c r="E24" s="33"/>
      <c r="F24" s="53"/>
      <c r="G24" s="53"/>
    </row>
    <row r="25" spans="1:7" x14ac:dyDescent="0.25">
      <c r="A25" s="33"/>
      <c r="B25" s="33"/>
      <c r="C25" s="33"/>
      <c r="D25" s="33"/>
      <c r="E25" s="33"/>
      <c r="F25" s="53"/>
      <c r="G25" s="53"/>
    </row>
    <row r="26" spans="1:7" x14ac:dyDescent="0.25">
      <c r="A26" s="33"/>
      <c r="B26" s="33"/>
      <c r="C26" s="33"/>
      <c r="D26" s="33"/>
      <c r="E26" s="33"/>
      <c r="F26" s="53"/>
      <c r="G26" s="53"/>
    </row>
    <row r="27" spans="1:7" x14ac:dyDescent="0.25">
      <c r="A27" s="33"/>
      <c r="B27" s="33"/>
      <c r="C27" s="33"/>
      <c r="D27" s="33"/>
      <c r="E27" s="33"/>
      <c r="F27" s="53"/>
      <c r="G27" s="53"/>
    </row>
    <row r="28" spans="1:7" x14ac:dyDescent="0.25">
      <c r="A28" s="33"/>
      <c r="B28" s="33"/>
      <c r="C28" s="33"/>
      <c r="D28" s="33"/>
      <c r="E28" s="33"/>
      <c r="F28" s="53"/>
      <c r="G28" s="53"/>
    </row>
    <row r="29" spans="1:7" x14ac:dyDescent="0.25">
      <c r="A29" s="33"/>
      <c r="B29" s="33"/>
      <c r="C29" s="33"/>
      <c r="D29" s="33"/>
      <c r="E29" s="33"/>
      <c r="F29" s="53"/>
      <c r="G29" s="53"/>
    </row>
    <row r="30" spans="1:7" x14ac:dyDescent="0.25">
      <c r="A30" s="33"/>
      <c r="B30" s="33"/>
      <c r="C30" s="33"/>
      <c r="D30" s="33"/>
      <c r="E30" s="33"/>
      <c r="F30" s="53"/>
      <c r="G30" s="53"/>
    </row>
    <row r="31" spans="1:7" x14ac:dyDescent="0.25">
      <c r="A31" s="33"/>
      <c r="B31" s="33"/>
      <c r="C31" s="33"/>
      <c r="D31" s="33"/>
      <c r="E31" s="33"/>
      <c r="F31" s="53"/>
      <c r="G31" s="53"/>
    </row>
    <row r="32" spans="1:7" x14ac:dyDescent="0.25">
      <c r="A32" s="33"/>
      <c r="B32" s="33"/>
      <c r="C32" s="33"/>
      <c r="D32" s="33"/>
      <c r="E32" s="33"/>
      <c r="F32" s="53"/>
      <c r="G32" s="53"/>
    </row>
  </sheetData>
  <sheetProtection formatColumns="0" formatRows="0"/>
  <hyperlinks>
    <hyperlink ref="A1" location="TOC!A1" display="Table of Contents" xr:uid="{68DFC7D6-CA32-4773-ACB4-8AD38E86D6B9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5"/>
  <dimension ref="A1:H2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102.140625" customWidth="1"/>
    <col min="4" max="4" width="8.7109375" bestFit="1" customWidth="1"/>
  </cols>
  <sheetData>
    <row r="1" spans="1:8" x14ac:dyDescent="0.25">
      <c r="A1" s="141" t="s">
        <v>316</v>
      </c>
      <c r="B1" s="32" t="s">
        <v>391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136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137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1524</v>
      </c>
      <c r="C7" s="33" t="s">
        <v>1525</v>
      </c>
      <c r="D7" s="2">
        <v>1.19974</v>
      </c>
      <c r="E7" s="2">
        <v>-0.60428000000000015</v>
      </c>
      <c r="F7" s="2">
        <v>-1.31349</v>
      </c>
      <c r="G7" s="2">
        <v>-1.4600599999999999</v>
      </c>
      <c r="H7" s="2">
        <v>2.7735500000000002</v>
      </c>
    </row>
    <row r="8" spans="1:8" x14ac:dyDescent="0.25">
      <c r="A8" s="33" t="s">
        <v>782</v>
      </c>
      <c r="B8" s="33" t="s">
        <v>1526</v>
      </c>
      <c r="C8" s="33" t="s">
        <v>1527</v>
      </c>
      <c r="D8" s="2">
        <v>1.3713299999999999</v>
      </c>
      <c r="E8" s="2">
        <v>-0.6963499999999998</v>
      </c>
      <c r="F8" s="2">
        <v>-1.77129</v>
      </c>
      <c r="G8" s="2">
        <v>-1.2523200000000001</v>
      </c>
      <c r="H8" s="2">
        <v>3.0236100000000001</v>
      </c>
    </row>
    <row r="9" spans="1:8" x14ac:dyDescent="0.25">
      <c r="A9" s="33" t="s">
        <v>782</v>
      </c>
      <c r="B9" s="33" t="s">
        <v>1528</v>
      </c>
      <c r="C9" s="33" t="s">
        <v>1529</v>
      </c>
      <c r="D9" s="2">
        <v>1.37134</v>
      </c>
      <c r="E9" s="2">
        <v>-0.64356999999999986</v>
      </c>
      <c r="F9" s="2">
        <v>-2.289029999999999</v>
      </c>
      <c r="G9" s="2">
        <v>-0.63809000000000016</v>
      </c>
      <c r="H9" s="2">
        <v>2.9271199999999999</v>
      </c>
    </row>
    <row r="10" spans="1:8" x14ac:dyDescent="0.25">
      <c r="A10" s="33" t="s">
        <v>782</v>
      </c>
      <c r="B10" s="33" t="s">
        <v>1530</v>
      </c>
      <c r="C10" s="33" t="s">
        <v>1531</v>
      </c>
      <c r="D10" s="2">
        <v>3.2677999999999989</v>
      </c>
      <c r="E10" s="2">
        <v>-2.00082</v>
      </c>
      <c r="F10" s="2">
        <v>-3.73753</v>
      </c>
      <c r="G10" s="2">
        <v>-1.33779</v>
      </c>
      <c r="H10" s="2">
        <v>5.0753199999999996</v>
      </c>
    </row>
    <row r="11" spans="1:8" x14ac:dyDescent="0.25">
      <c r="A11" s="40" t="s">
        <v>782</v>
      </c>
      <c r="B11" s="40" t="s">
        <v>1532</v>
      </c>
      <c r="C11" s="40" t="s">
        <v>1533</v>
      </c>
      <c r="D11" s="4">
        <v>2.9197700000000011</v>
      </c>
      <c r="E11" s="4">
        <v>-2.4899499999999999</v>
      </c>
      <c r="F11" s="4">
        <v>-2.3545699999999989</v>
      </c>
      <c r="G11" s="4">
        <v>-1.8526</v>
      </c>
      <c r="H11" s="4">
        <v>4.2071699999999996</v>
      </c>
    </row>
    <row r="12" spans="1:8" x14ac:dyDescent="0.25">
      <c r="A12" s="33"/>
      <c r="B12" s="33"/>
      <c r="C12" s="33"/>
      <c r="D12" s="53"/>
      <c r="E12" s="53"/>
      <c r="F12" s="53"/>
      <c r="G12" s="53"/>
      <c r="H12" s="53"/>
    </row>
    <row r="13" spans="1:8" x14ac:dyDescent="0.25">
      <c r="A13" s="33"/>
      <c r="B13" s="33"/>
      <c r="C13" s="33"/>
      <c r="D13" s="53"/>
      <c r="E13" s="53"/>
      <c r="F13" s="53"/>
      <c r="G13" s="53"/>
      <c r="H13" s="53"/>
    </row>
    <row r="14" spans="1:8" x14ac:dyDescent="0.25">
      <c r="A14" s="33"/>
      <c r="B14" s="33"/>
      <c r="C14" s="33"/>
      <c r="D14" s="53"/>
      <c r="E14" s="53"/>
      <c r="F14" s="53"/>
      <c r="G14" s="53"/>
      <c r="H14" s="53"/>
    </row>
    <row r="15" spans="1:8" x14ac:dyDescent="0.25">
      <c r="A15" s="33"/>
      <c r="B15" s="33"/>
      <c r="C15" s="33"/>
      <c r="D15" s="53"/>
      <c r="E15" s="53"/>
      <c r="F15" s="53"/>
      <c r="G15" s="53"/>
      <c r="H15" s="53"/>
    </row>
    <row r="16" spans="1:8" x14ac:dyDescent="0.25">
      <c r="A16" s="33"/>
      <c r="B16" s="33"/>
      <c r="C16" s="33"/>
      <c r="D16" s="53"/>
      <c r="E16" s="53"/>
      <c r="F16" s="53"/>
      <c r="G16" s="53"/>
      <c r="H16" s="53"/>
    </row>
    <row r="17" spans="1:8" x14ac:dyDescent="0.25">
      <c r="A17" s="33"/>
      <c r="B17" s="33"/>
      <c r="C17" s="33"/>
      <c r="D17" s="53"/>
      <c r="E17" s="53"/>
      <c r="F17" s="53"/>
      <c r="G17" s="53"/>
      <c r="H17" s="53"/>
    </row>
    <row r="18" spans="1:8" x14ac:dyDescent="0.25">
      <c r="A18" s="33"/>
      <c r="B18" s="33"/>
      <c r="C18" s="33"/>
      <c r="D18" s="53"/>
      <c r="E18" s="53"/>
      <c r="F18" s="53"/>
      <c r="G18" s="53"/>
      <c r="H18" s="53"/>
    </row>
    <row r="19" spans="1:8" x14ac:dyDescent="0.25">
      <c r="A19" s="33"/>
      <c r="B19" s="33"/>
      <c r="C19" s="33"/>
      <c r="D19" s="53"/>
      <c r="E19" s="53"/>
      <c r="F19" s="53"/>
      <c r="G19" s="53"/>
      <c r="H19" s="53"/>
    </row>
    <row r="20" spans="1:8" x14ac:dyDescent="0.25">
      <c r="A20" s="33"/>
      <c r="B20" s="33"/>
      <c r="C20" s="33"/>
      <c r="D20" s="53"/>
      <c r="E20" s="53"/>
      <c r="F20" s="53"/>
      <c r="G20" s="53"/>
      <c r="H20" s="53"/>
    </row>
    <row r="21" spans="1:8" x14ac:dyDescent="0.25">
      <c r="A21" s="33"/>
      <c r="B21" s="33"/>
      <c r="C21" s="33"/>
      <c r="D21" s="53"/>
      <c r="E21" s="53"/>
      <c r="F21" s="53"/>
      <c r="G21" s="53"/>
      <c r="H21" s="53"/>
    </row>
    <row r="22" spans="1:8" x14ac:dyDescent="0.25">
      <c r="A22" s="33"/>
      <c r="B22" s="33"/>
      <c r="C22" s="33"/>
      <c r="D22" s="53"/>
      <c r="E22" s="53"/>
      <c r="F22" s="53"/>
      <c r="G22" s="53"/>
      <c r="H22" s="53"/>
    </row>
    <row r="23" spans="1:8" x14ac:dyDescent="0.25">
      <c r="A23" s="33"/>
      <c r="B23" s="33"/>
      <c r="C23" s="33"/>
      <c r="D23" s="53"/>
      <c r="E23" s="53"/>
      <c r="F23" s="53"/>
      <c r="G23" s="53"/>
      <c r="H23" s="53"/>
    </row>
    <row r="24" spans="1:8" x14ac:dyDescent="0.25">
      <c r="A24" s="33"/>
      <c r="B24" s="33"/>
      <c r="C24" s="33"/>
      <c r="D24" s="53"/>
      <c r="E24" s="53"/>
      <c r="F24" s="53"/>
      <c r="G24" s="53"/>
      <c r="H24" s="53"/>
    </row>
    <row r="25" spans="1:8" x14ac:dyDescent="0.25">
      <c r="A25" s="33"/>
      <c r="B25" s="33"/>
      <c r="C25" s="33"/>
      <c r="D25" s="53"/>
      <c r="E25" s="53"/>
      <c r="F25" s="53"/>
      <c r="G25" s="53"/>
      <c r="H25" s="53"/>
    </row>
    <row r="26" spans="1:8" x14ac:dyDescent="0.25">
      <c r="A26" s="33"/>
      <c r="B26" s="33"/>
      <c r="C26" s="33"/>
      <c r="D26" s="53"/>
      <c r="E26" s="53"/>
      <c r="F26" s="53"/>
      <c r="G26" s="53"/>
      <c r="H26" s="53"/>
    </row>
  </sheetData>
  <sheetProtection formatColumns="0" formatRows="0"/>
  <hyperlinks>
    <hyperlink ref="A1" location="TOC!A1" display="Table of Contents" xr:uid="{65B31C9B-C560-40B1-AEDE-0F94E8D4D4F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6"/>
  <dimension ref="A1:J3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13.140625" bestFit="1" customWidth="1"/>
    <col min="3" max="3" width="78.42578125" customWidth="1"/>
    <col min="4" max="5" width="10.42578125" customWidth="1"/>
  </cols>
  <sheetData>
    <row r="1" spans="1:10" x14ac:dyDescent="0.25">
      <c r="A1" s="141" t="s">
        <v>316</v>
      </c>
      <c r="B1" s="32" t="s">
        <v>343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138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139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  <c r="H6" s="65" t="s">
        <v>777</v>
      </c>
      <c r="I6" s="65" t="s">
        <v>778</v>
      </c>
      <c r="J6" s="65" t="s">
        <v>779</v>
      </c>
    </row>
    <row r="7" spans="1:10" x14ac:dyDescent="0.25">
      <c r="A7" s="33" t="s">
        <v>782</v>
      </c>
      <c r="B7" s="33" t="s">
        <v>1534</v>
      </c>
      <c r="C7" s="33" t="s">
        <v>1535</v>
      </c>
      <c r="D7" s="33" t="s">
        <v>927</v>
      </c>
      <c r="E7" s="33" t="s">
        <v>926</v>
      </c>
      <c r="F7" s="2">
        <v>1.71644</v>
      </c>
      <c r="G7" s="2">
        <v>-0.68225000000000002</v>
      </c>
      <c r="H7" s="2">
        <v>-0.54025000000000001</v>
      </c>
      <c r="I7" s="2">
        <v>6.6699999999999982E-2</v>
      </c>
      <c r="J7" s="2">
        <v>0.47355000000000008</v>
      </c>
    </row>
    <row r="8" spans="1:10" x14ac:dyDescent="0.25">
      <c r="A8" s="33" t="s">
        <v>782</v>
      </c>
      <c r="B8" s="33" t="s">
        <v>1536</v>
      </c>
      <c r="C8" s="33" t="s">
        <v>1537</v>
      </c>
      <c r="D8" s="33" t="s">
        <v>927</v>
      </c>
      <c r="E8" s="33" t="s">
        <v>926</v>
      </c>
      <c r="F8" s="2">
        <v>1.78091</v>
      </c>
      <c r="G8" s="2">
        <v>2.894999999999999E-2</v>
      </c>
      <c r="H8" s="2">
        <v>-1.1063000000000001</v>
      </c>
      <c r="I8" s="2">
        <v>0.10743999999999999</v>
      </c>
      <c r="J8" s="2">
        <v>0.99886000000000019</v>
      </c>
    </row>
    <row r="9" spans="1:10" x14ac:dyDescent="0.25">
      <c r="A9" s="33" t="s">
        <v>782</v>
      </c>
      <c r="B9" s="33" t="s">
        <v>1538</v>
      </c>
      <c r="C9" s="33" t="s">
        <v>1539</v>
      </c>
      <c r="D9" s="33" t="s">
        <v>927</v>
      </c>
      <c r="E9" s="33" t="s">
        <v>926</v>
      </c>
      <c r="F9" s="2">
        <v>1.85727</v>
      </c>
      <c r="G9" s="2">
        <v>0.23691000000000001</v>
      </c>
      <c r="H9" s="2">
        <v>-1.52468</v>
      </c>
      <c r="I9" s="2">
        <v>0.44785000000000003</v>
      </c>
      <c r="J9" s="2">
        <v>1.07683</v>
      </c>
    </row>
    <row r="10" spans="1:10" x14ac:dyDescent="0.25">
      <c r="A10" s="33" t="s">
        <v>782</v>
      </c>
      <c r="B10" s="33" t="s">
        <v>1540</v>
      </c>
      <c r="C10" s="33" t="s">
        <v>1541</v>
      </c>
      <c r="D10" s="33" t="s">
        <v>927</v>
      </c>
      <c r="E10" s="33" t="s">
        <v>926</v>
      </c>
      <c r="F10" s="2">
        <v>1.9138900000000001</v>
      </c>
      <c r="G10" s="2">
        <v>0.26380999999999988</v>
      </c>
      <c r="H10" s="2">
        <v>-1.6994199999999999</v>
      </c>
      <c r="I10" s="2">
        <v>1.23102</v>
      </c>
      <c r="J10" s="2">
        <v>0.46839999999999993</v>
      </c>
    </row>
    <row r="11" spans="1:10" x14ac:dyDescent="0.25">
      <c r="A11" s="33" t="s">
        <v>782</v>
      </c>
      <c r="B11" s="33" t="s">
        <v>1542</v>
      </c>
      <c r="C11" s="33" t="s">
        <v>1543</v>
      </c>
      <c r="D11" s="33" t="s">
        <v>927</v>
      </c>
      <c r="E11" s="33" t="s">
        <v>926</v>
      </c>
      <c r="F11" s="2">
        <v>1.82216</v>
      </c>
      <c r="G11" s="2">
        <v>-5.8659999999999983E-2</v>
      </c>
      <c r="H11" s="2">
        <v>-1.52806</v>
      </c>
      <c r="I11" s="2">
        <v>0.85192999999999997</v>
      </c>
      <c r="J11" s="2">
        <v>0.67613000000000001</v>
      </c>
    </row>
    <row r="12" spans="1:10" x14ac:dyDescent="0.25">
      <c r="A12" s="33" t="s">
        <v>782</v>
      </c>
      <c r="B12" s="33" t="s">
        <v>1544</v>
      </c>
      <c r="C12" s="33" t="s">
        <v>1545</v>
      </c>
      <c r="D12" s="33" t="s">
        <v>927</v>
      </c>
      <c r="E12" s="33" t="s">
        <v>926</v>
      </c>
      <c r="F12" s="2">
        <v>1.6543600000000001</v>
      </c>
      <c r="G12" s="2">
        <v>0.16974</v>
      </c>
      <c r="H12" s="2">
        <v>-1.51433</v>
      </c>
      <c r="I12" s="2">
        <v>0.83904000000000001</v>
      </c>
      <c r="J12" s="2">
        <v>0.67528999999999995</v>
      </c>
    </row>
    <row r="13" spans="1:10" x14ac:dyDescent="0.25">
      <c r="A13" s="33" t="s">
        <v>782</v>
      </c>
      <c r="B13" s="33" t="s">
        <v>1546</v>
      </c>
      <c r="C13" s="33" t="s">
        <v>1547</v>
      </c>
      <c r="D13" s="33" t="s">
        <v>927</v>
      </c>
      <c r="E13" s="33" t="s">
        <v>926</v>
      </c>
      <c r="F13" s="2">
        <v>1.72688</v>
      </c>
      <c r="G13" s="2">
        <v>0.20807</v>
      </c>
      <c r="H13" s="2">
        <v>-0.92596000000000001</v>
      </c>
      <c r="I13" s="2">
        <v>0.33317000000000002</v>
      </c>
      <c r="J13" s="2">
        <v>0.59279000000000004</v>
      </c>
    </row>
    <row r="14" spans="1:10" x14ac:dyDescent="0.25">
      <c r="A14" s="33" t="s">
        <v>782</v>
      </c>
      <c r="B14" s="33" t="s">
        <v>1548</v>
      </c>
      <c r="C14" s="33" t="s">
        <v>1549</v>
      </c>
      <c r="D14" s="33" t="s">
        <v>927</v>
      </c>
      <c r="E14" s="33"/>
      <c r="F14" s="2">
        <v>1.52704</v>
      </c>
      <c r="G14" s="2">
        <v>2.5200000000000001E-3</v>
      </c>
      <c r="H14" s="2">
        <v>-1.0785800000000001</v>
      </c>
      <c r="I14" s="2">
        <v>0.53082999999999991</v>
      </c>
      <c r="J14" s="2">
        <v>0.54774999999999996</v>
      </c>
    </row>
    <row r="15" spans="1:10" x14ac:dyDescent="0.25">
      <c r="A15" s="33" t="s">
        <v>782</v>
      </c>
      <c r="B15" s="33" t="s">
        <v>1550</v>
      </c>
      <c r="C15" s="33" t="s">
        <v>1551</v>
      </c>
      <c r="D15" s="33" t="s">
        <v>927</v>
      </c>
      <c r="E15" s="33"/>
      <c r="F15" s="2">
        <v>2.32918</v>
      </c>
      <c r="G15" s="2">
        <v>0.44346999999999992</v>
      </c>
      <c r="H15" s="2">
        <v>-0.82996999999999999</v>
      </c>
      <c r="I15" s="2">
        <v>-0.29544999999999999</v>
      </c>
      <c r="J15" s="2">
        <v>1.1254200000000001</v>
      </c>
    </row>
    <row r="16" spans="1:10" x14ac:dyDescent="0.25">
      <c r="A16" s="33" t="s">
        <v>782</v>
      </c>
      <c r="B16" s="33" t="s">
        <v>1552</v>
      </c>
      <c r="C16" s="33" t="s">
        <v>1553</v>
      </c>
      <c r="D16" s="33" t="s">
        <v>927</v>
      </c>
      <c r="E16" s="33"/>
      <c r="F16" s="2">
        <v>2.3790900000000001</v>
      </c>
      <c r="G16" s="2">
        <v>0.29371000000000008</v>
      </c>
      <c r="H16" s="2">
        <v>-0.82709999999999995</v>
      </c>
      <c r="I16" s="2">
        <v>-0.21612999999999999</v>
      </c>
      <c r="J16" s="2">
        <v>1.0432300000000001</v>
      </c>
    </row>
    <row r="17" spans="1:10" x14ac:dyDescent="0.25">
      <c r="A17" s="40" t="s">
        <v>782</v>
      </c>
      <c r="B17" s="40" t="s">
        <v>1554</v>
      </c>
      <c r="C17" s="40" t="s">
        <v>1555</v>
      </c>
      <c r="D17" s="40" t="s">
        <v>927</v>
      </c>
      <c r="E17" s="40"/>
      <c r="F17" s="4">
        <v>2.67557</v>
      </c>
      <c r="G17" s="4">
        <v>-0.17585000000000001</v>
      </c>
      <c r="H17" s="4">
        <v>-1.6822600000000001</v>
      </c>
      <c r="I17" s="4">
        <v>0.53819000000000006</v>
      </c>
      <c r="J17" s="4">
        <v>1.1440699999999999</v>
      </c>
    </row>
    <row r="18" spans="1:10" x14ac:dyDescent="0.25">
      <c r="A18" s="33"/>
      <c r="B18" s="33"/>
      <c r="C18" s="33"/>
      <c r="D18" s="33"/>
      <c r="E18" s="33"/>
      <c r="F18" s="53"/>
      <c r="G18" s="53"/>
      <c r="H18" s="53"/>
      <c r="I18" s="53"/>
      <c r="J18" s="53"/>
    </row>
    <row r="19" spans="1:10" x14ac:dyDescent="0.25">
      <c r="A19" s="33"/>
      <c r="B19" s="33"/>
      <c r="C19" s="33"/>
      <c r="D19" s="33"/>
      <c r="E19" s="33"/>
      <c r="F19" s="53"/>
      <c r="G19" s="53"/>
      <c r="H19" s="53"/>
      <c r="I19" s="53"/>
      <c r="J19" s="53"/>
    </row>
    <row r="20" spans="1:10" x14ac:dyDescent="0.25">
      <c r="A20" s="33"/>
      <c r="B20" s="33"/>
      <c r="C20" s="33"/>
      <c r="D20" s="33"/>
      <c r="E20" s="33"/>
      <c r="F20" s="53"/>
      <c r="G20" s="53"/>
      <c r="H20" s="53"/>
      <c r="I20" s="53"/>
      <c r="J20" s="53"/>
    </row>
    <row r="21" spans="1:10" x14ac:dyDescent="0.25">
      <c r="A21" s="33"/>
      <c r="B21" s="33"/>
      <c r="C21" s="33"/>
      <c r="D21" s="33"/>
      <c r="E21" s="33"/>
      <c r="F21" s="53"/>
      <c r="G21" s="53"/>
      <c r="H21" s="53"/>
      <c r="I21" s="53"/>
      <c r="J21" s="53"/>
    </row>
    <row r="22" spans="1:10" x14ac:dyDescent="0.25">
      <c r="A22" s="33"/>
      <c r="B22" s="33"/>
      <c r="C22" s="33"/>
      <c r="D22" s="33"/>
      <c r="E22" s="33"/>
      <c r="F22" s="53"/>
      <c r="G22" s="53"/>
      <c r="H22" s="53"/>
      <c r="I22" s="53"/>
      <c r="J22" s="53"/>
    </row>
    <row r="23" spans="1:10" x14ac:dyDescent="0.25">
      <c r="A23" s="33"/>
      <c r="B23" s="33"/>
      <c r="C23" s="33"/>
      <c r="D23" s="33"/>
      <c r="E23" s="33"/>
      <c r="F23" s="53"/>
      <c r="G23" s="53"/>
      <c r="H23" s="53"/>
      <c r="I23" s="53"/>
      <c r="J23" s="53"/>
    </row>
    <row r="24" spans="1:10" x14ac:dyDescent="0.25">
      <c r="A24" s="33"/>
      <c r="B24" s="33"/>
      <c r="C24" s="33"/>
      <c r="D24" s="33"/>
      <c r="E24" s="33"/>
      <c r="F24" s="53"/>
      <c r="G24" s="53"/>
      <c r="H24" s="53"/>
      <c r="I24" s="53"/>
      <c r="J24" s="53"/>
    </row>
    <row r="25" spans="1:10" x14ac:dyDescent="0.25">
      <c r="A25" s="33"/>
      <c r="B25" s="33"/>
      <c r="C25" s="33"/>
      <c r="D25" s="33"/>
      <c r="E25" s="33"/>
      <c r="F25" s="53"/>
      <c r="G25" s="53"/>
      <c r="H25" s="53"/>
      <c r="I25" s="53"/>
      <c r="J25" s="53"/>
    </row>
    <row r="26" spans="1:10" x14ac:dyDescent="0.25">
      <c r="A26" s="33"/>
      <c r="B26" s="33"/>
      <c r="C26" s="33"/>
      <c r="D26" s="33"/>
      <c r="E26" s="33"/>
      <c r="F26" s="53"/>
      <c r="G26" s="53"/>
      <c r="H26" s="53"/>
      <c r="I26" s="53"/>
      <c r="J26" s="53"/>
    </row>
    <row r="27" spans="1:10" x14ac:dyDescent="0.25">
      <c r="A27" s="33"/>
      <c r="B27" s="33"/>
      <c r="C27" s="33"/>
      <c r="D27" s="33"/>
      <c r="E27" s="33"/>
      <c r="F27" s="53"/>
      <c r="G27" s="53"/>
      <c r="H27" s="53"/>
      <c r="I27" s="53"/>
      <c r="J27" s="53"/>
    </row>
    <row r="28" spans="1:10" x14ac:dyDescent="0.25">
      <c r="A28" s="33"/>
      <c r="B28" s="33"/>
      <c r="C28" s="33"/>
      <c r="D28" s="33"/>
      <c r="E28" s="33"/>
      <c r="F28" s="53"/>
      <c r="G28" s="53"/>
      <c r="H28" s="53"/>
      <c r="I28" s="53"/>
      <c r="J28" s="53"/>
    </row>
    <row r="29" spans="1:10" x14ac:dyDescent="0.25">
      <c r="A29" s="33"/>
      <c r="B29" s="33"/>
      <c r="C29" s="33"/>
      <c r="D29" s="33"/>
      <c r="E29" s="33"/>
      <c r="F29" s="53"/>
      <c r="G29" s="53"/>
      <c r="H29" s="53"/>
      <c r="I29" s="53"/>
      <c r="J29" s="53"/>
    </row>
    <row r="30" spans="1:10" x14ac:dyDescent="0.25">
      <c r="A30" s="33"/>
      <c r="B30" s="33"/>
      <c r="C30" s="33"/>
      <c r="D30" s="33"/>
      <c r="E30" s="33"/>
      <c r="F30" s="53"/>
      <c r="G30" s="53"/>
      <c r="H30" s="53"/>
      <c r="I30" s="53"/>
      <c r="J30" s="53"/>
    </row>
    <row r="31" spans="1:10" x14ac:dyDescent="0.25">
      <c r="A31" s="33"/>
      <c r="B31" s="33"/>
      <c r="C31" s="33"/>
      <c r="D31" s="33"/>
      <c r="E31" s="33"/>
      <c r="F31" s="53"/>
      <c r="G31" s="53"/>
      <c r="H31" s="53"/>
      <c r="I31" s="53"/>
      <c r="J31" s="53"/>
    </row>
    <row r="32" spans="1:10" x14ac:dyDescent="0.25">
      <c r="A32" s="33"/>
      <c r="B32" s="33"/>
      <c r="C32" s="33"/>
      <c r="D32" s="33"/>
      <c r="E32" s="33"/>
      <c r="F32" s="53"/>
      <c r="G32" s="53"/>
      <c r="H32" s="53"/>
      <c r="I32" s="53"/>
      <c r="J32" s="53"/>
    </row>
  </sheetData>
  <sheetProtection formatColumns="0" formatRows="0"/>
  <hyperlinks>
    <hyperlink ref="A1" location="TOC!A1" display="Table of Contents" xr:uid="{64747A3A-DBE9-4FDB-A072-B5C30ECBBAAE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67"/>
  <dimension ref="A1:H2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102.140625" customWidth="1"/>
    <col min="4" max="4" width="8.7109375" bestFit="1" customWidth="1"/>
  </cols>
  <sheetData>
    <row r="1" spans="1:8" x14ac:dyDescent="0.25">
      <c r="A1" s="141" t="s">
        <v>316</v>
      </c>
      <c r="B1" s="32" t="s">
        <v>390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140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141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1556</v>
      </c>
      <c r="C7" s="33" t="s">
        <v>1557</v>
      </c>
      <c r="D7" s="2">
        <v>1.8247</v>
      </c>
      <c r="E7" s="2">
        <v>-1.5238799999999999</v>
      </c>
      <c r="F7" s="2">
        <v>-2.7671100000000002</v>
      </c>
      <c r="G7" s="2">
        <v>-1.04206</v>
      </c>
      <c r="H7" s="2">
        <v>3.8091699999999999</v>
      </c>
    </row>
    <row r="8" spans="1:8" x14ac:dyDescent="0.25">
      <c r="A8" s="33" t="s">
        <v>782</v>
      </c>
      <c r="B8" s="33" t="s">
        <v>1558</v>
      </c>
      <c r="C8" s="33" t="s">
        <v>1559</v>
      </c>
      <c r="D8" s="2">
        <v>2.06366</v>
      </c>
      <c r="E8" s="2">
        <v>-1.88564</v>
      </c>
      <c r="F8" s="2">
        <v>-3.1102099999999999</v>
      </c>
      <c r="G8" s="2">
        <v>-0.74965000000000015</v>
      </c>
      <c r="H8" s="2">
        <v>3.8598599999999998</v>
      </c>
    </row>
    <row r="9" spans="1:8" x14ac:dyDescent="0.25">
      <c r="A9" s="33" t="s">
        <v>782</v>
      </c>
      <c r="B9" s="33" t="s">
        <v>1560</v>
      </c>
      <c r="C9" s="33" t="s">
        <v>1561</v>
      </c>
      <c r="D9" s="2">
        <v>1.8111699999999999</v>
      </c>
      <c r="E9" s="2">
        <v>-1.6154299999999999</v>
      </c>
      <c r="F9" s="2">
        <v>-2.8040699999999998</v>
      </c>
      <c r="G9" s="2">
        <v>-0.65929000000000004</v>
      </c>
      <c r="H9" s="2">
        <v>3.4633600000000002</v>
      </c>
    </row>
    <row r="10" spans="1:8" x14ac:dyDescent="0.25">
      <c r="A10" s="33" t="s">
        <v>782</v>
      </c>
      <c r="B10" s="33" t="s">
        <v>1562</v>
      </c>
      <c r="C10" s="33" t="s">
        <v>1563</v>
      </c>
      <c r="D10" s="2">
        <v>1.0788899999999999</v>
      </c>
      <c r="E10" s="2">
        <v>-0.56742000000000004</v>
      </c>
      <c r="F10" s="2">
        <v>-2.1616599999999999</v>
      </c>
      <c r="G10" s="2">
        <v>-0.52717000000000003</v>
      </c>
      <c r="H10" s="2">
        <v>2.6888299999999998</v>
      </c>
    </row>
    <row r="11" spans="1:8" x14ac:dyDescent="0.25">
      <c r="A11" s="33" t="s">
        <v>782</v>
      </c>
      <c r="B11" s="33" t="s">
        <v>1564</v>
      </c>
      <c r="C11" s="33" t="s">
        <v>1565</v>
      </c>
      <c r="D11" s="2">
        <v>1.9250400000000001</v>
      </c>
      <c r="E11" s="2">
        <v>-1.9219900000000001</v>
      </c>
      <c r="F11" s="2">
        <v>-2.5264099999999998</v>
      </c>
      <c r="G11" s="2">
        <v>-1.1725300000000001</v>
      </c>
      <c r="H11" s="2">
        <v>3.698939999999999</v>
      </c>
    </row>
    <row r="12" spans="1:8" x14ac:dyDescent="0.25">
      <c r="A12" s="33" t="s">
        <v>782</v>
      </c>
      <c r="B12" s="33" t="s">
        <v>1566</v>
      </c>
      <c r="C12" s="33" t="s">
        <v>1567</v>
      </c>
      <c r="D12" s="2">
        <v>1.3860399999999999</v>
      </c>
      <c r="E12" s="2">
        <v>-0.84070999999999996</v>
      </c>
      <c r="F12" s="2">
        <v>-2.3600500000000002</v>
      </c>
      <c r="G12" s="2">
        <v>-0.68439000000000016</v>
      </c>
      <c r="H12" s="2">
        <v>3.0444399999999998</v>
      </c>
    </row>
    <row r="13" spans="1:8" x14ac:dyDescent="0.25">
      <c r="A13" s="40" t="s">
        <v>782</v>
      </c>
      <c r="B13" s="40" t="s">
        <v>1568</v>
      </c>
      <c r="C13" s="40" t="s">
        <v>1569</v>
      </c>
      <c r="D13" s="4">
        <v>1.6632499999999999</v>
      </c>
      <c r="E13" s="4">
        <v>-1.70459</v>
      </c>
      <c r="F13" s="4">
        <v>-2.27386</v>
      </c>
      <c r="G13" s="4">
        <v>-1.2973699999999999</v>
      </c>
      <c r="H13" s="4">
        <v>3.5712299999999999</v>
      </c>
    </row>
    <row r="14" spans="1:8" x14ac:dyDescent="0.25">
      <c r="A14" s="33"/>
      <c r="B14" s="33"/>
      <c r="C14" s="33"/>
      <c r="D14" s="53"/>
      <c r="E14" s="53"/>
      <c r="F14" s="53"/>
      <c r="G14" s="53"/>
      <c r="H14" s="53"/>
    </row>
    <row r="15" spans="1:8" x14ac:dyDescent="0.25">
      <c r="A15" s="33"/>
      <c r="B15" s="33"/>
      <c r="C15" s="33"/>
      <c r="D15" s="53"/>
      <c r="E15" s="53"/>
      <c r="F15" s="53"/>
      <c r="G15" s="53"/>
      <c r="H15" s="53"/>
    </row>
    <row r="16" spans="1:8" x14ac:dyDescent="0.25">
      <c r="A16" s="33"/>
      <c r="B16" s="33"/>
      <c r="C16" s="33"/>
      <c r="D16" s="53"/>
      <c r="E16" s="53"/>
      <c r="F16" s="53"/>
      <c r="G16" s="53"/>
      <c r="H16" s="53"/>
    </row>
    <row r="17" spans="1:8" x14ac:dyDescent="0.25">
      <c r="A17" s="33"/>
      <c r="B17" s="33"/>
      <c r="C17" s="33"/>
      <c r="D17" s="53"/>
      <c r="E17" s="53"/>
      <c r="F17" s="53"/>
      <c r="G17" s="53"/>
      <c r="H17" s="53"/>
    </row>
    <row r="18" spans="1:8" x14ac:dyDescent="0.25">
      <c r="A18" s="33"/>
      <c r="B18" s="33"/>
      <c r="C18" s="33"/>
      <c r="D18" s="53"/>
      <c r="E18" s="53"/>
      <c r="F18" s="53"/>
      <c r="G18" s="53"/>
      <c r="H18" s="53"/>
    </row>
    <row r="19" spans="1:8" x14ac:dyDescent="0.25">
      <c r="A19" s="33"/>
      <c r="B19" s="33"/>
      <c r="C19" s="33"/>
      <c r="D19" s="53"/>
      <c r="E19" s="53"/>
      <c r="F19" s="53"/>
      <c r="G19" s="53"/>
      <c r="H19" s="53"/>
    </row>
    <row r="20" spans="1:8" x14ac:dyDescent="0.25">
      <c r="A20" s="33"/>
      <c r="B20" s="33"/>
      <c r="C20" s="33"/>
      <c r="D20" s="53"/>
      <c r="E20" s="53"/>
      <c r="F20" s="53"/>
      <c r="G20" s="53"/>
      <c r="H20" s="53"/>
    </row>
    <row r="21" spans="1:8" x14ac:dyDescent="0.25">
      <c r="A21" s="33"/>
      <c r="B21" s="33"/>
      <c r="C21" s="33"/>
      <c r="D21" s="53"/>
      <c r="E21" s="53"/>
      <c r="F21" s="53"/>
      <c r="G21" s="53"/>
      <c r="H21" s="53"/>
    </row>
    <row r="22" spans="1:8" x14ac:dyDescent="0.25">
      <c r="A22" s="33"/>
      <c r="B22" s="33"/>
      <c r="C22" s="33"/>
      <c r="D22" s="53"/>
      <c r="E22" s="53"/>
      <c r="F22" s="53"/>
      <c r="G22" s="53"/>
      <c r="H22" s="53"/>
    </row>
    <row r="23" spans="1:8" x14ac:dyDescent="0.25">
      <c r="A23" s="33"/>
      <c r="B23" s="33"/>
      <c r="C23" s="33"/>
      <c r="D23" s="53"/>
      <c r="E23" s="53"/>
      <c r="F23" s="53"/>
      <c r="G23" s="53"/>
      <c r="H23" s="53"/>
    </row>
    <row r="24" spans="1:8" x14ac:dyDescent="0.25">
      <c r="A24" s="33"/>
      <c r="B24" s="33"/>
      <c r="C24" s="33"/>
      <c r="D24" s="53"/>
      <c r="E24" s="53"/>
      <c r="F24" s="53"/>
      <c r="G24" s="53"/>
      <c r="H24" s="53"/>
    </row>
    <row r="25" spans="1:8" x14ac:dyDescent="0.25">
      <c r="A25" s="33"/>
      <c r="B25" s="33"/>
      <c r="C25" s="33"/>
      <c r="D25" s="53"/>
      <c r="E25" s="53"/>
      <c r="F25" s="53"/>
      <c r="G25" s="53"/>
      <c r="H25" s="53"/>
    </row>
    <row r="26" spans="1:8" x14ac:dyDescent="0.25">
      <c r="A26" s="33"/>
      <c r="B26" s="33"/>
      <c r="C26" s="33"/>
      <c r="D26" s="53"/>
      <c r="E26" s="53"/>
      <c r="F26" s="53"/>
      <c r="G26" s="53"/>
      <c r="H26" s="53"/>
    </row>
    <row r="27" spans="1:8" x14ac:dyDescent="0.25">
      <c r="A27" s="33"/>
      <c r="B27" s="33"/>
      <c r="C27" s="33"/>
      <c r="D27" s="53"/>
      <c r="E27" s="53"/>
      <c r="F27" s="53"/>
      <c r="G27" s="53"/>
      <c r="H27" s="53"/>
    </row>
    <row r="28" spans="1:8" x14ac:dyDescent="0.25">
      <c r="A28" s="33"/>
      <c r="B28" s="33"/>
      <c r="C28" s="33"/>
      <c r="D28" s="53"/>
      <c r="E28" s="53"/>
      <c r="F28" s="53"/>
      <c r="G28" s="53"/>
      <c r="H28" s="53"/>
    </row>
  </sheetData>
  <sheetProtection formatColumns="0" formatRows="0"/>
  <hyperlinks>
    <hyperlink ref="A1" location="TOC!A1" display="Table of Contents" xr:uid="{FBBFD191-5A9C-422E-AF91-1D5FAC03743F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68"/>
  <dimension ref="A1:I2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78.42578125" customWidth="1"/>
    <col min="4" max="4" width="10.42578125" customWidth="1"/>
  </cols>
  <sheetData>
    <row r="1" spans="1:9" x14ac:dyDescent="0.25">
      <c r="A1" s="141" t="s">
        <v>316</v>
      </c>
      <c r="B1" s="32" t="s">
        <v>436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142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143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1570</v>
      </c>
      <c r="C7" s="33" t="s">
        <v>1571</v>
      </c>
      <c r="D7" s="33" t="s">
        <v>927</v>
      </c>
      <c r="E7" s="2">
        <v>1.7171000000000001</v>
      </c>
      <c r="F7" s="2">
        <v>-0.64210999999999985</v>
      </c>
      <c r="G7" s="2">
        <v>-2.190970000000001</v>
      </c>
      <c r="H7" s="2">
        <v>-1.6980900000000001</v>
      </c>
      <c r="I7" s="2">
        <v>3.8890600000000002</v>
      </c>
    </row>
    <row r="8" spans="1:9" x14ac:dyDescent="0.25">
      <c r="A8" s="33" t="s">
        <v>782</v>
      </c>
      <c r="B8" s="33" t="s">
        <v>1572</v>
      </c>
      <c r="C8" s="33" t="s">
        <v>1573</v>
      </c>
      <c r="D8" s="33" t="s">
        <v>927</v>
      </c>
      <c r="E8" s="2">
        <v>1.9064000000000001</v>
      </c>
      <c r="F8" s="2">
        <v>-0.40921000000000002</v>
      </c>
      <c r="G8" s="2">
        <v>-2.7808000000000002</v>
      </c>
      <c r="H8" s="2">
        <v>-1.5009600000000001</v>
      </c>
      <c r="I8" s="2">
        <v>4.2817600000000011</v>
      </c>
    </row>
    <row r="9" spans="1:9" x14ac:dyDescent="0.25">
      <c r="A9" s="33" t="s">
        <v>782</v>
      </c>
      <c r="B9" s="33" t="s">
        <v>1574</v>
      </c>
      <c r="C9" s="33" t="s">
        <v>1575</v>
      </c>
      <c r="D9" s="33" t="s">
        <v>927</v>
      </c>
      <c r="E9" s="2">
        <v>1.7118500000000001</v>
      </c>
      <c r="F9" s="2">
        <v>1.1027199999999999</v>
      </c>
      <c r="G9" s="2">
        <v>-3.50773</v>
      </c>
      <c r="H9" s="2">
        <v>-0.52805000000000002</v>
      </c>
      <c r="I9" s="2">
        <v>4.035779999999999</v>
      </c>
    </row>
    <row r="10" spans="1:9" x14ac:dyDescent="0.25">
      <c r="A10" s="33" t="s">
        <v>782</v>
      </c>
      <c r="B10" s="33" t="s">
        <v>1576</v>
      </c>
      <c r="C10" s="33" t="s">
        <v>1577</v>
      </c>
      <c r="D10" s="33" t="s">
        <v>927</v>
      </c>
      <c r="E10" s="2">
        <v>2.2828300000000001</v>
      </c>
      <c r="F10" s="2">
        <v>0.84684000000000015</v>
      </c>
      <c r="G10" s="2">
        <v>-4.1697499999999996</v>
      </c>
      <c r="H10" s="2">
        <v>-1.14571</v>
      </c>
      <c r="I10" s="2">
        <v>5.3154599999999999</v>
      </c>
    </row>
    <row r="11" spans="1:9" x14ac:dyDescent="0.25">
      <c r="A11" s="40" t="s">
        <v>782</v>
      </c>
      <c r="B11" s="40" t="s">
        <v>1578</v>
      </c>
      <c r="C11" s="40" t="s">
        <v>1579</v>
      </c>
      <c r="D11" s="40" t="s">
        <v>927</v>
      </c>
      <c r="E11" s="4">
        <v>1.2142299999999999</v>
      </c>
      <c r="F11" s="4">
        <v>-7.2759999999999977E-2</v>
      </c>
      <c r="G11" s="4">
        <v>-2.1747000000000001</v>
      </c>
      <c r="H11" s="4">
        <v>-0.81359999999999988</v>
      </c>
      <c r="I11" s="4">
        <v>2.9883000000000002</v>
      </c>
    </row>
    <row r="12" spans="1:9" x14ac:dyDescent="0.25">
      <c r="A12" s="33"/>
      <c r="B12" s="33"/>
      <c r="C12" s="33"/>
      <c r="D12" s="33"/>
      <c r="E12" s="53"/>
      <c r="F12" s="53"/>
      <c r="G12" s="53"/>
      <c r="H12" s="53"/>
      <c r="I12" s="53"/>
    </row>
    <row r="13" spans="1:9" x14ac:dyDescent="0.25">
      <c r="A13" s="33"/>
      <c r="B13" s="33"/>
      <c r="C13" s="33"/>
      <c r="D13" s="33"/>
      <c r="E13" s="53"/>
      <c r="F13" s="53"/>
      <c r="G13" s="53"/>
      <c r="H13" s="53"/>
      <c r="I13" s="53"/>
    </row>
    <row r="14" spans="1:9" x14ac:dyDescent="0.25">
      <c r="A14" s="33"/>
      <c r="B14" s="33"/>
      <c r="C14" s="33"/>
      <c r="D14" s="33"/>
      <c r="E14" s="53"/>
      <c r="F14" s="53"/>
      <c r="G14" s="53"/>
      <c r="H14" s="53"/>
      <c r="I14" s="53"/>
    </row>
    <row r="15" spans="1:9" x14ac:dyDescent="0.25">
      <c r="A15" s="33"/>
      <c r="B15" s="33"/>
      <c r="C15" s="33"/>
      <c r="D15" s="33"/>
      <c r="E15" s="53"/>
      <c r="F15" s="53"/>
      <c r="G15" s="53"/>
      <c r="H15" s="53"/>
      <c r="I15" s="53"/>
    </row>
    <row r="16" spans="1:9" x14ac:dyDescent="0.25">
      <c r="A16" s="33"/>
      <c r="B16" s="33"/>
      <c r="C16" s="33"/>
      <c r="D16" s="33"/>
      <c r="E16" s="53"/>
      <c r="F16" s="53"/>
      <c r="G16" s="53"/>
      <c r="H16" s="53"/>
      <c r="I16" s="53"/>
    </row>
    <row r="17" spans="1:9" x14ac:dyDescent="0.25">
      <c r="A17" s="33"/>
      <c r="B17" s="33"/>
      <c r="C17" s="33"/>
      <c r="D17" s="33"/>
      <c r="E17" s="53"/>
      <c r="F17" s="53"/>
      <c r="G17" s="53"/>
      <c r="H17" s="53"/>
      <c r="I17" s="53"/>
    </row>
    <row r="18" spans="1:9" x14ac:dyDescent="0.25">
      <c r="A18" s="33"/>
      <c r="B18" s="33"/>
      <c r="C18" s="33"/>
      <c r="D18" s="33"/>
      <c r="E18" s="53"/>
      <c r="F18" s="53"/>
      <c r="G18" s="53"/>
      <c r="H18" s="53"/>
      <c r="I18" s="53"/>
    </row>
    <row r="19" spans="1:9" x14ac:dyDescent="0.25">
      <c r="A19" s="33"/>
      <c r="B19" s="33"/>
      <c r="C19" s="33"/>
      <c r="D19" s="33"/>
      <c r="E19" s="53"/>
      <c r="F19" s="53"/>
      <c r="G19" s="53"/>
      <c r="H19" s="53"/>
      <c r="I19" s="53"/>
    </row>
    <row r="20" spans="1:9" x14ac:dyDescent="0.25">
      <c r="A20" s="33"/>
      <c r="B20" s="33"/>
      <c r="C20" s="33"/>
      <c r="D20" s="33"/>
      <c r="E20" s="53"/>
      <c r="F20" s="53"/>
      <c r="G20" s="53"/>
      <c r="H20" s="53"/>
      <c r="I20" s="53"/>
    </row>
    <row r="21" spans="1:9" x14ac:dyDescent="0.25">
      <c r="A21" s="33"/>
      <c r="B21" s="33"/>
      <c r="C21" s="33"/>
      <c r="D21" s="33"/>
      <c r="E21" s="53"/>
      <c r="F21" s="53"/>
      <c r="G21" s="53"/>
      <c r="H21" s="53"/>
      <c r="I21" s="53"/>
    </row>
    <row r="22" spans="1:9" x14ac:dyDescent="0.25">
      <c r="A22" s="33"/>
      <c r="B22" s="33"/>
      <c r="C22" s="33"/>
      <c r="D22" s="33"/>
      <c r="E22" s="53"/>
      <c r="F22" s="53"/>
      <c r="G22" s="53"/>
      <c r="H22" s="53"/>
      <c r="I22" s="53"/>
    </row>
    <row r="23" spans="1:9" x14ac:dyDescent="0.25">
      <c r="A23" s="33"/>
      <c r="B23" s="33"/>
      <c r="C23" s="33"/>
      <c r="D23" s="33"/>
      <c r="E23" s="53"/>
      <c r="F23" s="53"/>
      <c r="G23" s="53"/>
      <c r="H23" s="53"/>
      <c r="I23" s="53"/>
    </row>
    <row r="24" spans="1:9" x14ac:dyDescent="0.25">
      <c r="A24" s="33"/>
      <c r="B24" s="33"/>
      <c r="C24" s="33"/>
      <c r="D24" s="33"/>
      <c r="E24" s="53"/>
      <c r="F24" s="53"/>
      <c r="G24" s="53"/>
      <c r="H24" s="53"/>
      <c r="I24" s="53"/>
    </row>
    <row r="25" spans="1:9" x14ac:dyDescent="0.25">
      <c r="A25" s="33"/>
      <c r="B25" s="33"/>
      <c r="C25" s="33"/>
      <c r="D25" s="33"/>
      <c r="E25" s="53"/>
      <c r="F25" s="53"/>
      <c r="G25" s="53"/>
      <c r="H25" s="53"/>
      <c r="I25" s="53"/>
    </row>
    <row r="26" spans="1:9" x14ac:dyDescent="0.25">
      <c r="A26" s="33"/>
      <c r="B26" s="33"/>
      <c r="C26" s="33"/>
      <c r="D26" s="33"/>
      <c r="E26" s="53"/>
      <c r="F26" s="53"/>
      <c r="G26" s="53"/>
      <c r="H26" s="53"/>
      <c r="I26" s="53"/>
    </row>
  </sheetData>
  <sheetProtection formatColumns="0" formatRows="0"/>
  <hyperlinks>
    <hyperlink ref="A1" location="TOC!A1" display="Table of Contents" xr:uid="{C5EC4591-DE5F-4071-93AF-1C4353821A89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69"/>
  <dimension ref="A1:I2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13.140625" bestFit="1" customWidth="1"/>
    <col min="3" max="3" width="78.42578125" customWidth="1"/>
    <col min="4" max="5" width="10.42578125" customWidth="1"/>
  </cols>
  <sheetData>
    <row r="1" spans="1:9" x14ac:dyDescent="0.25">
      <c r="A1" s="141" t="s">
        <v>316</v>
      </c>
      <c r="B1" s="32" t="s">
        <v>344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144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145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  <c r="H6" s="65" t="s">
        <v>777</v>
      </c>
      <c r="I6" s="65" t="s">
        <v>778</v>
      </c>
    </row>
    <row r="7" spans="1:9" x14ac:dyDescent="0.25">
      <c r="A7" s="33" t="s">
        <v>782</v>
      </c>
      <c r="B7" s="33" t="s">
        <v>1580</v>
      </c>
      <c r="C7" s="33" t="s">
        <v>1581</v>
      </c>
      <c r="D7" s="33" t="s">
        <v>927</v>
      </c>
      <c r="E7" s="33" t="s">
        <v>926</v>
      </c>
      <c r="F7" s="2">
        <v>1.4588000000000001</v>
      </c>
      <c r="G7" s="2">
        <v>-1.5270000000000001E-2</v>
      </c>
      <c r="H7" s="2">
        <v>-0.11371000000000001</v>
      </c>
      <c r="I7" s="2">
        <v>0.11371000000000001</v>
      </c>
    </row>
    <row r="8" spans="1:9" x14ac:dyDescent="0.25">
      <c r="A8" s="33" t="s">
        <v>782</v>
      </c>
      <c r="B8" s="33" t="s">
        <v>1582</v>
      </c>
      <c r="C8" s="33" t="s">
        <v>1583</v>
      </c>
      <c r="D8" s="33" t="s">
        <v>927</v>
      </c>
      <c r="E8" s="33" t="s">
        <v>926</v>
      </c>
      <c r="F8" s="2">
        <v>2.0524300000000002</v>
      </c>
      <c r="G8" s="2">
        <v>1.5350000000000001E-2</v>
      </c>
      <c r="H8" s="2">
        <v>-0.89792000000000005</v>
      </c>
      <c r="I8" s="2">
        <v>0.89792000000000005</v>
      </c>
    </row>
    <row r="9" spans="1:9" x14ac:dyDescent="0.25">
      <c r="A9" s="33" t="s">
        <v>782</v>
      </c>
      <c r="B9" s="33" t="s">
        <v>1584</v>
      </c>
      <c r="C9" s="33" t="s">
        <v>1585</v>
      </c>
      <c r="D9" s="33" t="s">
        <v>927</v>
      </c>
      <c r="E9" s="33" t="s">
        <v>926</v>
      </c>
      <c r="F9" s="2">
        <v>1.7755099999999999</v>
      </c>
      <c r="G9" s="2">
        <v>8.771000000000001E-2</v>
      </c>
      <c r="H9" s="2">
        <v>-0.56647999999999998</v>
      </c>
      <c r="I9" s="2">
        <v>0.56647999999999998</v>
      </c>
    </row>
    <row r="10" spans="1:9" x14ac:dyDescent="0.25">
      <c r="A10" s="33" t="s">
        <v>782</v>
      </c>
      <c r="B10" s="33" t="s">
        <v>1586</v>
      </c>
      <c r="C10" s="33" t="s">
        <v>1587</v>
      </c>
      <c r="D10" s="33" t="s">
        <v>927</v>
      </c>
      <c r="E10" s="33" t="s">
        <v>926</v>
      </c>
      <c r="F10" s="2">
        <v>2.05064</v>
      </c>
      <c r="G10" s="2">
        <v>-1.507E-2</v>
      </c>
      <c r="H10" s="2">
        <v>-0.87248999999999999</v>
      </c>
      <c r="I10" s="2">
        <v>0.87248999999999999</v>
      </c>
    </row>
    <row r="11" spans="1:9" x14ac:dyDescent="0.25">
      <c r="A11" s="40" t="s">
        <v>782</v>
      </c>
      <c r="B11" s="40" t="s">
        <v>1588</v>
      </c>
      <c r="C11" s="40" t="s">
        <v>1589</v>
      </c>
      <c r="D11" s="40" t="s">
        <v>927</v>
      </c>
      <c r="E11" s="40" t="s">
        <v>926</v>
      </c>
      <c r="F11" s="4">
        <v>1.51711</v>
      </c>
      <c r="G11" s="4">
        <v>-3.406E-2</v>
      </c>
      <c r="H11" s="4">
        <v>-0.63087999999999989</v>
      </c>
      <c r="I11" s="4">
        <v>0.63087999999999989</v>
      </c>
    </row>
    <row r="12" spans="1:9" x14ac:dyDescent="0.25">
      <c r="A12" s="33"/>
      <c r="B12" s="33"/>
      <c r="C12" s="33"/>
      <c r="D12" s="33"/>
      <c r="E12" s="33"/>
      <c r="F12" s="53"/>
      <c r="G12" s="53"/>
      <c r="H12" s="53"/>
      <c r="I12" s="53"/>
    </row>
    <row r="13" spans="1:9" x14ac:dyDescent="0.25">
      <c r="A13" s="33"/>
      <c r="B13" s="33"/>
      <c r="C13" s="33"/>
      <c r="D13" s="33"/>
      <c r="E13" s="33"/>
      <c r="F13" s="53"/>
      <c r="G13" s="53"/>
      <c r="H13" s="53"/>
      <c r="I13" s="53"/>
    </row>
    <row r="14" spans="1:9" x14ac:dyDescent="0.25">
      <c r="A14" s="33"/>
      <c r="B14" s="33"/>
      <c r="C14" s="33"/>
      <c r="D14" s="33"/>
      <c r="E14" s="33"/>
      <c r="F14" s="53"/>
      <c r="G14" s="53"/>
      <c r="H14" s="53"/>
      <c r="I14" s="53"/>
    </row>
    <row r="15" spans="1:9" x14ac:dyDescent="0.25">
      <c r="A15" s="33"/>
      <c r="B15" s="33"/>
      <c r="C15" s="33"/>
      <c r="D15" s="33"/>
      <c r="E15" s="33"/>
      <c r="F15" s="53"/>
      <c r="G15" s="53"/>
      <c r="H15" s="53"/>
      <c r="I15" s="53"/>
    </row>
    <row r="16" spans="1:9" x14ac:dyDescent="0.25">
      <c r="A16" s="33"/>
      <c r="B16" s="33"/>
      <c r="C16" s="33"/>
      <c r="D16" s="33"/>
      <c r="E16" s="33"/>
      <c r="F16" s="53"/>
      <c r="G16" s="53"/>
      <c r="H16" s="53"/>
      <c r="I16" s="53"/>
    </row>
    <row r="17" spans="1:9" x14ac:dyDescent="0.25">
      <c r="A17" s="33"/>
      <c r="B17" s="33"/>
      <c r="C17" s="33"/>
      <c r="D17" s="33"/>
      <c r="E17" s="33"/>
      <c r="F17" s="53"/>
      <c r="G17" s="53"/>
      <c r="H17" s="53"/>
      <c r="I17" s="53"/>
    </row>
    <row r="18" spans="1:9" x14ac:dyDescent="0.25">
      <c r="A18" s="33"/>
      <c r="B18" s="33"/>
      <c r="C18" s="33"/>
      <c r="D18" s="33"/>
      <c r="E18" s="33"/>
      <c r="F18" s="53"/>
      <c r="G18" s="53"/>
      <c r="H18" s="53"/>
      <c r="I18" s="53"/>
    </row>
    <row r="19" spans="1:9" x14ac:dyDescent="0.25">
      <c r="A19" s="33"/>
      <c r="B19" s="33"/>
      <c r="C19" s="33"/>
      <c r="D19" s="33"/>
      <c r="E19" s="33"/>
      <c r="F19" s="53"/>
      <c r="G19" s="53"/>
      <c r="H19" s="53"/>
      <c r="I19" s="53"/>
    </row>
    <row r="20" spans="1:9" x14ac:dyDescent="0.25">
      <c r="A20" s="33"/>
      <c r="B20" s="33"/>
      <c r="C20" s="33"/>
      <c r="D20" s="33"/>
      <c r="E20" s="33"/>
      <c r="F20" s="53"/>
      <c r="G20" s="53"/>
      <c r="H20" s="53"/>
      <c r="I20" s="53"/>
    </row>
    <row r="21" spans="1:9" x14ac:dyDescent="0.25">
      <c r="A21" s="33"/>
      <c r="B21" s="33"/>
      <c r="C21" s="33"/>
      <c r="D21" s="33"/>
      <c r="E21" s="33"/>
      <c r="F21" s="53"/>
      <c r="G21" s="53"/>
      <c r="H21" s="53"/>
      <c r="I21" s="53"/>
    </row>
    <row r="22" spans="1:9" x14ac:dyDescent="0.25">
      <c r="A22" s="33"/>
      <c r="B22" s="33"/>
      <c r="C22" s="33"/>
      <c r="D22" s="33"/>
      <c r="E22" s="33"/>
      <c r="F22" s="53"/>
      <c r="G22" s="53"/>
      <c r="H22" s="53"/>
      <c r="I22" s="53"/>
    </row>
    <row r="23" spans="1:9" x14ac:dyDescent="0.25">
      <c r="A23" s="33"/>
      <c r="B23" s="33"/>
      <c r="C23" s="33"/>
      <c r="D23" s="33"/>
      <c r="E23" s="33"/>
      <c r="F23" s="53"/>
      <c r="G23" s="53"/>
      <c r="H23" s="53"/>
      <c r="I23" s="53"/>
    </row>
    <row r="24" spans="1:9" x14ac:dyDescent="0.25">
      <c r="A24" s="33"/>
      <c r="B24" s="33"/>
      <c r="C24" s="33"/>
      <c r="D24" s="33"/>
      <c r="E24" s="33"/>
      <c r="F24" s="53"/>
      <c r="G24" s="53"/>
      <c r="H24" s="53"/>
      <c r="I24" s="53"/>
    </row>
    <row r="25" spans="1:9" x14ac:dyDescent="0.25">
      <c r="A25" s="33"/>
      <c r="B25" s="33"/>
      <c r="C25" s="33"/>
      <c r="D25" s="33"/>
      <c r="E25" s="33"/>
      <c r="F25" s="53"/>
      <c r="G25" s="53"/>
      <c r="H25" s="53"/>
      <c r="I25" s="53"/>
    </row>
    <row r="26" spans="1:9" x14ac:dyDescent="0.25">
      <c r="A26" s="33"/>
      <c r="B26" s="33"/>
      <c r="C26" s="33"/>
      <c r="D26" s="33"/>
      <c r="E26" s="33"/>
      <c r="F26" s="53"/>
      <c r="G26" s="53"/>
      <c r="H26" s="53"/>
      <c r="I26" s="53"/>
    </row>
  </sheetData>
  <sheetProtection formatColumns="0" formatRows="0"/>
  <hyperlinks>
    <hyperlink ref="A1" location="TOC!A1" display="Table of Contents" xr:uid="{5980F6E8-6AA1-47D4-B5B9-0435CFBD0DF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0"/>
  <dimension ref="A1:I3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7109375" customWidth="1"/>
    <col min="2" max="2" width="13.140625" bestFit="1" customWidth="1"/>
    <col min="3" max="3" width="102.140625" customWidth="1"/>
    <col min="4" max="4" width="8.7109375" bestFit="1" customWidth="1"/>
  </cols>
  <sheetData>
    <row r="1" spans="1:9" x14ac:dyDescent="0.25">
      <c r="A1" s="141" t="s">
        <v>316</v>
      </c>
      <c r="B1" s="32" t="s">
        <v>387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146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147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1590</v>
      </c>
      <c r="C7" s="33" t="s">
        <v>1591</v>
      </c>
      <c r="D7" s="2">
        <v>0.57777999999999985</v>
      </c>
      <c r="E7" s="2">
        <v>0.10505</v>
      </c>
      <c r="F7" s="2">
        <v>-1.26593</v>
      </c>
      <c r="G7" s="2">
        <v>-1.7793600000000001</v>
      </c>
      <c r="H7" s="2">
        <v>-1.459100000000001</v>
      </c>
      <c r="I7" s="2">
        <v>4.5043899999999999</v>
      </c>
    </row>
    <row r="8" spans="1:9" x14ac:dyDescent="0.25">
      <c r="A8" s="33" t="s">
        <v>782</v>
      </c>
      <c r="B8" s="33" t="s">
        <v>1592</v>
      </c>
      <c r="C8" s="33" t="s">
        <v>1593</v>
      </c>
      <c r="D8" s="2">
        <v>0.67837000000000003</v>
      </c>
      <c r="E8" s="2">
        <v>5.9740000000000001E-2</v>
      </c>
      <c r="F8" s="2">
        <v>-1.58667</v>
      </c>
      <c r="G8" s="2">
        <v>-1.76535</v>
      </c>
      <c r="H8" s="2">
        <v>-0.84948999999999997</v>
      </c>
      <c r="I8" s="2">
        <v>4.201509999999999</v>
      </c>
    </row>
    <row r="9" spans="1:9" x14ac:dyDescent="0.25">
      <c r="A9" s="33" t="s">
        <v>782</v>
      </c>
      <c r="B9" s="33" t="s">
        <v>1594</v>
      </c>
      <c r="C9" s="33" t="s">
        <v>1595</v>
      </c>
      <c r="D9" s="2">
        <v>1.02451</v>
      </c>
      <c r="E9" s="2">
        <v>0.27772999999999998</v>
      </c>
      <c r="F9" s="2">
        <v>-1.7538899999999999</v>
      </c>
      <c r="G9" s="2">
        <v>-1.3930499999999999</v>
      </c>
      <c r="H9" s="2">
        <v>-0.83367999999999998</v>
      </c>
      <c r="I9" s="2">
        <v>3.98062</v>
      </c>
    </row>
    <row r="10" spans="1:9" x14ac:dyDescent="0.25">
      <c r="A10" s="33" t="s">
        <v>782</v>
      </c>
      <c r="B10" s="33" t="s">
        <v>1596</v>
      </c>
      <c r="C10" s="33" t="s">
        <v>1597</v>
      </c>
      <c r="D10" s="2">
        <v>1.56447</v>
      </c>
      <c r="E10" s="2">
        <v>0.78452999999999995</v>
      </c>
      <c r="F10" s="2">
        <v>-2.38306</v>
      </c>
      <c r="G10" s="2">
        <v>-1.64645</v>
      </c>
      <c r="H10" s="2">
        <v>-0.11024</v>
      </c>
      <c r="I10" s="2">
        <v>4.1397500000000003</v>
      </c>
    </row>
    <row r="11" spans="1:9" x14ac:dyDescent="0.25">
      <c r="A11" s="33" t="s">
        <v>782</v>
      </c>
      <c r="B11" s="33" t="s">
        <v>1598</v>
      </c>
      <c r="C11" s="33" t="s">
        <v>1599</v>
      </c>
      <c r="D11" s="2">
        <v>1.6167899999999999</v>
      </c>
      <c r="E11" s="2">
        <v>1.0793299999999999</v>
      </c>
      <c r="F11" s="2">
        <v>-2.0472999999999999</v>
      </c>
      <c r="G11" s="2">
        <v>-1.2388399999999999</v>
      </c>
      <c r="H11" s="2">
        <v>0.45609000000000011</v>
      </c>
      <c r="I11" s="2">
        <v>2.83005</v>
      </c>
    </row>
    <row r="12" spans="1:9" x14ac:dyDescent="0.25">
      <c r="A12" s="33" t="s">
        <v>782</v>
      </c>
      <c r="B12" s="33" t="s">
        <v>1600</v>
      </c>
      <c r="C12" s="33" t="s">
        <v>1601</v>
      </c>
      <c r="D12" s="2">
        <v>1.30992</v>
      </c>
      <c r="E12" s="2">
        <v>1.1347</v>
      </c>
      <c r="F12" s="2">
        <v>-1.2755799999999999</v>
      </c>
      <c r="G12" s="2">
        <v>-0.74124000000000001</v>
      </c>
      <c r="H12" s="2">
        <v>0.65102000000000004</v>
      </c>
      <c r="I12" s="2">
        <v>1.3657999999999999</v>
      </c>
    </row>
    <row r="13" spans="1:9" x14ac:dyDescent="0.25">
      <c r="A13" s="33" t="s">
        <v>782</v>
      </c>
      <c r="B13" s="33" t="s">
        <v>1602</v>
      </c>
      <c r="C13" s="33" t="s">
        <v>1603</v>
      </c>
      <c r="D13" s="2">
        <v>1.0790500000000001</v>
      </c>
      <c r="E13" s="2">
        <v>1.28104</v>
      </c>
      <c r="F13" s="2">
        <v>-0.43240000000000001</v>
      </c>
      <c r="G13" s="2">
        <v>-0.45835999999999999</v>
      </c>
      <c r="H13" s="2">
        <v>0.44753999999999999</v>
      </c>
      <c r="I13" s="2">
        <v>0.44322000000000011</v>
      </c>
    </row>
    <row r="14" spans="1:9" x14ac:dyDescent="0.25">
      <c r="A14" s="33" t="s">
        <v>782</v>
      </c>
      <c r="B14" s="33" t="s">
        <v>1604</v>
      </c>
      <c r="C14" s="33" t="s">
        <v>1605</v>
      </c>
      <c r="D14" s="2">
        <v>1.45</v>
      </c>
      <c r="E14" s="2">
        <v>0.9899</v>
      </c>
      <c r="F14" s="2">
        <v>-1.5089999999999999</v>
      </c>
      <c r="G14" s="2">
        <v>-1.2660199999999999</v>
      </c>
      <c r="H14" s="2">
        <v>-0.27239999999999998</v>
      </c>
      <c r="I14" s="2">
        <v>3.0474199999999998</v>
      </c>
    </row>
    <row r="15" spans="1:9" x14ac:dyDescent="0.25">
      <c r="A15" s="33" t="s">
        <v>782</v>
      </c>
      <c r="B15" s="33" t="s">
        <v>1606</v>
      </c>
      <c r="C15" s="33" t="s">
        <v>1607</v>
      </c>
      <c r="D15" s="2">
        <v>1.4794799999999999</v>
      </c>
      <c r="E15" s="2">
        <v>1.53271</v>
      </c>
      <c r="F15" s="2">
        <v>-1.1296999999999999</v>
      </c>
      <c r="G15" s="2">
        <v>-0.90846000000000005</v>
      </c>
      <c r="H15" s="2">
        <v>0.46862999999999999</v>
      </c>
      <c r="I15" s="2">
        <v>1.5695300000000001</v>
      </c>
    </row>
    <row r="16" spans="1:9" x14ac:dyDescent="0.25">
      <c r="A16" s="33" t="s">
        <v>782</v>
      </c>
      <c r="B16" s="33" t="s">
        <v>1608</v>
      </c>
      <c r="C16" s="33" t="s">
        <v>1609</v>
      </c>
      <c r="D16" s="2">
        <v>1.6011</v>
      </c>
      <c r="E16" s="2">
        <v>1.08639</v>
      </c>
      <c r="F16" s="2">
        <v>-1.70208</v>
      </c>
      <c r="G16" s="2">
        <v>-1.27928</v>
      </c>
      <c r="H16" s="2">
        <v>-0.15783000000000011</v>
      </c>
      <c r="I16" s="2">
        <v>3.1391899999999988</v>
      </c>
    </row>
    <row r="17" spans="1:9" x14ac:dyDescent="0.25">
      <c r="A17" s="33" t="s">
        <v>782</v>
      </c>
      <c r="B17" s="33" t="s">
        <v>1610</v>
      </c>
      <c r="C17" s="33" t="s">
        <v>1611</v>
      </c>
      <c r="D17" s="2">
        <v>1.35026</v>
      </c>
      <c r="E17" s="2">
        <v>1.26735</v>
      </c>
      <c r="F17" s="2">
        <v>-1.4102699999999999</v>
      </c>
      <c r="G17" s="2">
        <v>-1.21452</v>
      </c>
      <c r="H17" s="2">
        <v>0.12831999999999999</v>
      </c>
      <c r="I17" s="2">
        <v>2.49647</v>
      </c>
    </row>
    <row r="18" spans="1:9" x14ac:dyDescent="0.25">
      <c r="A18" s="33" t="s">
        <v>782</v>
      </c>
      <c r="B18" s="33" t="s">
        <v>1612</v>
      </c>
      <c r="C18" s="33" t="s">
        <v>1613</v>
      </c>
      <c r="D18" s="2">
        <v>1.1887099999999999</v>
      </c>
      <c r="E18" s="2">
        <v>0.98541000000000001</v>
      </c>
      <c r="F18" s="2">
        <v>-1.2607900000000001</v>
      </c>
      <c r="G18" s="2">
        <v>-1.0912900000000001</v>
      </c>
      <c r="H18" s="2">
        <v>0.19403999999999999</v>
      </c>
      <c r="I18" s="2">
        <v>2.1580400000000002</v>
      </c>
    </row>
    <row r="19" spans="1:9" x14ac:dyDescent="0.25">
      <c r="A19" s="40" t="s">
        <v>782</v>
      </c>
      <c r="B19" s="40" t="s">
        <v>1614</v>
      </c>
      <c r="C19" s="40" t="s">
        <v>1615</v>
      </c>
      <c r="D19" s="4">
        <v>1.0115000000000001</v>
      </c>
      <c r="E19" s="4">
        <v>0.70853000000000022</v>
      </c>
      <c r="F19" s="4">
        <v>-0.84119000000000022</v>
      </c>
      <c r="G19" s="4">
        <v>-1.17215</v>
      </c>
      <c r="H19" s="4">
        <v>-0.14756</v>
      </c>
      <c r="I19" s="4">
        <v>2.1608999999999998</v>
      </c>
    </row>
    <row r="20" spans="1:9" x14ac:dyDescent="0.25">
      <c r="A20" s="33"/>
      <c r="B20" s="33"/>
      <c r="C20" s="33"/>
      <c r="D20" s="53"/>
      <c r="E20" s="53"/>
      <c r="F20" s="53"/>
      <c r="G20" s="53"/>
      <c r="H20" s="53"/>
      <c r="I20" s="53"/>
    </row>
    <row r="21" spans="1:9" x14ac:dyDescent="0.25">
      <c r="A21" s="33"/>
      <c r="B21" s="33"/>
      <c r="C21" s="33"/>
      <c r="D21" s="53"/>
      <c r="E21" s="53"/>
      <c r="F21" s="53"/>
      <c r="G21" s="53"/>
      <c r="H21" s="53"/>
      <c r="I21" s="53"/>
    </row>
    <row r="22" spans="1:9" x14ac:dyDescent="0.25">
      <c r="A22" s="33"/>
      <c r="B22" s="33"/>
      <c r="C22" s="33"/>
      <c r="D22" s="53"/>
      <c r="E22" s="53"/>
      <c r="F22" s="53"/>
      <c r="G22" s="53"/>
      <c r="H22" s="53"/>
      <c r="I22" s="53"/>
    </row>
    <row r="23" spans="1:9" x14ac:dyDescent="0.25">
      <c r="A23" s="33"/>
      <c r="B23" s="33"/>
      <c r="C23" s="33"/>
      <c r="D23" s="53"/>
      <c r="E23" s="53"/>
      <c r="F23" s="53"/>
      <c r="G23" s="53"/>
      <c r="H23" s="53"/>
      <c r="I23" s="53"/>
    </row>
    <row r="24" spans="1:9" x14ac:dyDescent="0.25">
      <c r="A24" s="33"/>
      <c r="B24" s="33"/>
      <c r="C24" s="33"/>
      <c r="D24" s="53"/>
      <c r="E24" s="53"/>
      <c r="F24" s="53"/>
      <c r="G24" s="53"/>
      <c r="H24" s="53"/>
      <c r="I24" s="53"/>
    </row>
    <row r="25" spans="1:9" x14ac:dyDescent="0.25">
      <c r="A25" s="33"/>
      <c r="B25" s="33"/>
      <c r="C25" s="33"/>
      <c r="D25" s="53"/>
      <c r="E25" s="53"/>
      <c r="F25" s="53"/>
      <c r="G25" s="53"/>
      <c r="H25" s="53"/>
      <c r="I25" s="53"/>
    </row>
    <row r="26" spans="1:9" x14ac:dyDescent="0.25">
      <c r="A26" s="33"/>
      <c r="B26" s="33"/>
      <c r="C26" s="33"/>
      <c r="D26" s="53"/>
      <c r="E26" s="53"/>
      <c r="F26" s="53"/>
      <c r="G26" s="53"/>
      <c r="H26" s="53"/>
      <c r="I26" s="53"/>
    </row>
    <row r="27" spans="1:9" x14ac:dyDescent="0.25">
      <c r="A27" s="33"/>
      <c r="B27" s="33"/>
      <c r="C27" s="33"/>
      <c r="D27" s="53"/>
      <c r="E27" s="53"/>
      <c r="F27" s="53"/>
      <c r="G27" s="53"/>
      <c r="H27" s="53"/>
      <c r="I27" s="53"/>
    </row>
    <row r="28" spans="1:9" x14ac:dyDescent="0.25">
      <c r="A28" s="33"/>
      <c r="B28" s="33"/>
      <c r="C28" s="33"/>
      <c r="D28" s="53"/>
      <c r="E28" s="53"/>
      <c r="F28" s="53"/>
      <c r="G28" s="53"/>
      <c r="H28" s="53"/>
      <c r="I28" s="53"/>
    </row>
    <row r="29" spans="1:9" x14ac:dyDescent="0.25">
      <c r="A29" s="33"/>
      <c r="B29" s="33"/>
      <c r="C29" s="33"/>
      <c r="D29" s="53"/>
      <c r="E29" s="53"/>
      <c r="F29" s="53"/>
      <c r="G29" s="53"/>
      <c r="H29" s="53"/>
      <c r="I29" s="53"/>
    </row>
    <row r="30" spans="1:9" x14ac:dyDescent="0.25">
      <c r="A30" s="33"/>
      <c r="B30" s="33"/>
      <c r="C30" s="33"/>
      <c r="D30" s="53"/>
      <c r="E30" s="53"/>
      <c r="F30" s="53"/>
      <c r="G30" s="53"/>
      <c r="H30" s="53"/>
      <c r="I30" s="53"/>
    </row>
    <row r="31" spans="1:9" x14ac:dyDescent="0.25">
      <c r="A31" s="33"/>
      <c r="B31" s="33"/>
      <c r="C31" s="33"/>
      <c r="D31" s="53"/>
      <c r="E31" s="53"/>
      <c r="F31" s="53"/>
      <c r="G31" s="53"/>
      <c r="H31" s="53"/>
      <c r="I31" s="53"/>
    </row>
    <row r="32" spans="1:9" x14ac:dyDescent="0.25">
      <c r="A32" s="33"/>
      <c r="B32" s="33"/>
      <c r="C32" s="33"/>
      <c r="D32" s="53"/>
      <c r="E32" s="53"/>
      <c r="F32" s="53"/>
      <c r="G32" s="53"/>
      <c r="H32" s="53"/>
      <c r="I32" s="53"/>
    </row>
    <row r="33" spans="1:9" x14ac:dyDescent="0.25">
      <c r="A33" s="33"/>
      <c r="B33" s="33"/>
      <c r="C33" s="33"/>
      <c r="D33" s="53"/>
      <c r="E33" s="53"/>
      <c r="F33" s="53"/>
      <c r="G33" s="53"/>
      <c r="H33" s="53"/>
      <c r="I33" s="53"/>
    </row>
    <row r="34" spans="1:9" x14ac:dyDescent="0.25">
      <c r="A34" s="33"/>
      <c r="B34" s="33"/>
      <c r="C34" s="33"/>
      <c r="D34" s="53"/>
      <c r="E34" s="53"/>
      <c r="F34" s="53"/>
      <c r="G34" s="53"/>
      <c r="H34" s="53"/>
      <c r="I34" s="53"/>
    </row>
  </sheetData>
  <sheetProtection formatColumns="0" formatRows="0"/>
  <hyperlinks>
    <hyperlink ref="A1" location="TOC!A1" display="Table of Contents" xr:uid="{837B2B5B-C680-4AEE-9FD4-B162BEEFE656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1"/>
  <dimension ref="A1:H2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90.28515625" customWidth="1"/>
  </cols>
  <sheetData>
    <row r="1" spans="1:8" x14ac:dyDescent="0.25">
      <c r="A1" s="141" t="s">
        <v>316</v>
      </c>
      <c r="B1" s="32" t="s">
        <v>388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148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149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1616</v>
      </c>
      <c r="C7" s="33" t="s">
        <v>1617</v>
      </c>
      <c r="D7" s="2">
        <v>1.9756400000000001</v>
      </c>
      <c r="E7" s="2">
        <v>-2.0407000000000002</v>
      </c>
      <c r="F7" s="2">
        <v>-1.0329900000000001</v>
      </c>
      <c r="G7" s="2">
        <v>-1.49902</v>
      </c>
      <c r="H7" s="2">
        <v>2.5320100000000001</v>
      </c>
    </row>
    <row r="8" spans="1:8" x14ac:dyDescent="0.25">
      <c r="A8" s="33" t="s">
        <v>782</v>
      </c>
      <c r="B8" s="33" t="s">
        <v>1618</v>
      </c>
      <c r="C8" s="33" t="s">
        <v>1619</v>
      </c>
      <c r="D8" s="2">
        <v>1.0823100000000001</v>
      </c>
      <c r="E8" s="2">
        <v>-0.99129000000000012</v>
      </c>
      <c r="F8" s="2">
        <v>-1.3422499999999999</v>
      </c>
      <c r="G8" s="2">
        <v>-0.51831000000000005</v>
      </c>
      <c r="H8" s="2">
        <v>1.86056</v>
      </c>
    </row>
    <row r="9" spans="1:8" x14ac:dyDescent="0.25">
      <c r="A9" s="33" t="s">
        <v>782</v>
      </c>
      <c r="B9" s="33" t="s">
        <v>1620</v>
      </c>
      <c r="C9" s="33" t="s">
        <v>1621</v>
      </c>
      <c r="D9" s="2">
        <v>2.0788099999999998</v>
      </c>
      <c r="E9" s="2">
        <v>-2.358470000000001</v>
      </c>
      <c r="F9" s="2">
        <v>-1.4712700000000001</v>
      </c>
      <c r="G9" s="2">
        <v>-1.4655400000000001</v>
      </c>
      <c r="H9" s="2">
        <v>2.9368100000000008</v>
      </c>
    </row>
    <row r="10" spans="1:8" x14ac:dyDescent="0.25">
      <c r="A10" s="33" t="s">
        <v>782</v>
      </c>
      <c r="B10" s="33" t="s">
        <v>1622</v>
      </c>
      <c r="C10" s="33" t="s">
        <v>1623</v>
      </c>
      <c r="D10" s="2">
        <v>3.3734000000000011</v>
      </c>
      <c r="E10" s="2">
        <v>-4.0718600000000009</v>
      </c>
      <c r="F10" s="2">
        <v>-1.70834</v>
      </c>
      <c r="G10" s="2">
        <v>-1.94587</v>
      </c>
      <c r="H10" s="2">
        <v>3.65421</v>
      </c>
    </row>
    <row r="11" spans="1:8" x14ac:dyDescent="0.25">
      <c r="A11" s="40" t="s">
        <v>782</v>
      </c>
      <c r="B11" s="40" t="s">
        <v>1624</v>
      </c>
      <c r="C11" s="40" t="s">
        <v>1625</v>
      </c>
      <c r="D11" s="4">
        <v>2.3854700000000002</v>
      </c>
      <c r="E11" s="4">
        <v>-2.7995899999999998</v>
      </c>
      <c r="F11" s="4">
        <v>-1.2962400000000001</v>
      </c>
      <c r="G11" s="4">
        <v>-1.88073</v>
      </c>
      <c r="H11" s="4">
        <v>3.1769700000000012</v>
      </c>
    </row>
    <row r="12" spans="1:8" x14ac:dyDescent="0.25">
      <c r="A12" s="33"/>
      <c r="B12" s="33"/>
      <c r="C12" s="33"/>
      <c r="D12" s="53"/>
      <c r="E12" s="53"/>
      <c r="F12" s="53"/>
      <c r="G12" s="53"/>
      <c r="H12" s="53"/>
    </row>
    <row r="13" spans="1:8" x14ac:dyDescent="0.25">
      <c r="A13" s="33"/>
      <c r="B13" s="33"/>
      <c r="C13" s="33"/>
      <c r="D13" s="53"/>
      <c r="E13" s="53"/>
      <c r="F13" s="53"/>
      <c r="G13" s="53"/>
      <c r="H13" s="53"/>
    </row>
    <row r="14" spans="1:8" x14ac:dyDescent="0.25">
      <c r="A14" s="33"/>
      <c r="B14" s="33"/>
      <c r="C14" s="33"/>
      <c r="D14" s="53"/>
      <c r="E14" s="53"/>
      <c r="F14" s="53"/>
      <c r="G14" s="53"/>
      <c r="H14" s="53"/>
    </row>
    <row r="15" spans="1:8" x14ac:dyDescent="0.25">
      <c r="A15" s="33"/>
      <c r="B15" s="33"/>
      <c r="C15" s="33"/>
      <c r="D15" s="53"/>
      <c r="E15" s="53"/>
      <c r="F15" s="53"/>
      <c r="G15" s="53"/>
      <c r="H15" s="53"/>
    </row>
    <row r="16" spans="1:8" x14ac:dyDescent="0.25">
      <c r="A16" s="33"/>
      <c r="B16" s="33"/>
      <c r="C16" s="33"/>
      <c r="D16" s="53"/>
      <c r="E16" s="53"/>
      <c r="F16" s="53"/>
      <c r="G16" s="53"/>
      <c r="H16" s="53"/>
    </row>
    <row r="17" spans="1:8" x14ac:dyDescent="0.25">
      <c r="A17" s="33"/>
      <c r="B17" s="33"/>
      <c r="C17" s="33"/>
      <c r="D17" s="53"/>
      <c r="E17" s="53"/>
      <c r="F17" s="53"/>
      <c r="G17" s="53"/>
      <c r="H17" s="53"/>
    </row>
    <row r="18" spans="1:8" x14ac:dyDescent="0.25">
      <c r="A18" s="33"/>
      <c r="B18" s="33"/>
      <c r="C18" s="33"/>
      <c r="D18" s="53"/>
      <c r="E18" s="53"/>
      <c r="F18" s="53"/>
      <c r="G18" s="53"/>
      <c r="H18" s="53"/>
    </row>
    <row r="19" spans="1:8" x14ac:dyDescent="0.25">
      <c r="A19" s="33"/>
      <c r="B19" s="33"/>
      <c r="C19" s="33"/>
      <c r="D19" s="53"/>
      <c r="E19" s="53"/>
      <c r="F19" s="53"/>
      <c r="G19" s="53"/>
      <c r="H19" s="53"/>
    </row>
    <row r="20" spans="1:8" x14ac:dyDescent="0.25">
      <c r="A20" s="33"/>
      <c r="B20" s="33"/>
      <c r="C20" s="33"/>
      <c r="D20" s="53"/>
      <c r="E20" s="53"/>
      <c r="F20" s="53"/>
      <c r="G20" s="53"/>
      <c r="H20" s="53"/>
    </row>
    <row r="21" spans="1:8" x14ac:dyDescent="0.25">
      <c r="A21" s="33"/>
      <c r="B21" s="33"/>
      <c r="C21" s="33"/>
      <c r="D21" s="53"/>
      <c r="E21" s="53"/>
      <c r="F21" s="53"/>
      <c r="G21" s="53"/>
      <c r="H21" s="53"/>
    </row>
    <row r="22" spans="1:8" x14ac:dyDescent="0.25">
      <c r="A22" s="33"/>
      <c r="B22" s="33"/>
      <c r="C22" s="33"/>
      <c r="D22" s="53"/>
      <c r="E22" s="53"/>
      <c r="F22" s="53"/>
      <c r="G22" s="53"/>
      <c r="H22" s="53"/>
    </row>
    <row r="23" spans="1:8" x14ac:dyDescent="0.25">
      <c r="A23" s="33"/>
      <c r="B23" s="33"/>
      <c r="C23" s="33"/>
      <c r="D23" s="53"/>
      <c r="E23" s="53"/>
      <c r="F23" s="53"/>
      <c r="G23" s="53"/>
      <c r="H23" s="53"/>
    </row>
    <row r="24" spans="1:8" x14ac:dyDescent="0.25">
      <c r="A24" s="33"/>
      <c r="B24" s="33"/>
      <c r="C24" s="33"/>
      <c r="D24" s="53"/>
      <c r="E24" s="53"/>
      <c r="F24" s="53"/>
      <c r="G24" s="53"/>
      <c r="H24" s="53"/>
    </row>
    <row r="25" spans="1:8" x14ac:dyDescent="0.25">
      <c r="A25" s="33"/>
      <c r="B25" s="33"/>
      <c r="C25" s="33"/>
      <c r="D25" s="53"/>
      <c r="E25" s="53"/>
      <c r="F25" s="53"/>
      <c r="G25" s="53"/>
      <c r="H25" s="53"/>
    </row>
    <row r="26" spans="1:8" x14ac:dyDescent="0.25">
      <c r="A26" s="33"/>
      <c r="B26" s="33"/>
      <c r="C26" s="33"/>
      <c r="D26" s="53"/>
      <c r="E26" s="53"/>
      <c r="F26" s="53"/>
      <c r="G26" s="53"/>
      <c r="H26" s="53"/>
    </row>
  </sheetData>
  <sheetProtection formatColumns="0" formatRows="0"/>
  <hyperlinks>
    <hyperlink ref="A1" location="TOC!A1" display="Table of Contents" xr:uid="{2564DD38-BAB1-4D17-975A-602B2C772937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2"/>
  <dimension ref="A1:I2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78.42578125" customWidth="1"/>
    <col min="4" max="4" width="10.42578125" customWidth="1"/>
  </cols>
  <sheetData>
    <row r="1" spans="1:9" x14ac:dyDescent="0.25">
      <c r="A1" s="141" t="s">
        <v>316</v>
      </c>
      <c r="B1" s="32" t="s">
        <v>345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150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151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1626</v>
      </c>
      <c r="C7" s="33" t="s">
        <v>1627</v>
      </c>
      <c r="D7" s="33" t="s">
        <v>927</v>
      </c>
      <c r="E7" s="2">
        <v>1.39392</v>
      </c>
      <c r="F7" s="2">
        <v>-0.34143000000000001</v>
      </c>
      <c r="G7" s="2">
        <v>-2.066380000000001</v>
      </c>
      <c r="H7" s="2">
        <v>-1.2554000000000001</v>
      </c>
      <c r="I7" s="2">
        <v>3.32178</v>
      </c>
    </row>
    <row r="8" spans="1:9" x14ac:dyDescent="0.25">
      <c r="A8" s="33" t="s">
        <v>782</v>
      </c>
      <c r="B8" s="33" t="s">
        <v>1628</v>
      </c>
      <c r="C8" s="33" t="s">
        <v>1629</v>
      </c>
      <c r="D8" s="33" t="s">
        <v>927</v>
      </c>
      <c r="E8" s="2">
        <v>0.82955999999999996</v>
      </c>
      <c r="F8" s="2">
        <v>-6.6070000000000004E-2</v>
      </c>
      <c r="G8" s="2">
        <v>-2.176600000000001</v>
      </c>
      <c r="H8" s="2">
        <v>-0.29176999999999997</v>
      </c>
      <c r="I8" s="2">
        <v>2.4683700000000011</v>
      </c>
    </row>
    <row r="9" spans="1:9" x14ac:dyDescent="0.25">
      <c r="A9" s="33" t="s">
        <v>782</v>
      </c>
      <c r="B9" s="33" t="s">
        <v>1630</v>
      </c>
      <c r="C9" s="33" t="s">
        <v>1631</v>
      </c>
      <c r="D9" s="33" t="s">
        <v>927</v>
      </c>
      <c r="E9" s="2">
        <v>2.76946</v>
      </c>
      <c r="F9" s="2">
        <v>0.14702000000000001</v>
      </c>
      <c r="G9" s="2">
        <v>-4.5256299999999996</v>
      </c>
      <c r="H9" s="2">
        <v>-1.47516</v>
      </c>
      <c r="I9" s="2">
        <v>6.0007900000000003</v>
      </c>
    </row>
    <row r="10" spans="1:9" x14ac:dyDescent="0.25">
      <c r="A10" s="33" t="s">
        <v>782</v>
      </c>
      <c r="B10" s="33" t="s">
        <v>1632</v>
      </c>
      <c r="C10" s="33" t="s">
        <v>1633</v>
      </c>
      <c r="D10" s="33" t="s">
        <v>927</v>
      </c>
      <c r="E10" s="2">
        <v>3.0994100000000002</v>
      </c>
      <c r="F10" s="2">
        <v>0.47490999999999989</v>
      </c>
      <c r="G10" s="2">
        <v>-5.0884900000000011</v>
      </c>
      <c r="H10" s="2">
        <v>-1.5002800000000009</v>
      </c>
      <c r="I10" s="2">
        <v>6.5887700000000002</v>
      </c>
    </row>
    <row r="11" spans="1:9" x14ac:dyDescent="0.25">
      <c r="A11" s="33" t="s">
        <v>782</v>
      </c>
      <c r="B11" s="33" t="s">
        <v>1634</v>
      </c>
      <c r="C11" s="33" t="s">
        <v>1635</v>
      </c>
      <c r="D11" s="33" t="s">
        <v>927</v>
      </c>
      <c r="E11" s="2">
        <v>1.4803900000000001</v>
      </c>
      <c r="F11" s="2">
        <v>-2.9250000000000009E-2</v>
      </c>
      <c r="G11" s="2">
        <v>-2.2128399999999999</v>
      </c>
      <c r="H11" s="2">
        <v>-1.0072099999999999</v>
      </c>
      <c r="I11" s="2">
        <v>3.2200500000000001</v>
      </c>
    </row>
    <row r="12" spans="1:9" x14ac:dyDescent="0.25">
      <c r="A12" s="33" t="s">
        <v>782</v>
      </c>
      <c r="B12" s="33" t="s">
        <v>1636</v>
      </c>
      <c r="C12" s="33" t="s">
        <v>1637</v>
      </c>
      <c r="D12" s="33" t="s">
        <v>927</v>
      </c>
      <c r="E12" s="2">
        <v>2.1406499999999999</v>
      </c>
      <c r="F12" s="2">
        <v>0.25135999999999997</v>
      </c>
      <c r="G12" s="2">
        <v>-3.75895</v>
      </c>
      <c r="H12" s="2">
        <v>-0.91571000000000002</v>
      </c>
      <c r="I12" s="2">
        <v>4.6746600000000003</v>
      </c>
    </row>
    <row r="13" spans="1:9" x14ac:dyDescent="0.25">
      <c r="A13" s="40" t="s">
        <v>782</v>
      </c>
      <c r="B13" s="40" t="s">
        <v>1638</v>
      </c>
      <c r="C13" s="40" t="s">
        <v>1639</v>
      </c>
      <c r="D13" s="40" t="s">
        <v>927</v>
      </c>
      <c r="E13" s="4">
        <v>1.40557</v>
      </c>
      <c r="F13" s="4">
        <v>0.24995000000000001</v>
      </c>
      <c r="G13" s="4">
        <v>-2.5604900000000002</v>
      </c>
      <c r="H13" s="4">
        <v>-0.56276000000000004</v>
      </c>
      <c r="I13" s="4">
        <v>3.123250000000001</v>
      </c>
    </row>
    <row r="14" spans="1:9" x14ac:dyDescent="0.25">
      <c r="A14" s="33"/>
      <c r="B14" s="33"/>
      <c r="C14" s="33"/>
      <c r="D14" s="33"/>
      <c r="E14" s="53"/>
      <c r="F14" s="53"/>
      <c r="G14" s="53"/>
      <c r="H14" s="53"/>
      <c r="I14" s="53"/>
    </row>
    <row r="15" spans="1:9" x14ac:dyDescent="0.25">
      <c r="A15" s="33"/>
      <c r="B15" s="33"/>
      <c r="C15" s="33"/>
      <c r="D15" s="33"/>
      <c r="E15" s="53"/>
      <c r="F15" s="53"/>
      <c r="G15" s="53"/>
      <c r="H15" s="53"/>
      <c r="I15" s="53"/>
    </row>
    <row r="16" spans="1:9" x14ac:dyDescent="0.25">
      <c r="A16" s="33"/>
      <c r="B16" s="33"/>
      <c r="C16" s="33"/>
      <c r="D16" s="33"/>
      <c r="E16" s="53"/>
      <c r="F16" s="53"/>
      <c r="G16" s="53"/>
      <c r="H16" s="53"/>
      <c r="I16" s="53"/>
    </row>
    <row r="17" spans="1:9" x14ac:dyDescent="0.25">
      <c r="A17" s="33"/>
      <c r="B17" s="33"/>
      <c r="C17" s="33"/>
      <c r="D17" s="33"/>
      <c r="E17" s="53"/>
      <c r="F17" s="53"/>
      <c r="G17" s="53"/>
      <c r="H17" s="53"/>
      <c r="I17" s="53"/>
    </row>
    <row r="18" spans="1:9" x14ac:dyDescent="0.25">
      <c r="A18" s="33"/>
      <c r="B18" s="33"/>
      <c r="C18" s="33"/>
      <c r="D18" s="33"/>
      <c r="E18" s="53"/>
      <c r="F18" s="53"/>
      <c r="G18" s="53"/>
      <c r="H18" s="53"/>
      <c r="I18" s="53"/>
    </row>
    <row r="19" spans="1:9" x14ac:dyDescent="0.25">
      <c r="A19" s="33"/>
      <c r="B19" s="33"/>
      <c r="C19" s="33"/>
      <c r="D19" s="33"/>
      <c r="E19" s="53"/>
      <c r="F19" s="53"/>
      <c r="G19" s="53"/>
      <c r="H19" s="53"/>
      <c r="I19" s="53"/>
    </row>
    <row r="20" spans="1:9" x14ac:dyDescent="0.25">
      <c r="A20" s="33"/>
      <c r="B20" s="33"/>
      <c r="C20" s="33"/>
      <c r="D20" s="33"/>
      <c r="E20" s="53"/>
      <c r="F20" s="53"/>
      <c r="G20" s="53"/>
      <c r="H20" s="53"/>
      <c r="I20" s="53"/>
    </row>
    <row r="21" spans="1:9" x14ac:dyDescent="0.25">
      <c r="A21" s="33"/>
      <c r="B21" s="33"/>
      <c r="C21" s="33"/>
      <c r="D21" s="33"/>
      <c r="E21" s="53"/>
      <c r="F21" s="53"/>
      <c r="G21" s="53"/>
      <c r="H21" s="53"/>
      <c r="I21" s="53"/>
    </row>
    <row r="22" spans="1:9" x14ac:dyDescent="0.25">
      <c r="A22" s="33"/>
      <c r="B22" s="33"/>
      <c r="C22" s="33"/>
      <c r="D22" s="33"/>
      <c r="E22" s="53"/>
      <c r="F22" s="53"/>
      <c r="G22" s="53"/>
      <c r="H22" s="53"/>
      <c r="I22" s="53"/>
    </row>
    <row r="23" spans="1:9" x14ac:dyDescent="0.25">
      <c r="A23" s="33"/>
      <c r="B23" s="33"/>
      <c r="C23" s="33"/>
      <c r="D23" s="33"/>
      <c r="E23" s="53"/>
      <c r="F23" s="53"/>
      <c r="G23" s="53"/>
      <c r="H23" s="53"/>
      <c r="I23" s="53"/>
    </row>
    <row r="24" spans="1:9" x14ac:dyDescent="0.25">
      <c r="A24" s="33"/>
      <c r="B24" s="33"/>
      <c r="C24" s="33"/>
      <c r="D24" s="33"/>
      <c r="E24" s="53"/>
      <c r="F24" s="53"/>
      <c r="G24" s="53"/>
      <c r="H24" s="53"/>
      <c r="I24" s="53"/>
    </row>
    <row r="25" spans="1:9" x14ac:dyDescent="0.25">
      <c r="A25" s="33"/>
      <c r="B25" s="33"/>
      <c r="C25" s="33"/>
      <c r="D25" s="33"/>
      <c r="E25" s="53"/>
      <c r="F25" s="53"/>
      <c r="G25" s="53"/>
      <c r="H25" s="53"/>
      <c r="I25" s="53"/>
    </row>
    <row r="26" spans="1:9" x14ac:dyDescent="0.25">
      <c r="A26" s="33"/>
      <c r="B26" s="33"/>
      <c r="C26" s="33"/>
      <c r="D26" s="33"/>
      <c r="E26" s="53"/>
      <c r="F26" s="53"/>
      <c r="G26" s="53"/>
      <c r="H26" s="53"/>
      <c r="I26" s="53"/>
    </row>
    <row r="27" spans="1:9" x14ac:dyDescent="0.25">
      <c r="A27" s="33"/>
      <c r="B27" s="33"/>
      <c r="C27" s="33"/>
      <c r="D27" s="33"/>
      <c r="E27" s="53"/>
      <c r="F27" s="53"/>
      <c r="G27" s="53"/>
      <c r="H27" s="53"/>
      <c r="I27" s="53"/>
    </row>
    <row r="28" spans="1:9" x14ac:dyDescent="0.25">
      <c r="A28" s="33"/>
      <c r="B28" s="33"/>
      <c r="C28" s="33"/>
      <c r="D28" s="33"/>
      <c r="E28" s="53"/>
      <c r="F28" s="53"/>
      <c r="G28" s="53"/>
      <c r="H28" s="53"/>
      <c r="I28" s="53"/>
    </row>
  </sheetData>
  <sheetProtection formatColumns="0" formatRows="0"/>
  <hyperlinks>
    <hyperlink ref="A1" location="TOC!A1" display="Table of Contents" xr:uid="{B80DC942-6046-4246-8ABA-88F968D74D1B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3"/>
  <dimension ref="A1:F2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3.140625" bestFit="1" customWidth="1"/>
    <col min="3" max="3" width="96.28515625" customWidth="1"/>
    <col min="4" max="4" width="10.42578125" customWidth="1"/>
  </cols>
  <sheetData>
    <row r="1" spans="1:6" x14ac:dyDescent="0.25">
      <c r="A1" s="141" t="s">
        <v>316</v>
      </c>
      <c r="B1" s="32" t="s">
        <v>389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152</v>
      </c>
      <c r="B3" s="33"/>
      <c r="C3" s="33"/>
      <c r="D3" s="33"/>
      <c r="E3" s="33"/>
      <c r="F3" s="33"/>
    </row>
    <row r="4" spans="1:6" x14ac:dyDescent="0.25">
      <c r="A4" s="34" t="s">
        <v>153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1640</v>
      </c>
      <c r="C7" s="33" t="s">
        <v>1641</v>
      </c>
      <c r="D7" s="33" t="s">
        <v>927</v>
      </c>
      <c r="E7" s="2">
        <v>0.63358999999999999</v>
      </c>
      <c r="F7" s="2">
        <v>0.91008999999999995</v>
      </c>
    </row>
    <row r="8" spans="1:6" x14ac:dyDescent="0.25">
      <c r="A8" s="33" t="s">
        <v>782</v>
      </c>
      <c r="B8" s="33" t="s">
        <v>1642</v>
      </c>
      <c r="C8" s="33" t="s">
        <v>1643</v>
      </c>
      <c r="D8" s="33" t="s">
        <v>927</v>
      </c>
      <c r="E8" s="2">
        <v>3.562720000000001</v>
      </c>
      <c r="F8" s="2">
        <v>1.19617</v>
      </c>
    </row>
    <row r="9" spans="1:6" x14ac:dyDescent="0.25">
      <c r="A9" s="33" t="s">
        <v>782</v>
      </c>
      <c r="B9" s="33" t="s">
        <v>1644</v>
      </c>
      <c r="C9" s="33" t="s">
        <v>1645</v>
      </c>
      <c r="D9" s="33" t="s">
        <v>927</v>
      </c>
      <c r="E9" s="2">
        <v>5</v>
      </c>
      <c r="F9" s="2">
        <v>1.2705299999999999</v>
      </c>
    </row>
    <row r="10" spans="1:6" x14ac:dyDescent="0.25">
      <c r="A10" s="33" t="s">
        <v>782</v>
      </c>
      <c r="B10" s="33" t="s">
        <v>1646</v>
      </c>
      <c r="C10" s="33" t="s">
        <v>1647</v>
      </c>
      <c r="D10" s="33" t="s">
        <v>927</v>
      </c>
      <c r="E10" s="2">
        <v>5</v>
      </c>
      <c r="F10" s="2">
        <v>1.82883</v>
      </c>
    </row>
    <row r="11" spans="1:6" x14ac:dyDescent="0.25">
      <c r="A11" s="40" t="s">
        <v>782</v>
      </c>
      <c r="B11" s="40" t="s">
        <v>1648</v>
      </c>
      <c r="C11" s="40" t="s">
        <v>1649</v>
      </c>
      <c r="D11" s="40" t="s">
        <v>927</v>
      </c>
      <c r="E11" s="4">
        <v>5</v>
      </c>
      <c r="F11" s="4">
        <v>1.3752800000000001</v>
      </c>
    </row>
    <row r="12" spans="1:6" x14ac:dyDescent="0.25">
      <c r="A12" s="33"/>
      <c r="B12" s="33"/>
      <c r="C12" s="33"/>
      <c r="D12" s="33"/>
      <c r="E12" s="53"/>
      <c r="F12" s="53"/>
    </row>
    <row r="13" spans="1:6" x14ac:dyDescent="0.25">
      <c r="A13" s="33"/>
      <c r="B13" s="33"/>
      <c r="C13" s="33"/>
      <c r="D13" s="33"/>
      <c r="E13" s="53"/>
      <c r="F13" s="53"/>
    </row>
    <row r="14" spans="1:6" x14ac:dyDescent="0.25">
      <c r="A14" s="33"/>
      <c r="B14" s="33"/>
      <c r="C14" s="33"/>
      <c r="D14" s="33"/>
      <c r="E14" s="53"/>
      <c r="F14" s="53"/>
    </row>
    <row r="15" spans="1:6" x14ac:dyDescent="0.25">
      <c r="A15" s="33"/>
      <c r="B15" s="33"/>
      <c r="C15" s="33"/>
      <c r="D15" s="33"/>
      <c r="E15" s="53"/>
      <c r="F15" s="53"/>
    </row>
    <row r="16" spans="1:6" x14ac:dyDescent="0.25">
      <c r="A16" s="33"/>
      <c r="B16" s="33"/>
      <c r="C16" s="33"/>
      <c r="D16" s="33"/>
      <c r="E16" s="53"/>
      <c r="F16" s="53"/>
    </row>
    <row r="17" spans="1:6" x14ac:dyDescent="0.25">
      <c r="A17" s="33"/>
      <c r="B17" s="33"/>
      <c r="C17" s="33"/>
      <c r="D17" s="33"/>
      <c r="E17" s="53"/>
      <c r="F17" s="53"/>
    </row>
    <row r="18" spans="1:6" x14ac:dyDescent="0.25">
      <c r="A18" s="33"/>
      <c r="B18" s="33"/>
      <c r="C18" s="33"/>
      <c r="D18" s="33"/>
      <c r="E18" s="53"/>
      <c r="F18" s="53"/>
    </row>
    <row r="19" spans="1:6" x14ac:dyDescent="0.25">
      <c r="A19" s="33"/>
      <c r="B19" s="33"/>
      <c r="C19" s="33"/>
      <c r="D19" s="33"/>
      <c r="E19" s="53"/>
      <c r="F19" s="53"/>
    </row>
    <row r="20" spans="1:6" x14ac:dyDescent="0.25">
      <c r="A20" s="33"/>
      <c r="B20" s="33"/>
      <c r="C20" s="33"/>
      <c r="D20" s="33"/>
      <c r="E20" s="53"/>
      <c r="F20" s="53"/>
    </row>
    <row r="21" spans="1:6" x14ac:dyDescent="0.25">
      <c r="A21" s="33"/>
      <c r="B21" s="33"/>
      <c r="C21" s="33"/>
      <c r="D21" s="33"/>
      <c r="E21" s="53"/>
      <c r="F21" s="53"/>
    </row>
    <row r="22" spans="1:6" x14ac:dyDescent="0.25">
      <c r="A22" s="33"/>
      <c r="B22" s="33"/>
      <c r="C22" s="33"/>
      <c r="D22" s="33"/>
      <c r="E22" s="53"/>
      <c r="F22" s="53"/>
    </row>
    <row r="23" spans="1:6" x14ac:dyDescent="0.25">
      <c r="A23" s="33"/>
      <c r="B23" s="33"/>
      <c r="C23" s="33"/>
      <c r="D23" s="33"/>
      <c r="E23" s="53"/>
      <c r="F23" s="53"/>
    </row>
    <row r="24" spans="1:6" x14ac:dyDescent="0.25">
      <c r="A24" s="33"/>
      <c r="B24" s="33"/>
      <c r="C24" s="33"/>
      <c r="D24" s="33"/>
      <c r="E24" s="53"/>
      <c r="F24" s="53"/>
    </row>
    <row r="25" spans="1:6" x14ac:dyDescent="0.25">
      <c r="A25" s="33"/>
      <c r="B25" s="33"/>
      <c r="C25" s="33"/>
      <c r="D25" s="33"/>
      <c r="E25" s="53"/>
      <c r="F25" s="53"/>
    </row>
    <row r="26" spans="1:6" x14ac:dyDescent="0.25">
      <c r="A26" s="33"/>
      <c r="B26" s="33"/>
      <c r="C26" s="33"/>
      <c r="D26" s="33"/>
      <c r="E26" s="53"/>
      <c r="F26" s="53"/>
    </row>
  </sheetData>
  <sheetProtection formatColumns="0" formatRows="0"/>
  <hyperlinks>
    <hyperlink ref="A1" location="TOC!A1" display="Table of Contents" xr:uid="{DA7AF0B3-1D6B-4B24-8EA3-F536FECB9176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4"/>
  <dimension ref="A1:D75"/>
  <sheetViews>
    <sheetView workbookViewId="0">
      <pane ySplit="6" topLeftCell="A39" activePane="bottomLeft" state="frozen"/>
      <selection pane="bottomLeft"/>
    </sheetView>
  </sheetViews>
  <sheetFormatPr defaultColWidth="9.140625" defaultRowHeight="15" x14ac:dyDescent="0.25"/>
  <cols>
    <col min="1" max="1" width="14.42578125" style="16" customWidth="1"/>
    <col min="2" max="2" width="107.42578125" style="16" bestFit="1" customWidth="1"/>
    <col min="3" max="3" width="8.7109375" style="16" bestFit="1" customWidth="1"/>
    <col min="4" max="4" width="12.7109375" style="16" customWidth="1"/>
    <col min="5" max="5" width="8.7109375" style="16" bestFit="1" customWidth="1"/>
    <col min="6" max="6" width="14.140625" style="16" customWidth="1"/>
    <col min="7" max="7" width="9.140625" style="16" customWidth="1"/>
    <col min="8" max="16384" width="9.140625" style="16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154</v>
      </c>
      <c r="B3" s="33"/>
      <c r="C3" s="33"/>
      <c r="D3" s="33"/>
    </row>
    <row r="4" spans="1:4" x14ac:dyDescent="0.25">
      <c r="A4" s="101" t="s">
        <v>1650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102" t="s">
        <v>438</v>
      </c>
      <c r="B6" s="102" t="s">
        <v>439</v>
      </c>
      <c r="C6" s="33"/>
      <c r="D6" s="33"/>
    </row>
    <row r="7" spans="1:4" x14ac:dyDescent="0.25">
      <c r="A7" s="103" t="s">
        <v>440</v>
      </c>
      <c r="B7" s="104"/>
      <c r="C7" s="33"/>
      <c r="D7" s="33"/>
    </row>
    <row r="8" spans="1:4" customFormat="1" x14ac:dyDescent="0.25">
      <c r="A8" t="s">
        <v>1651</v>
      </c>
      <c r="B8" t="s">
        <v>1652</v>
      </c>
    </row>
    <row r="9" spans="1:4" x14ac:dyDescent="0.25">
      <c r="A9" t="s">
        <v>1651</v>
      </c>
      <c r="B9" t="s">
        <v>1653</v>
      </c>
      <c r="C9" s="33"/>
      <c r="D9" s="33"/>
    </row>
    <row r="10" spans="1:4" x14ac:dyDescent="0.25">
      <c r="A10" t="s">
        <v>1654</v>
      </c>
      <c r="B10" t="s">
        <v>1655</v>
      </c>
      <c r="C10" s="33"/>
      <c r="D10" s="33"/>
    </row>
    <row r="11" spans="1:4" x14ac:dyDescent="0.25">
      <c r="A11" t="s">
        <v>1656</v>
      </c>
      <c r="B11" t="s">
        <v>1657</v>
      </c>
      <c r="C11" s="33"/>
      <c r="D11" s="33"/>
    </row>
    <row r="12" spans="1:4" x14ac:dyDescent="0.25">
      <c r="A12" t="s">
        <v>1658</v>
      </c>
      <c r="B12" t="s">
        <v>1659</v>
      </c>
      <c r="C12" s="33"/>
      <c r="D12" s="33"/>
    </row>
    <row r="13" spans="1:4" x14ac:dyDescent="0.25">
      <c r="A13" t="s">
        <v>1660</v>
      </c>
      <c r="B13" t="s">
        <v>1661</v>
      </c>
      <c r="C13" s="33"/>
      <c r="D13" s="33"/>
    </row>
    <row r="14" spans="1:4" x14ac:dyDescent="0.25">
      <c r="A14" t="s">
        <v>1662</v>
      </c>
      <c r="B14" t="s">
        <v>1663</v>
      </c>
      <c r="C14" s="33"/>
      <c r="D14" s="33"/>
    </row>
    <row r="15" spans="1:4" x14ac:dyDescent="0.25">
      <c r="A15" t="s">
        <v>1664</v>
      </c>
      <c r="B15" t="s">
        <v>1665</v>
      </c>
      <c r="C15" s="33"/>
      <c r="D15" s="33"/>
    </row>
    <row r="16" spans="1:4" x14ac:dyDescent="0.25">
      <c r="A16" t="s">
        <v>1666</v>
      </c>
      <c r="B16" t="s">
        <v>1667</v>
      </c>
      <c r="C16" s="33"/>
      <c r="D16" s="33"/>
    </row>
    <row r="17" spans="1:4" x14ac:dyDescent="0.25">
      <c r="A17" t="s">
        <v>1668</v>
      </c>
      <c r="B17" t="s">
        <v>1669</v>
      </c>
      <c r="C17" s="33"/>
      <c r="D17" s="33"/>
    </row>
    <row r="18" spans="1:4" x14ac:dyDescent="0.25">
      <c r="A18" t="s">
        <v>1670</v>
      </c>
      <c r="B18" t="s">
        <v>1671</v>
      </c>
      <c r="C18" s="33"/>
      <c r="D18" s="33"/>
    </row>
    <row r="19" spans="1:4" x14ac:dyDescent="0.25">
      <c r="A19" s="106" t="s">
        <v>1672</v>
      </c>
      <c r="B19" s="106" t="s">
        <v>1673</v>
      </c>
      <c r="C19" s="33"/>
      <c r="D19" s="33"/>
    </row>
    <row r="20" spans="1:4" x14ac:dyDescent="0.25">
      <c r="A20" s="106" t="s">
        <v>1674</v>
      </c>
      <c r="B20" s="106" t="s">
        <v>1675</v>
      </c>
      <c r="C20" s="33"/>
      <c r="D20" s="33"/>
    </row>
    <row r="21" spans="1:4" x14ac:dyDescent="0.25">
      <c r="A21" s="106" t="s">
        <v>1676</v>
      </c>
      <c r="B21" s="106" t="s">
        <v>1677</v>
      </c>
      <c r="C21" s="33"/>
      <c r="D21" s="33"/>
    </row>
    <row r="22" spans="1:4" x14ac:dyDescent="0.25">
      <c r="A22" s="106" t="s">
        <v>1678</v>
      </c>
      <c r="B22" s="106" t="s">
        <v>1679</v>
      </c>
      <c r="C22" s="33"/>
      <c r="D22" s="33"/>
    </row>
    <row r="23" spans="1:4" x14ac:dyDescent="0.25">
      <c r="A23" s="106" t="s">
        <v>1680</v>
      </c>
      <c r="B23" s="106" t="s">
        <v>1681</v>
      </c>
      <c r="C23" s="33"/>
      <c r="D23" s="33"/>
    </row>
    <row r="24" spans="1:4" x14ac:dyDescent="0.25">
      <c r="A24" s="106" t="s">
        <v>1682</v>
      </c>
      <c r="B24" s="106" t="s">
        <v>1683</v>
      </c>
      <c r="C24" s="33"/>
      <c r="D24" s="33"/>
    </row>
    <row r="25" spans="1:4" x14ac:dyDescent="0.25">
      <c r="A25" s="106" t="s">
        <v>1684</v>
      </c>
      <c r="B25" s="106" t="s">
        <v>1685</v>
      </c>
      <c r="C25" s="33"/>
      <c r="D25" s="33"/>
    </row>
    <row r="26" spans="1:4" x14ac:dyDescent="0.25">
      <c r="A26" s="106" t="s">
        <v>1686</v>
      </c>
      <c r="B26" s="106" t="s">
        <v>1687</v>
      </c>
      <c r="C26" s="33"/>
      <c r="D26" s="33"/>
    </row>
    <row r="27" spans="1:4" x14ac:dyDescent="0.25">
      <c r="A27" s="106" t="s">
        <v>1688</v>
      </c>
      <c r="B27" s="106" t="s">
        <v>1689</v>
      </c>
      <c r="C27" s="33"/>
      <c r="D27" s="33"/>
    </row>
    <row r="28" spans="1:4" x14ac:dyDescent="0.25">
      <c r="A28" s="106" t="s">
        <v>1690</v>
      </c>
      <c r="B28" s="106" t="s">
        <v>1691</v>
      </c>
      <c r="C28" s="33"/>
      <c r="D28" s="33"/>
    </row>
    <row r="29" spans="1:4" x14ac:dyDescent="0.25">
      <c r="A29" s="106" t="s">
        <v>1692</v>
      </c>
      <c r="B29" s="106" t="s">
        <v>1693</v>
      </c>
      <c r="C29" s="33"/>
      <c r="D29" s="33"/>
    </row>
    <row r="30" spans="1:4" x14ac:dyDescent="0.25">
      <c r="A30" s="106" t="s">
        <v>1694</v>
      </c>
      <c r="B30" s="106" t="s">
        <v>1695</v>
      </c>
      <c r="C30" s="33"/>
      <c r="D30" s="33"/>
    </row>
    <row r="31" spans="1:4" x14ac:dyDescent="0.25">
      <c r="A31" s="106" t="s">
        <v>1696</v>
      </c>
      <c r="B31" s="106" t="s">
        <v>1697</v>
      </c>
      <c r="C31" s="33"/>
      <c r="D31" s="33"/>
    </row>
    <row r="32" spans="1:4" x14ac:dyDescent="0.25">
      <c r="A32" s="106" t="s">
        <v>1698</v>
      </c>
      <c r="B32" s="106" t="s">
        <v>1699</v>
      </c>
      <c r="C32" s="33"/>
      <c r="D32" s="33"/>
    </row>
    <row r="33" spans="1:4" x14ac:dyDescent="0.25">
      <c r="A33" s="106" t="s">
        <v>1700</v>
      </c>
      <c r="B33" s="106" t="s">
        <v>1701</v>
      </c>
      <c r="C33" s="33"/>
      <c r="D33" s="33"/>
    </row>
    <row r="34" spans="1:4" x14ac:dyDescent="0.25">
      <c r="A34" s="106" t="s">
        <v>1702</v>
      </c>
      <c r="B34" s="106" t="s">
        <v>1703</v>
      </c>
      <c r="C34" s="33"/>
      <c r="D34" s="33"/>
    </row>
    <row r="35" spans="1:4" x14ac:dyDescent="0.25">
      <c r="A35" s="106" t="s">
        <v>1704</v>
      </c>
      <c r="B35" s="106" t="s">
        <v>1705</v>
      </c>
      <c r="C35" s="33"/>
      <c r="D35" s="33"/>
    </row>
    <row r="36" spans="1:4" x14ac:dyDescent="0.25">
      <c r="A36" s="106" t="s">
        <v>1706</v>
      </c>
      <c r="B36" s="106" t="s">
        <v>1707</v>
      </c>
      <c r="C36" s="33"/>
      <c r="D36" s="33"/>
    </row>
    <row r="37" spans="1:4" x14ac:dyDescent="0.25">
      <c r="A37" s="106" t="s">
        <v>1708</v>
      </c>
      <c r="B37" s="106" t="s">
        <v>1709</v>
      </c>
      <c r="C37" s="33"/>
      <c r="D37" s="33"/>
    </row>
    <row r="38" spans="1:4" x14ac:dyDescent="0.25">
      <c r="A38" s="106" t="s">
        <v>1710</v>
      </c>
      <c r="B38" s="106" t="s">
        <v>1711</v>
      </c>
      <c r="C38" s="33"/>
      <c r="D38" s="33"/>
    </row>
    <row r="39" spans="1:4" x14ac:dyDescent="0.25">
      <c r="A39" s="106" t="s">
        <v>1712</v>
      </c>
      <c r="B39" s="106" t="s">
        <v>1713</v>
      </c>
      <c r="C39" s="33"/>
      <c r="D39" s="33"/>
    </row>
    <row r="40" spans="1:4" x14ac:dyDescent="0.25">
      <c r="A40" s="106" t="s">
        <v>1714</v>
      </c>
      <c r="B40" s="106" t="s">
        <v>1715</v>
      </c>
      <c r="C40" s="33"/>
      <c r="D40" s="33"/>
    </row>
    <row r="41" spans="1:4" x14ac:dyDescent="0.25">
      <c r="A41" s="106" t="s">
        <v>1716</v>
      </c>
      <c r="B41" s="106" t="s">
        <v>1717</v>
      </c>
      <c r="C41" s="33"/>
      <c r="D41" s="33"/>
    </row>
    <row r="42" spans="1:4" x14ac:dyDescent="0.25">
      <c r="A42" s="106" t="s">
        <v>1718</v>
      </c>
      <c r="B42" s="106" t="s">
        <v>1719</v>
      </c>
      <c r="C42" s="33"/>
      <c r="D42" s="33"/>
    </row>
    <row r="43" spans="1:4" x14ac:dyDescent="0.25">
      <c r="A43" s="106" t="s">
        <v>1720</v>
      </c>
      <c r="B43" s="106" t="s">
        <v>1721</v>
      </c>
      <c r="C43" s="33"/>
      <c r="D43" s="33"/>
    </row>
    <row r="44" spans="1:4" x14ac:dyDescent="0.25">
      <c r="A44" s="106" t="s">
        <v>1722</v>
      </c>
      <c r="B44" s="106" t="s">
        <v>1723</v>
      </c>
      <c r="C44" s="33"/>
      <c r="D44" s="33"/>
    </row>
    <row r="45" spans="1:4" x14ac:dyDescent="0.25">
      <c r="A45" s="106" t="s">
        <v>1724</v>
      </c>
      <c r="B45" s="106" t="s">
        <v>1725</v>
      </c>
      <c r="C45" s="33"/>
      <c r="D45" s="33"/>
    </row>
    <row r="46" spans="1:4" x14ac:dyDescent="0.25">
      <c r="A46" s="106" t="s">
        <v>1726</v>
      </c>
      <c r="B46" s="106" t="s">
        <v>1727</v>
      </c>
      <c r="C46" s="33"/>
      <c r="D46" s="33"/>
    </row>
    <row r="47" spans="1:4" x14ac:dyDescent="0.25">
      <c r="A47" s="106" t="s">
        <v>1728</v>
      </c>
      <c r="B47" s="106" t="s">
        <v>1729</v>
      </c>
      <c r="C47" s="33"/>
      <c r="D47" s="33"/>
    </row>
    <row r="48" spans="1:4" x14ac:dyDescent="0.25">
      <c r="A48" s="106" t="s">
        <v>1730</v>
      </c>
      <c r="B48" s="106" t="s">
        <v>1731</v>
      </c>
      <c r="C48" s="33"/>
      <c r="D48" s="33"/>
    </row>
    <row r="49" spans="1:4" x14ac:dyDescent="0.25">
      <c r="A49" s="106" t="s">
        <v>1732</v>
      </c>
      <c r="B49" s="106" t="s">
        <v>1733</v>
      </c>
      <c r="C49" s="33"/>
      <c r="D49" s="33"/>
    </row>
    <row r="50" spans="1:4" x14ac:dyDescent="0.25">
      <c r="A50" s="106" t="s">
        <v>1734</v>
      </c>
      <c r="B50" s="106" t="s">
        <v>1735</v>
      </c>
      <c r="C50" s="33"/>
      <c r="D50" s="107"/>
    </row>
    <row r="51" spans="1:4" x14ac:dyDescent="0.25">
      <c r="A51" s="106" t="s">
        <v>1736</v>
      </c>
      <c r="B51" s="106" t="s">
        <v>1737</v>
      </c>
      <c r="C51" s="33"/>
    </row>
    <row r="52" spans="1:4" x14ac:dyDescent="0.25">
      <c r="A52" s="106" t="s">
        <v>1738</v>
      </c>
      <c r="B52" s="106" t="s">
        <v>1739</v>
      </c>
      <c r="C52" s="33"/>
    </row>
    <row r="53" spans="1:4" x14ac:dyDescent="0.25">
      <c r="A53" s="106" t="s">
        <v>1740</v>
      </c>
      <c r="B53" s="106" t="s">
        <v>1741</v>
      </c>
      <c r="C53" s="33"/>
      <c r="D53" s="106"/>
    </row>
    <row r="54" spans="1:4" x14ac:dyDescent="0.25">
      <c r="A54" s="106" t="s">
        <v>1742</v>
      </c>
      <c r="B54" s="106" t="s">
        <v>1743</v>
      </c>
      <c r="C54" s="33"/>
      <c r="D54" s="107"/>
    </row>
    <row r="55" spans="1:4" x14ac:dyDescent="0.25">
      <c r="A55" s="106" t="s">
        <v>1744</v>
      </c>
      <c r="B55" s="106" t="s">
        <v>1745</v>
      </c>
      <c r="C55" s="33"/>
      <c r="D55" s="107"/>
    </row>
    <row r="56" spans="1:4" x14ac:dyDescent="0.25">
      <c r="A56" s="106" t="s">
        <v>1746</v>
      </c>
      <c r="B56" s="106" t="s">
        <v>1747</v>
      </c>
      <c r="C56" s="33"/>
      <c r="D56" s="107"/>
    </row>
    <row r="57" spans="1:4" x14ac:dyDescent="0.25">
      <c r="A57" s="106" t="s">
        <v>1748</v>
      </c>
      <c r="B57" s="106" t="s">
        <v>1749</v>
      </c>
      <c r="C57" s="33"/>
      <c r="D57" s="107"/>
    </row>
    <row r="58" spans="1:4" x14ac:dyDescent="0.25">
      <c r="A58" s="103" t="s">
        <v>497</v>
      </c>
      <c r="B58" s="103"/>
      <c r="C58" s="33"/>
      <c r="D58" s="33"/>
    </row>
    <row r="59" spans="1:4" x14ac:dyDescent="0.25">
      <c r="A59" s="106" t="s">
        <v>350</v>
      </c>
      <c r="B59" s="106" t="s">
        <v>1750</v>
      </c>
      <c r="C59" s="33"/>
      <c r="D59" s="33"/>
    </row>
    <row r="60" spans="1:4" x14ac:dyDescent="0.25">
      <c r="A60" s="106" t="s">
        <v>352</v>
      </c>
      <c r="B60" s="106" t="s">
        <v>1751</v>
      </c>
      <c r="C60" s="33"/>
      <c r="D60" s="33"/>
    </row>
    <row r="61" spans="1:4" x14ac:dyDescent="0.25">
      <c r="A61" s="106" t="s">
        <v>392</v>
      </c>
      <c r="B61" s="106" t="s">
        <v>1752</v>
      </c>
      <c r="C61" s="33"/>
      <c r="D61" s="33"/>
    </row>
    <row r="62" spans="1:4" x14ac:dyDescent="0.25">
      <c r="A62" s="106" t="s">
        <v>397</v>
      </c>
      <c r="B62" s="106" t="s">
        <v>1753</v>
      </c>
      <c r="C62" s="33"/>
      <c r="D62" s="33"/>
    </row>
    <row r="63" spans="1:4" x14ac:dyDescent="0.25">
      <c r="A63" s="106" t="s">
        <v>395</v>
      </c>
      <c r="B63" s="106" t="s">
        <v>1754</v>
      </c>
      <c r="C63" s="33"/>
      <c r="D63" s="33"/>
    </row>
    <row r="64" spans="1:4" x14ac:dyDescent="0.25">
      <c r="A64" s="106" t="s">
        <v>398</v>
      </c>
      <c r="B64" s="106" t="s">
        <v>1755</v>
      </c>
      <c r="C64" s="33"/>
      <c r="D64" s="33"/>
    </row>
    <row r="65" spans="1:4" x14ac:dyDescent="0.25">
      <c r="A65" s="106" t="s">
        <v>353</v>
      </c>
      <c r="B65" s="106" t="s">
        <v>1756</v>
      </c>
      <c r="C65" s="33"/>
      <c r="D65" s="33"/>
    </row>
    <row r="66" spans="1:4" x14ac:dyDescent="0.25">
      <c r="A66" s="106" t="s">
        <v>354</v>
      </c>
      <c r="B66" s="106" t="s">
        <v>1757</v>
      </c>
      <c r="C66" s="33"/>
      <c r="D66" s="33"/>
    </row>
    <row r="67" spans="1:4" x14ac:dyDescent="0.25">
      <c r="A67" s="106" t="s">
        <v>351</v>
      </c>
      <c r="B67" s="106" t="s">
        <v>1758</v>
      </c>
      <c r="C67" s="33"/>
      <c r="D67" s="33"/>
    </row>
    <row r="68" spans="1:4" x14ac:dyDescent="0.25">
      <c r="A68" s="106" t="s">
        <v>394</v>
      </c>
      <c r="B68" s="106" t="s">
        <v>1759</v>
      </c>
      <c r="C68" s="33"/>
      <c r="D68" s="33"/>
    </row>
    <row r="69" spans="1:4" x14ac:dyDescent="0.25">
      <c r="A69" s="106" t="s">
        <v>399</v>
      </c>
      <c r="B69" s="106" t="s">
        <v>1760</v>
      </c>
      <c r="C69" s="33"/>
      <c r="D69" s="33"/>
    </row>
    <row r="70" spans="1:4" x14ac:dyDescent="0.25">
      <c r="A70" s="106" t="s">
        <v>355</v>
      </c>
      <c r="B70" s="106" t="s">
        <v>1761</v>
      </c>
      <c r="C70" s="33"/>
      <c r="D70" s="33"/>
    </row>
    <row r="71" spans="1:4" x14ac:dyDescent="0.25">
      <c r="A71" s="106" t="s">
        <v>356</v>
      </c>
      <c r="B71" s="106" t="s">
        <v>1762</v>
      </c>
      <c r="C71" s="33"/>
      <c r="D71" s="33"/>
    </row>
    <row r="72" spans="1:4" x14ac:dyDescent="0.25">
      <c r="A72" s="106" t="s">
        <v>348</v>
      </c>
      <c r="B72" s="106" t="s">
        <v>1763</v>
      </c>
      <c r="C72" s="33"/>
      <c r="D72" s="33"/>
    </row>
    <row r="73" spans="1:4" x14ac:dyDescent="0.25">
      <c r="A73" s="106" t="s">
        <v>393</v>
      </c>
      <c r="B73" s="106" t="s">
        <v>1764</v>
      </c>
      <c r="C73" s="33"/>
      <c r="D73" s="33"/>
    </row>
    <row r="74" spans="1:4" x14ac:dyDescent="0.25">
      <c r="A74" s="106" t="s">
        <v>349</v>
      </c>
      <c r="B74" s="106" t="s">
        <v>1765</v>
      </c>
      <c r="C74" s="33"/>
      <c r="D74" s="33"/>
    </row>
    <row r="75" spans="1:4" x14ac:dyDescent="0.25">
      <c r="A75" s="108" t="s">
        <v>396</v>
      </c>
      <c r="B75" s="108" t="s">
        <v>1766</v>
      </c>
      <c r="C75" s="33"/>
      <c r="D75" s="33"/>
    </row>
  </sheetData>
  <sheetProtection formatColumns="0" formatRows="0"/>
  <phoneticPr fontId="30" type="noConversion"/>
  <hyperlinks>
    <hyperlink ref="A1" location="TOC!A1" display="Table of Contents" xr:uid="{80C9F2A3-AFEF-4204-91E4-15CF808D23B7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5"/>
  <dimension ref="A1:U129"/>
  <sheetViews>
    <sheetView workbookViewId="0"/>
  </sheetViews>
  <sheetFormatPr defaultColWidth="8.7109375" defaultRowHeight="15" x14ac:dyDescent="0.25"/>
  <cols>
    <col min="1" max="1" width="35" customWidth="1"/>
    <col min="2" max="18" width="10.7109375" style="9" customWidth="1"/>
    <col min="20" max="20" width="12.140625" hidden="1" customWidth="1"/>
    <col min="21" max="21" width="8.7109375" hidden="1" customWidth="1"/>
  </cols>
  <sheetData>
    <row r="1" spans="1:21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106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34" t="s">
        <v>156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34" t="s">
        <v>157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65" t="s">
        <v>566</v>
      </c>
      <c r="B6" s="109">
        <v>3</v>
      </c>
      <c r="C6" s="109" t="s">
        <v>392</v>
      </c>
      <c r="D6" s="109" t="s">
        <v>393</v>
      </c>
      <c r="E6" s="109" t="s">
        <v>349</v>
      </c>
      <c r="F6" s="109" t="s">
        <v>350</v>
      </c>
      <c r="G6" s="109" t="s">
        <v>351</v>
      </c>
      <c r="H6" s="109" t="s">
        <v>352</v>
      </c>
      <c r="I6" s="109" t="s">
        <v>394</v>
      </c>
      <c r="J6" s="109" t="s">
        <v>353</v>
      </c>
      <c r="K6" s="109" t="s">
        <v>395</v>
      </c>
      <c r="L6" s="109" t="s">
        <v>396</v>
      </c>
      <c r="M6" s="109" t="s">
        <v>397</v>
      </c>
      <c r="N6" s="109" t="s">
        <v>398</v>
      </c>
      <c r="O6" s="109" t="s">
        <v>399</v>
      </c>
      <c r="P6" s="109" t="s">
        <v>354</v>
      </c>
      <c r="Q6" s="109" t="s">
        <v>355</v>
      </c>
      <c r="R6" s="109" t="s">
        <v>356</v>
      </c>
      <c r="S6" s="33"/>
      <c r="T6" s="33"/>
      <c r="U6" s="33"/>
    </row>
    <row r="7" spans="1:21" x14ac:dyDescent="0.25">
      <c r="A7" t="s">
        <v>3232</v>
      </c>
      <c r="B7" s="77">
        <v>0.74</v>
      </c>
      <c r="C7" s="77">
        <v>0.92</v>
      </c>
      <c r="D7" s="77">
        <v>0.9</v>
      </c>
      <c r="E7" s="77">
        <v>0.88</v>
      </c>
      <c r="F7" s="77">
        <v>0.75</v>
      </c>
      <c r="G7" s="77">
        <v>0.87</v>
      </c>
      <c r="H7" s="77">
        <v>0.76</v>
      </c>
      <c r="I7" s="77">
        <v>0.87</v>
      </c>
      <c r="J7" s="77">
        <v>0.93</v>
      </c>
      <c r="K7" s="77">
        <v>0.92</v>
      </c>
      <c r="L7" s="77">
        <v>0.74</v>
      </c>
      <c r="M7" s="77">
        <v>0.77</v>
      </c>
      <c r="N7" s="77">
        <v>0.7</v>
      </c>
      <c r="O7" s="77">
        <v>0.62</v>
      </c>
      <c r="P7" s="77">
        <v>0.87</v>
      </c>
      <c r="Q7" s="77">
        <v>0.89</v>
      </c>
      <c r="R7" s="77">
        <v>0.71</v>
      </c>
      <c r="S7" s="33"/>
      <c r="T7" s="33" t="s">
        <v>567</v>
      </c>
      <c r="U7" t="str">
        <f>VLOOKUP(T7,GroupLabels!$E$2:$H$145,3,0)</f>
        <v>Albania - Albanian</v>
      </c>
    </row>
    <row r="8" spans="1:21" x14ac:dyDescent="0.25">
      <c r="A8" t="s">
        <v>3113</v>
      </c>
      <c r="B8" s="77">
        <v>0.79</v>
      </c>
      <c r="C8" s="77">
        <v>0.87</v>
      </c>
      <c r="D8" s="77">
        <v>0.93</v>
      </c>
      <c r="E8" s="77">
        <v>0.91</v>
      </c>
      <c r="F8" s="77">
        <v>0.73</v>
      </c>
      <c r="G8" s="77">
        <v>0.84</v>
      </c>
      <c r="H8" s="77">
        <v>0.74</v>
      </c>
      <c r="I8" s="77">
        <v>0.64</v>
      </c>
      <c r="J8" s="77">
        <v>0.94</v>
      </c>
      <c r="K8" s="77">
        <v>0.9</v>
      </c>
      <c r="L8" s="77">
        <v>0.82</v>
      </c>
      <c r="M8" s="77">
        <v>0.82</v>
      </c>
      <c r="N8" s="77">
        <v>0.84</v>
      </c>
      <c r="O8" s="77">
        <v>0.71</v>
      </c>
      <c r="P8" s="77">
        <v>0.68</v>
      </c>
      <c r="Q8" s="77">
        <v>0.85</v>
      </c>
      <c r="R8" s="77">
        <v>0.77</v>
      </c>
      <c r="S8" s="33"/>
      <c r="T8" s="33" t="s">
        <v>569</v>
      </c>
      <c r="U8" t="str">
        <f>VLOOKUP(T8,GroupLabels!$E$2:$H$145,3,0)</f>
        <v>Armenia - Armenian</v>
      </c>
    </row>
    <row r="9" spans="1:21" x14ac:dyDescent="0.25">
      <c r="A9" t="s">
        <v>2982</v>
      </c>
      <c r="B9" s="77">
        <v>0.71</v>
      </c>
      <c r="C9" s="77">
        <v>0.8</v>
      </c>
      <c r="D9" s="77">
        <v>0.92</v>
      </c>
      <c r="E9" s="77">
        <v>0.93</v>
      </c>
      <c r="F9" s="77">
        <v>0.82</v>
      </c>
      <c r="G9" s="77">
        <v>0.87</v>
      </c>
      <c r="H9" s="77">
        <v>0.65</v>
      </c>
      <c r="I9" s="77">
        <v>0.8</v>
      </c>
      <c r="J9" s="77">
        <v>0.85</v>
      </c>
      <c r="K9" s="77">
        <v>0.9</v>
      </c>
      <c r="L9" s="77">
        <v>0.74</v>
      </c>
      <c r="M9" s="77">
        <v>0.86</v>
      </c>
      <c r="N9" s="77">
        <v>0.87</v>
      </c>
      <c r="O9" s="77" t="s">
        <v>3476</v>
      </c>
      <c r="P9" s="77">
        <v>0.86</v>
      </c>
      <c r="Q9" s="77">
        <v>0.88</v>
      </c>
      <c r="R9" s="77">
        <v>0.73</v>
      </c>
      <c r="S9" s="33"/>
      <c r="T9" s="33" t="s">
        <v>570</v>
      </c>
      <c r="U9" t="str">
        <f>VLOOKUP(T9,GroupLabels!$E$2:$H$145,3,0)</f>
        <v>Australia - English</v>
      </c>
    </row>
    <row r="10" spans="1:21" x14ac:dyDescent="0.25">
      <c r="A10" t="s">
        <v>2960</v>
      </c>
      <c r="B10" s="77">
        <v>0.77</v>
      </c>
      <c r="C10" s="77">
        <v>0.74</v>
      </c>
      <c r="D10" s="77">
        <v>0.87</v>
      </c>
      <c r="E10" s="77">
        <v>0.9</v>
      </c>
      <c r="F10" s="77">
        <v>0.76</v>
      </c>
      <c r="G10" s="77">
        <v>0.89</v>
      </c>
      <c r="H10" s="77">
        <v>0.78</v>
      </c>
      <c r="I10" s="77">
        <v>0.69</v>
      </c>
      <c r="J10" s="77">
        <v>0.89</v>
      </c>
      <c r="K10" s="77">
        <v>0.89</v>
      </c>
      <c r="L10" s="77">
        <v>0.7</v>
      </c>
      <c r="M10" s="77">
        <v>0.79</v>
      </c>
      <c r="N10" s="77">
        <v>0.91</v>
      </c>
      <c r="O10" s="77">
        <v>0.64</v>
      </c>
      <c r="P10" s="77">
        <v>0.75</v>
      </c>
      <c r="Q10" s="77">
        <v>0.86</v>
      </c>
      <c r="R10" s="77">
        <v>0.78</v>
      </c>
      <c r="S10" s="33"/>
      <c r="T10" s="33" t="s">
        <v>571</v>
      </c>
      <c r="U10" t="str">
        <f>VLOOKUP(T10,GroupLabels!$E$2:$H$145,3,0)</f>
        <v>Austria - German</v>
      </c>
    </row>
    <row r="11" spans="1:21" x14ac:dyDescent="0.25">
      <c r="A11" t="s">
        <v>2923</v>
      </c>
      <c r="B11" s="77">
        <v>0.8</v>
      </c>
      <c r="C11" s="77">
        <v>0.91</v>
      </c>
      <c r="D11" s="77">
        <v>0.9</v>
      </c>
      <c r="E11" s="77">
        <v>0.95</v>
      </c>
      <c r="F11" s="77">
        <v>0.74</v>
      </c>
      <c r="G11" s="77">
        <v>0.88</v>
      </c>
      <c r="H11" s="77">
        <v>0.77</v>
      </c>
      <c r="I11" s="73">
        <v>0.86</v>
      </c>
      <c r="J11" s="77">
        <v>0.92</v>
      </c>
      <c r="K11" s="73">
        <v>0.9</v>
      </c>
      <c r="L11" s="77">
        <v>0.85</v>
      </c>
      <c r="M11" s="77">
        <v>0.82</v>
      </c>
      <c r="N11" s="77">
        <v>0.88</v>
      </c>
      <c r="O11" s="77">
        <v>0.78</v>
      </c>
      <c r="P11" s="77">
        <v>0.81</v>
      </c>
      <c r="Q11" s="77">
        <v>0.74</v>
      </c>
      <c r="R11" s="77">
        <v>0.81</v>
      </c>
      <c r="S11" s="33"/>
      <c r="T11" s="33" t="s">
        <v>572</v>
      </c>
      <c r="U11" t="str">
        <f>VLOOKUP(T11,GroupLabels!$E$2:$H$145,3,0)</f>
        <v>Azerbaijan - Azerbaijani</v>
      </c>
    </row>
    <row r="12" spans="1:21" x14ac:dyDescent="0.25">
      <c r="A12" t="s">
        <v>3185</v>
      </c>
      <c r="B12" s="77">
        <v>0.77</v>
      </c>
      <c r="C12" s="77">
        <v>0.64</v>
      </c>
      <c r="D12" s="77">
        <v>0.86</v>
      </c>
      <c r="E12" s="77">
        <v>0.89</v>
      </c>
      <c r="F12" s="77">
        <v>0.73</v>
      </c>
      <c r="G12" s="77">
        <v>0.78</v>
      </c>
      <c r="H12" s="77">
        <v>0.64</v>
      </c>
      <c r="I12" s="77" t="s">
        <v>3476</v>
      </c>
      <c r="J12" s="77">
        <v>0.69</v>
      </c>
      <c r="K12" s="2">
        <v>0.88582943350280896</v>
      </c>
      <c r="L12" s="77">
        <v>0.61</v>
      </c>
      <c r="M12" s="77">
        <v>0.82</v>
      </c>
      <c r="N12" s="77">
        <v>0.9</v>
      </c>
      <c r="O12" s="77">
        <v>0.69</v>
      </c>
      <c r="P12" s="77">
        <v>0.62</v>
      </c>
      <c r="Q12" s="77">
        <v>0.91</v>
      </c>
      <c r="R12" s="77">
        <v>0.73</v>
      </c>
      <c r="S12" s="33"/>
      <c r="T12" s="33" t="s">
        <v>574</v>
      </c>
      <c r="U12" t="str">
        <f>VLOOKUP(T12,GroupLabels!$E$2:$H$145,3,0)</f>
        <v>Belgium (Flemish Community) - Dutch</v>
      </c>
    </row>
    <row r="13" spans="1:21" x14ac:dyDescent="0.25">
      <c r="A13" t="s">
        <v>3479</v>
      </c>
      <c r="B13" s="77">
        <v>0.69</v>
      </c>
      <c r="C13" s="77">
        <v>0.71</v>
      </c>
      <c r="D13" s="77">
        <v>0.76</v>
      </c>
      <c r="E13" s="77">
        <v>0.86</v>
      </c>
      <c r="F13" s="77">
        <v>0.73</v>
      </c>
      <c r="G13" s="77">
        <v>0.88</v>
      </c>
      <c r="H13" s="77">
        <v>0.72</v>
      </c>
      <c r="I13" s="77">
        <v>0.7</v>
      </c>
      <c r="J13" s="77">
        <v>0.87</v>
      </c>
      <c r="K13" s="77">
        <v>0.88</v>
      </c>
      <c r="L13" s="77">
        <v>0.67</v>
      </c>
      <c r="M13" s="77">
        <v>0.78</v>
      </c>
      <c r="N13" s="77">
        <v>0.88</v>
      </c>
      <c r="O13" s="77">
        <v>0.72</v>
      </c>
      <c r="P13" s="77">
        <v>0.75</v>
      </c>
      <c r="Q13" s="77">
        <v>0.87</v>
      </c>
      <c r="R13" s="77">
        <v>0.68</v>
      </c>
      <c r="S13" s="33"/>
      <c r="T13" s="33" t="s">
        <v>575</v>
      </c>
      <c r="U13" t="str">
        <f>VLOOKUP(T13,GroupLabels!$E$2:$H$145,3,0)</f>
        <v>Belgium (French Community) - French</v>
      </c>
    </row>
    <row r="14" spans="1:21" x14ac:dyDescent="0.25">
      <c r="A14" t="s">
        <v>3199</v>
      </c>
      <c r="B14" s="77">
        <v>0.75</v>
      </c>
      <c r="C14" s="77">
        <v>0.9</v>
      </c>
      <c r="D14" s="77">
        <v>0.95</v>
      </c>
      <c r="E14" s="77">
        <v>0.93</v>
      </c>
      <c r="F14" s="77">
        <v>0.84</v>
      </c>
      <c r="G14" s="77">
        <v>0.89</v>
      </c>
      <c r="H14" s="77">
        <v>0.84</v>
      </c>
      <c r="I14" s="77">
        <v>0.81</v>
      </c>
      <c r="J14" s="77">
        <v>0.94</v>
      </c>
      <c r="K14" s="77">
        <v>0.93</v>
      </c>
      <c r="L14" s="77">
        <v>0.72</v>
      </c>
      <c r="M14" s="77">
        <v>0.84</v>
      </c>
      <c r="N14" s="77">
        <v>0.93</v>
      </c>
      <c r="O14" s="77">
        <v>0.78</v>
      </c>
      <c r="P14" s="77">
        <v>0.8</v>
      </c>
      <c r="Q14" s="77">
        <v>0.81</v>
      </c>
      <c r="R14" s="77">
        <v>0.77</v>
      </c>
      <c r="S14" s="33"/>
      <c r="T14" s="33" t="s">
        <v>577</v>
      </c>
      <c r="U14" t="str">
        <f>VLOOKUP(T14,GroupLabels!$E$2:$H$145,3,0)</f>
        <v>Brazil - Portuguese</v>
      </c>
    </row>
    <row r="15" spans="1:21" x14ac:dyDescent="0.25">
      <c r="A15" t="s">
        <v>2985</v>
      </c>
      <c r="B15" s="77">
        <v>0.69</v>
      </c>
      <c r="C15" s="77">
        <v>0.78</v>
      </c>
      <c r="D15" s="77">
        <v>0.91</v>
      </c>
      <c r="E15" s="77">
        <v>0.9</v>
      </c>
      <c r="F15" s="77">
        <v>0.77</v>
      </c>
      <c r="G15" s="77">
        <v>0.92</v>
      </c>
      <c r="H15" s="77">
        <v>0.71</v>
      </c>
      <c r="I15" s="77">
        <v>0.41</v>
      </c>
      <c r="J15" s="77">
        <v>0.86</v>
      </c>
      <c r="K15" s="77">
        <v>0.92</v>
      </c>
      <c r="L15" s="77">
        <v>0.46</v>
      </c>
      <c r="M15" s="77">
        <v>0.88</v>
      </c>
      <c r="N15" s="77">
        <v>0.88</v>
      </c>
      <c r="O15" s="77">
        <v>0.73</v>
      </c>
      <c r="P15" s="77">
        <v>0.82</v>
      </c>
      <c r="Q15" s="77">
        <v>0.79</v>
      </c>
      <c r="R15" s="77">
        <v>0.77</v>
      </c>
      <c r="S15" s="33"/>
      <c r="T15" s="33" t="s">
        <v>578</v>
      </c>
      <c r="U15" t="str">
        <f>VLOOKUP(T15,GroupLabels!$E$2:$H$145,3,0)</f>
        <v>Brunei Darussalam - English</v>
      </c>
    </row>
    <row r="16" spans="1:21" x14ac:dyDescent="0.25">
      <c r="A16" t="s">
        <v>3277</v>
      </c>
      <c r="B16" s="77">
        <v>0.78</v>
      </c>
      <c r="C16" s="77">
        <v>0.87</v>
      </c>
      <c r="D16" s="77">
        <v>0.92</v>
      </c>
      <c r="E16" s="77">
        <v>0.96</v>
      </c>
      <c r="F16" s="77">
        <v>0.86</v>
      </c>
      <c r="G16" s="77">
        <v>0.94</v>
      </c>
      <c r="H16" s="77">
        <v>0.78</v>
      </c>
      <c r="I16" s="77">
        <v>0.86</v>
      </c>
      <c r="J16" s="77">
        <v>0.89</v>
      </c>
      <c r="K16" s="77">
        <v>0.93</v>
      </c>
      <c r="L16" s="77">
        <v>0.9</v>
      </c>
      <c r="M16" s="77">
        <v>0.86</v>
      </c>
      <c r="N16" s="77">
        <v>0.94</v>
      </c>
      <c r="O16" s="77">
        <v>0.64</v>
      </c>
      <c r="P16" s="77">
        <v>0.92</v>
      </c>
      <c r="Q16" s="77">
        <v>0.68</v>
      </c>
      <c r="R16" s="77">
        <v>0.77</v>
      </c>
      <c r="S16" s="33"/>
      <c r="T16" s="33" t="s">
        <v>579</v>
      </c>
      <c r="U16" t="str">
        <f>VLOOKUP(T16,GroupLabels!$E$2:$H$145,3,0)</f>
        <v>B-S-J-G (China) - Chinese*</v>
      </c>
    </row>
    <row r="17" spans="1:21" x14ac:dyDescent="0.25">
      <c r="A17" t="s">
        <v>2928</v>
      </c>
      <c r="B17" s="77">
        <v>0.75</v>
      </c>
      <c r="C17" s="77">
        <v>0.73</v>
      </c>
      <c r="D17" s="77">
        <v>0.96</v>
      </c>
      <c r="E17" s="77">
        <v>0.91</v>
      </c>
      <c r="F17" s="77">
        <v>0.84</v>
      </c>
      <c r="G17" s="77">
        <v>0.82</v>
      </c>
      <c r="H17" s="77">
        <v>0.82</v>
      </c>
      <c r="I17" s="77">
        <v>0.82</v>
      </c>
      <c r="J17" s="77">
        <v>0.94</v>
      </c>
      <c r="K17" s="77">
        <v>0.91</v>
      </c>
      <c r="L17" s="77">
        <v>0.82</v>
      </c>
      <c r="M17" s="77">
        <v>0.87</v>
      </c>
      <c r="N17" s="77">
        <v>0.85</v>
      </c>
      <c r="O17" s="77">
        <v>0.75</v>
      </c>
      <c r="P17" s="77">
        <v>0.83</v>
      </c>
      <c r="Q17" s="77">
        <v>0.91</v>
      </c>
      <c r="R17" s="77">
        <v>0.87</v>
      </c>
      <c r="S17" s="33"/>
      <c r="T17" s="33" t="s">
        <v>580</v>
      </c>
      <c r="U17" t="str">
        <f>VLOOKUP(T17,GroupLabels!$E$2:$H$145,3,0)</f>
        <v>Bulgaria - Bulgarian</v>
      </c>
    </row>
    <row r="18" spans="1:21" x14ac:dyDescent="0.25">
      <c r="A18" t="s">
        <v>769</v>
      </c>
      <c r="B18" s="77">
        <v>0.75</v>
      </c>
      <c r="C18" s="77">
        <v>0.77</v>
      </c>
      <c r="D18" s="77">
        <v>0.92</v>
      </c>
      <c r="E18" s="77">
        <v>0.9</v>
      </c>
      <c r="F18" s="77">
        <v>0.81</v>
      </c>
      <c r="G18" s="77">
        <v>0.86</v>
      </c>
      <c r="H18" s="77">
        <v>0.72</v>
      </c>
      <c r="I18" s="77">
        <v>0.79</v>
      </c>
      <c r="J18" s="77">
        <v>0.82</v>
      </c>
      <c r="K18" s="77">
        <v>0.87</v>
      </c>
      <c r="L18" s="77">
        <v>0.72</v>
      </c>
      <c r="M18" s="77">
        <v>0.86</v>
      </c>
      <c r="N18" s="77">
        <v>0.91</v>
      </c>
      <c r="O18" s="77">
        <v>0.68</v>
      </c>
      <c r="P18" s="77">
        <v>0.82</v>
      </c>
      <c r="Q18" s="77">
        <v>0.89</v>
      </c>
      <c r="R18" s="77">
        <v>0.7</v>
      </c>
      <c r="S18" s="33"/>
      <c r="T18" s="33" t="s">
        <v>583</v>
      </c>
      <c r="U18" t="str">
        <f>VLOOKUP(T18,GroupLabels!$E$2:$H$145,3,0)</f>
        <v>Canada - English</v>
      </c>
    </row>
    <row r="19" spans="1:21" x14ac:dyDescent="0.25">
      <c r="A19" t="s">
        <v>770</v>
      </c>
      <c r="B19" s="77">
        <v>0.74</v>
      </c>
      <c r="C19" s="77">
        <v>0.73</v>
      </c>
      <c r="D19" s="77">
        <v>0.84</v>
      </c>
      <c r="E19" s="77">
        <v>0.91</v>
      </c>
      <c r="F19" s="77">
        <v>0.7</v>
      </c>
      <c r="G19" s="77">
        <v>0.88</v>
      </c>
      <c r="H19" s="77">
        <v>0.7</v>
      </c>
      <c r="I19" s="77">
        <v>0.69</v>
      </c>
      <c r="J19" s="77">
        <v>0.81</v>
      </c>
      <c r="K19" s="77">
        <v>0.9</v>
      </c>
      <c r="L19" s="77">
        <v>0.67</v>
      </c>
      <c r="M19" s="77">
        <v>0.81</v>
      </c>
      <c r="N19" s="77">
        <v>0.92</v>
      </c>
      <c r="O19" s="77">
        <v>0.7</v>
      </c>
      <c r="P19" s="77">
        <v>0.85</v>
      </c>
      <c r="Q19" s="77">
        <v>0.85</v>
      </c>
      <c r="R19" s="77">
        <v>0.64</v>
      </c>
      <c r="S19" s="33"/>
      <c r="T19" s="33" t="s">
        <v>584</v>
      </c>
      <c r="U19" t="str">
        <f>VLOOKUP(T19,GroupLabels!$E$2:$H$145,3,0)</f>
        <v>Canada - French</v>
      </c>
    </row>
    <row r="20" spans="1:21" x14ac:dyDescent="0.25">
      <c r="A20" t="s">
        <v>3040</v>
      </c>
      <c r="B20" s="77">
        <v>0.72</v>
      </c>
      <c r="C20" s="77">
        <v>0.92</v>
      </c>
      <c r="D20" s="77">
        <v>0.91</v>
      </c>
      <c r="E20" s="77">
        <v>0.93</v>
      </c>
      <c r="F20" s="77">
        <v>0.85</v>
      </c>
      <c r="G20" s="77">
        <v>0.93</v>
      </c>
      <c r="H20" s="77">
        <v>0.8</v>
      </c>
      <c r="I20" s="77">
        <v>0.89</v>
      </c>
      <c r="J20" s="77">
        <v>0.94</v>
      </c>
      <c r="K20" s="73">
        <v>0.92</v>
      </c>
      <c r="L20" s="77">
        <v>0.75</v>
      </c>
      <c r="M20" s="77">
        <v>0.9</v>
      </c>
      <c r="N20" s="77">
        <v>0.88</v>
      </c>
      <c r="O20" s="77">
        <v>0.75</v>
      </c>
      <c r="P20" s="77">
        <v>0.82</v>
      </c>
      <c r="Q20" s="77">
        <v>0.77</v>
      </c>
      <c r="R20" s="77">
        <v>0.65</v>
      </c>
      <c r="S20" s="33"/>
      <c r="T20" s="33" t="s">
        <v>586</v>
      </c>
      <c r="U20" t="str">
        <f>VLOOKUP(T20,GroupLabels!$E$2:$H$145,3,0)</f>
        <v>Colombia - Spanish</v>
      </c>
    </row>
    <row r="21" spans="1:21" x14ac:dyDescent="0.25">
      <c r="A21" t="s">
        <v>763</v>
      </c>
      <c r="B21" s="77">
        <v>0.55000000000000004</v>
      </c>
      <c r="C21" s="77">
        <v>0.91</v>
      </c>
      <c r="D21" s="77">
        <v>0.84</v>
      </c>
      <c r="E21" s="77">
        <v>0.95</v>
      </c>
      <c r="F21" s="77">
        <v>0.82</v>
      </c>
      <c r="G21" s="77">
        <v>0.9</v>
      </c>
      <c r="H21" s="77">
        <v>0.8</v>
      </c>
      <c r="I21" s="77">
        <v>0.42</v>
      </c>
      <c r="J21" s="77">
        <v>0.9</v>
      </c>
      <c r="K21" s="77">
        <v>0.93</v>
      </c>
      <c r="L21" s="77">
        <v>0.4</v>
      </c>
      <c r="M21" s="77">
        <v>0.89</v>
      </c>
      <c r="N21" s="77">
        <v>0.91</v>
      </c>
      <c r="O21" s="77">
        <v>0.77</v>
      </c>
      <c r="P21" s="77">
        <v>0.82</v>
      </c>
      <c r="Q21" s="77">
        <v>0.95</v>
      </c>
      <c r="R21" s="77">
        <v>0.84</v>
      </c>
      <c r="S21" s="33"/>
      <c r="T21" s="33" t="s">
        <v>587</v>
      </c>
      <c r="U21" t="str">
        <f>VLOOKUP(T21,GroupLabels!$E$2:$H$145,3,0)</f>
        <v>Costa Rica - Spanish</v>
      </c>
    </row>
    <row r="22" spans="1:21" x14ac:dyDescent="0.25">
      <c r="A22" t="s">
        <v>3098</v>
      </c>
      <c r="B22" s="77">
        <v>0.63</v>
      </c>
      <c r="C22" s="77">
        <v>0.84</v>
      </c>
      <c r="D22" s="77">
        <v>0.9</v>
      </c>
      <c r="E22" s="77">
        <v>0.91</v>
      </c>
      <c r="F22" s="77">
        <v>0.86</v>
      </c>
      <c r="G22" s="77">
        <v>0.82</v>
      </c>
      <c r="H22" s="77">
        <v>0.68</v>
      </c>
      <c r="I22" s="77">
        <v>0.71</v>
      </c>
      <c r="J22" s="73">
        <v>0.94</v>
      </c>
      <c r="K22" s="2">
        <v>0.93959659931347683</v>
      </c>
      <c r="L22" s="77">
        <v>0.59</v>
      </c>
      <c r="M22" s="77">
        <v>0.87</v>
      </c>
      <c r="N22" s="77">
        <v>0.91</v>
      </c>
      <c r="O22" s="77">
        <v>0.66</v>
      </c>
      <c r="P22" s="77">
        <v>0.74</v>
      </c>
      <c r="Q22" s="77">
        <v>0.9</v>
      </c>
      <c r="R22" s="77">
        <v>0.78</v>
      </c>
      <c r="S22" s="33"/>
      <c r="T22" s="33" t="s">
        <v>588</v>
      </c>
      <c r="U22" t="str">
        <f>VLOOKUP(T22,GroupLabels!$E$2:$H$145,3,0)</f>
        <v>Croatia - Croatian</v>
      </c>
    </row>
    <row r="23" spans="1:21" x14ac:dyDescent="0.25">
      <c r="A23" t="s">
        <v>2988</v>
      </c>
      <c r="B23" s="77">
        <v>0.78</v>
      </c>
      <c r="C23" s="77">
        <v>0.61</v>
      </c>
      <c r="D23" s="77">
        <v>0.95</v>
      </c>
      <c r="E23" s="77">
        <v>0.95</v>
      </c>
      <c r="F23" s="77">
        <v>0.78</v>
      </c>
      <c r="G23" s="77">
        <v>0.62</v>
      </c>
      <c r="H23" s="77">
        <v>0.72</v>
      </c>
      <c r="I23" s="77">
        <v>0.56000000000000005</v>
      </c>
      <c r="J23" s="77">
        <v>0.62</v>
      </c>
      <c r="K23" s="77">
        <v>0.87</v>
      </c>
      <c r="L23" s="73">
        <v>0.75</v>
      </c>
      <c r="M23" s="77">
        <v>0.85</v>
      </c>
      <c r="N23" s="77">
        <v>0.87</v>
      </c>
      <c r="O23" s="77">
        <v>0.84</v>
      </c>
      <c r="P23" s="77">
        <v>0.87</v>
      </c>
      <c r="Q23" s="77">
        <v>0.89</v>
      </c>
      <c r="R23" s="77">
        <v>0.51</v>
      </c>
      <c r="S23" s="33"/>
      <c r="T23" s="33" t="s">
        <v>589</v>
      </c>
      <c r="U23" t="str">
        <f>VLOOKUP(T23,GroupLabels!$E$2:$H$145,3,0)</f>
        <v>Cyprus - English*</v>
      </c>
    </row>
    <row r="24" spans="1:21" x14ac:dyDescent="0.25">
      <c r="A24" t="s">
        <v>2974</v>
      </c>
      <c r="B24" s="77">
        <v>0.61</v>
      </c>
      <c r="C24" s="77">
        <v>0.74</v>
      </c>
      <c r="D24" s="77">
        <v>0.94</v>
      </c>
      <c r="E24" s="77">
        <v>0.91</v>
      </c>
      <c r="F24" s="77">
        <v>0.91</v>
      </c>
      <c r="G24" s="77">
        <v>0.89</v>
      </c>
      <c r="H24" s="77">
        <v>0.84</v>
      </c>
      <c r="I24" s="77">
        <v>0.55000000000000004</v>
      </c>
      <c r="J24" s="77">
        <v>0.94</v>
      </c>
      <c r="K24" s="77">
        <v>0.85</v>
      </c>
      <c r="L24" s="77">
        <v>0.78</v>
      </c>
      <c r="M24" s="77">
        <v>0.9</v>
      </c>
      <c r="N24" s="77">
        <v>0.92</v>
      </c>
      <c r="O24" s="77">
        <v>0.76</v>
      </c>
      <c r="P24" s="77">
        <v>0.73</v>
      </c>
      <c r="Q24" s="77">
        <v>0.83</v>
      </c>
      <c r="R24" s="77">
        <v>0.78</v>
      </c>
      <c r="S24" s="33"/>
      <c r="T24" s="33" t="s">
        <v>590</v>
      </c>
      <c r="U24" t="str">
        <f>VLOOKUP(T24,GroupLabels!$E$2:$H$145,3,0)</f>
        <v>Cyprus - Modern Greek*</v>
      </c>
    </row>
    <row r="25" spans="1:21" x14ac:dyDescent="0.25">
      <c r="A25" t="s">
        <v>2946</v>
      </c>
      <c r="B25" s="77">
        <v>0.67</v>
      </c>
      <c r="C25" s="77">
        <v>0.75</v>
      </c>
      <c r="D25" s="77">
        <v>0.87</v>
      </c>
      <c r="E25" s="77">
        <v>0.87</v>
      </c>
      <c r="F25" s="77">
        <v>0.75</v>
      </c>
      <c r="G25" s="77">
        <v>0.78</v>
      </c>
      <c r="H25" s="77">
        <v>0.66</v>
      </c>
      <c r="I25" s="77">
        <v>0.7</v>
      </c>
      <c r="J25" s="77">
        <v>0.9</v>
      </c>
      <c r="K25" s="77">
        <v>0.89</v>
      </c>
      <c r="L25" s="77">
        <v>0.69</v>
      </c>
      <c r="M25" s="77">
        <v>0.8</v>
      </c>
      <c r="N25" s="77">
        <v>0.88</v>
      </c>
      <c r="O25" s="77">
        <v>0.77</v>
      </c>
      <c r="P25" s="77">
        <v>0.77</v>
      </c>
      <c r="Q25" s="77">
        <v>0.87</v>
      </c>
      <c r="R25" s="77">
        <v>0.71</v>
      </c>
      <c r="S25" s="33"/>
      <c r="T25" s="33" t="s">
        <v>591</v>
      </c>
      <c r="U25" t="str">
        <f>VLOOKUP(T25,GroupLabels!$E$2:$H$145,3,0)</f>
        <v>Czechia - Czech</v>
      </c>
    </row>
    <row r="26" spans="1:21" x14ac:dyDescent="0.25">
      <c r="A26" t="s">
        <v>765</v>
      </c>
      <c r="B26" s="77">
        <v>0.71</v>
      </c>
      <c r="C26" s="77">
        <v>0.85</v>
      </c>
      <c r="D26" s="77">
        <v>0.97</v>
      </c>
      <c r="E26" s="77">
        <v>0.93</v>
      </c>
      <c r="F26" s="77">
        <v>0.79</v>
      </c>
      <c r="G26" s="77">
        <v>0.81</v>
      </c>
      <c r="H26" s="77">
        <v>0.74</v>
      </c>
      <c r="I26" s="77">
        <v>0.47</v>
      </c>
      <c r="J26" s="77">
        <v>0.81</v>
      </c>
      <c r="K26" s="77">
        <v>0.83</v>
      </c>
      <c r="L26" s="77">
        <v>0.64</v>
      </c>
      <c r="M26" s="77">
        <v>0.73</v>
      </c>
      <c r="N26" s="77">
        <v>0.85</v>
      </c>
      <c r="O26" s="77">
        <v>0.74</v>
      </c>
      <c r="P26" s="77">
        <v>0.74</v>
      </c>
      <c r="Q26" s="77">
        <v>0.68</v>
      </c>
      <c r="R26" s="77">
        <v>0.73</v>
      </c>
      <c r="S26" s="33"/>
      <c r="T26" s="33" t="s">
        <v>592</v>
      </c>
      <c r="U26" t="str">
        <f>VLOOKUP(T26,GroupLabels!$E$2:$H$145,3,0)</f>
        <v>Denmark - Danish</v>
      </c>
    </row>
    <row r="27" spans="1:21" x14ac:dyDescent="0.25">
      <c r="A27" t="s">
        <v>766</v>
      </c>
      <c r="B27" s="77">
        <v>0.73</v>
      </c>
      <c r="C27" s="77">
        <v>0.84</v>
      </c>
      <c r="D27" s="77">
        <v>0.99</v>
      </c>
      <c r="E27" s="77">
        <v>0.71</v>
      </c>
      <c r="F27" s="77">
        <v>0.75</v>
      </c>
      <c r="G27" s="77">
        <v>0.74</v>
      </c>
      <c r="H27" s="77">
        <v>0.82</v>
      </c>
      <c r="I27" s="77">
        <v>0.63</v>
      </c>
      <c r="J27" s="77">
        <v>0.76</v>
      </c>
      <c r="K27" s="77">
        <v>0.76</v>
      </c>
      <c r="L27" s="77">
        <v>0.59</v>
      </c>
      <c r="M27" s="77">
        <v>0.82</v>
      </c>
      <c r="N27" s="77">
        <v>0.89</v>
      </c>
      <c r="O27" s="77">
        <v>0.57999999999999996</v>
      </c>
      <c r="P27" s="77">
        <v>0.66</v>
      </c>
      <c r="Q27" s="77">
        <v>0.5</v>
      </c>
      <c r="R27" s="77">
        <v>0.72</v>
      </c>
      <c r="S27" s="33"/>
      <c r="T27" s="33" t="s">
        <v>593</v>
      </c>
      <c r="U27" t="str">
        <f>VLOOKUP(T27,GroupLabels!$E$2:$H$145,3,0)</f>
        <v>Denmark - Faroese</v>
      </c>
    </row>
    <row r="28" spans="1:21" x14ac:dyDescent="0.25">
      <c r="A28" t="s">
        <v>3044</v>
      </c>
      <c r="B28" s="77">
        <v>0.77</v>
      </c>
      <c r="C28" s="77">
        <v>0.92</v>
      </c>
      <c r="D28" s="77">
        <v>0.94</v>
      </c>
      <c r="E28" s="77">
        <v>0.87</v>
      </c>
      <c r="F28" s="77">
        <v>0.77</v>
      </c>
      <c r="G28" s="77">
        <v>0.84</v>
      </c>
      <c r="H28" s="77">
        <v>0.8</v>
      </c>
      <c r="I28" s="77">
        <v>0.82</v>
      </c>
      <c r="J28" s="77">
        <v>0.81</v>
      </c>
      <c r="K28" s="77">
        <v>0.92</v>
      </c>
      <c r="L28" s="77">
        <v>0.69</v>
      </c>
      <c r="M28" s="77">
        <v>0.87</v>
      </c>
      <c r="N28" s="77">
        <v>0.85</v>
      </c>
      <c r="O28" s="77">
        <v>0.74</v>
      </c>
      <c r="P28" s="77">
        <v>0.72</v>
      </c>
      <c r="Q28" s="77">
        <v>0.83</v>
      </c>
      <c r="R28" s="77">
        <v>0.72</v>
      </c>
      <c r="S28" s="33"/>
      <c r="T28" s="33" t="s">
        <v>594</v>
      </c>
      <c r="U28" t="str">
        <f>VLOOKUP(T28,GroupLabels!$E$2:$H$145,3,0)</f>
        <v>Dominican Republic - Spanish</v>
      </c>
    </row>
    <row r="29" spans="1:21" x14ac:dyDescent="0.25">
      <c r="A29" t="s">
        <v>3046</v>
      </c>
      <c r="B29" s="77">
        <v>0.74</v>
      </c>
      <c r="C29" s="77">
        <v>0.92</v>
      </c>
      <c r="D29" s="77">
        <v>0.95</v>
      </c>
      <c r="E29" s="77">
        <v>0.92</v>
      </c>
      <c r="F29" s="77">
        <v>0.85</v>
      </c>
      <c r="G29" s="77">
        <v>0.89</v>
      </c>
      <c r="H29" s="77">
        <v>0.87</v>
      </c>
      <c r="I29" s="77">
        <v>0.9</v>
      </c>
      <c r="J29" s="77">
        <v>0.95</v>
      </c>
      <c r="K29" s="77">
        <v>0.92</v>
      </c>
      <c r="L29" s="77">
        <v>0.72</v>
      </c>
      <c r="M29" s="77">
        <v>0.85</v>
      </c>
      <c r="N29" s="77">
        <v>0.9</v>
      </c>
      <c r="O29" s="77">
        <v>0.54</v>
      </c>
      <c r="P29" s="77">
        <v>0.84</v>
      </c>
      <c r="Q29" s="77">
        <v>0.79</v>
      </c>
      <c r="R29" s="77">
        <v>0.65</v>
      </c>
      <c r="S29" s="33"/>
      <c r="T29" s="33" t="s">
        <v>597</v>
      </c>
      <c r="U29" t="str">
        <f>VLOOKUP(T29,GroupLabels!$E$2:$H$145,3,0)</f>
        <v>Ecuador - Spanish</v>
      </c>
    </row>
    <row r="30" spans="1:21" x14ac:dyDescent="0.25">
      <c r="A30" t="s">
        <v>3062</v>
      </c>
      <c r="B30" s="77">
        <v>0.74</v>
      </c>
      <c r="C30" s="77">
        <v>0.91</v>
      </c>
      <c r="D30" s="77">
        <v>0.95</v>
      </c>
      <c r="E30" s="77">
        <v>0.89</v>
      </c>
      <c r="F30" s="77">
        <v>0.74</v>
      </c>
      <c r="G30" s="77">
        <v>0.81</v>
      </c>
      <c r="H30" s="77">
        <v>0.81</v>
      </c>
      <c r="I30" s="77">
        <v>0.74</v>
      </c>
      <c r="J30" s="77">
        <v>0.92</v>
      </c>
      <c r="K30" s="77">
        <v>0.93</v>
      </c>
      <c r="L30" s="77">
        <v>0.77</v>
      </c>
      <c r="M30" s="77">
        <v>0.84</v>
      </c>
      <c r="N30" s="77">
        <v>0.92</v>
      </c>
      <c r="O30" s="77">
        <v>0.63</v>
      </c>
      <c r="P30" s="77">
        <v>0.8</v>
      </c>
      <c r="Q30" s="77">
        <v>0.7</v>
      </c>
      <c r="R30" s="77">
        <v>0.61</v>
      </c>
      <c r="S30" s="33"/>
      <c r="T30" s="33" t="s">
        <v>598</v>
      </c>
      <c r="U30" t="str">
        <f>VLOOKUP(T30,GroupLabels!$E$2:$H$145,3,0)</f>
        <v>El Salvador - Spanish</v>
      </c>
    </row>
    <row r="31" spans="1:21" x14ac:dyDescent="0.25">
      <c r="A31" t="s">
        <v>3069</v>
      </c>
      <c r="B31" s="77">
        <v>0.63</v>
      </c>
      <c r="C31" s="77">
        <v>0.79</v>
      </c>
      <c r="D31" s="77">
        <v>0.72</v>
      </c>
      <c r="E31" s="77">
        <v>0.9</v>
      </c>
      <c r="F31" s="77">
        <v>0.71</v>
      </c>
      <c r="G31" s="77">
        <v>0.8</v>
      </c>
      <c r="H31" s="77">
        <v>0.69</v>
      </c>
      <c r="I31" s="77">
        <v>0.41</v>
      </c>
      <c r="J31" s="77">
        <v>0.8</v>
      </c>
      <c r="K31" s="2">
        <v>0.87542697702508565</v>
      </c>
      <c r="L31" s="73">
        <v>0.71</v>
      </c>
      <c r="M31" s="77">
        <v>0.84</v>
      </c>
      <c r="N31" s="77">
        <v>0.88</v>
      </c>
      <c r="O31" s="77">
        <v>0.36</v>
      </c>
      <c r="P31" s="77">
        <v>0.78</v>
      </c>
      <c r="Q31" s="77">
        <v>0.73</v>
      </c>
      <c r="R31" s="77">
        <v>0.72</v>
      </c>
      <c r="S31" s="33"/>
      <c r="T31" s="33" t="s">
        <v>599</v>
      </c>
      <c r="U31" t="str">
        <f>VLOOKUP(T31,GroupLabels!$E$2:$H$145,3,0)</f>
        <v>Estonia - Estonian</v>
      </c>
    </row>
    <row r="32" spans="1:21" x14ac:dyDescent="0.25">
      <c r="A32" t="s">
        <v>3076</v>
      </c>
      <c r="B32" s="77">
        <v>0.64</v>
      </c>
      <c r="C32" s="77">
        <v>0.74</v>
      </c>
      <c r="D32" s="77">
        <v>0.95</v>
      </c>
      <c r="E32" s="77">
        <v>0.9</v>
      </c>
      <c r="F32" s="77">
        <v>0.64</v>
      </c>
      <c r="G32" s="77">
        <v>0.89</v>
      </c>
      <c r="H32" s="77">
        <v>0.65</v>
      </c>
      <c r="I32" s="77">
        <v>0.42</v>
      </c>
      <c r="J32" s="77">
        <v>0.77</v>
      </c>
      <c r="K32" s="77">
        <v>0.9</v>
      </c>
      <c r="L32" s="77">
        <v>0.62</v>
      </c>
      <c r="M32" s="77">
        <v>0.73</v>
      </c>
      <c r="N32" s="77">
        <v>0.92</v>
      </c>
      <c r="O32" s="77">
        <v>0.75</v>
      </c>
      <c r="P32" s="77">
        <v>0.74</v>
      </c>
      <c r="Q32" s="77">
        <v>0.76</v>
      </c>
      <c r="R32" s="77">
        <v>0.66</v>
      </c>
      <c r="S32" s="33"/>
      <c r="T32" s="33" t="s">
        <v>601</v>
      </c>
      <c r="U32" t="str">
        <f>VLOOKUP(T32,GroupLabels!$E$2:$H$145,3,0)</f>
        <v>Finland - Finnish</v>
      </c>
    </row>
    <row r="33" spans="1:21" x14ac:dyDescent="0.25">
      <c r="A33" t="s">
        <v>3244</v>
      </c>
      <c r="B33" s="77">
        <v>0.56000000000000005</v>
      </c>
      <c r="C33" s="77">
        <v>0.68</v>
      </c>
      <c r="D33" s="77">
        <v>0.96</v>
      </c>
      <c r="E33" s="77">
        <v>0.86</v>
      </c>
      <c r="F33" s="77">
        <v>0.74</v>
      </c>
      <c r="G33" s="77">
        <v>0.81</v>
      </c>
      <c r="H33" s="77">
        <v>0.78</v>
      </c>
      <c r="I33" s="77">
        <v>0.55000000000000004</v>
      </c>
      <c r="J33" s="73">
        <v>0.87</v>
      </c>
      <c r="K33" s="77">
        <v>0.8</v>
      </c>
      <c r="L33" s="77">
        <v>0.62</v>
      </c>
      <c r="M33" s="77">
        <v>0.78</v>
      </c>
      <c r="N33" s="77">
        <v>0.85</v>
      </c>
      <c r="O33" s="77">
        <v>0.76</v>
      </c>
      <c r="P33" s="77">
        <v>0.85</v>
      </c>
      <c r="Q33" s="77">
        <v>0.77</v>
      </c>
      <c r="R33" s="77">
        <v>0.36</v>
      </c>
      <c r="S33" s="33"/>
      <c r="T33" s="33" t="s">
        <v>602</v>
      </c>
      <c r="U33" t="str">
        <f>VLOOKUP(T33,GroupLabels!$E$2:$H$145,3,0)</f>
        <v>Finland - Swedish</v>
      </c>
    </row>
    <row r="34" spans="1:21" x14ac:dyDescent="0.25">
      <c r="A34" t="s">
        <v>3083</v>
      </c>
      <c r="B34" s="77">
        <v>0.5</v>
      </c>
      <c r="C34" s="77">
        <v>0.74</v>
      </c>
      <c r="D34" s="77">
        <v>0.73</v>
      </c>
      <c r="E34" s="77">
        <v>0.86</v>
      </c>
      <c r="F34" s="77">
        <v>0.69</v>
      </c>
      <c r="G34" s="77">
        <v>0.83</v>
      </c>
      <c r="H34" s="77">
        <v>0.68</v>
      </c>
      <c r="I34" s="77">
        <v>0.57999999999999996</v>
      </c>
      <c r="J34" s="77">
        <v>0.85</v>
      </c>
      <c r="K34" s="77">
        <v>0.91</v>
      </c>
      <c r="L34" s="77">
        <v>0.52</v>
      </c>
      <c r="M34" s="77">
        <v>0.85</v>
      </c>
      <c r="N34" s="77">
        <v>0.89</v>
      </c>
      <c r="O34" s="77">
        <v>0.77</v>
      </c>
      <c r="P34" s="77">
        <v>0.76</v>
      </c>
      <c r="Q34" s="77">
        <v>0.7</v>
      </c>
      <c r="R34" s="77">
        <v>0.71</v>
      </c>
      <c r="S34" s="33"/>
      <c r="T34" s="33" t="s">
        <v>603</v>
      </c>
      <c r="U34" t="str">
        <f>VLOOKUP(T34,GroupLabels!$E$2:$H$145,3,0)</f>
        <v>France - French</v>
      </c>
    </row>
    <row r="35" spans="1:21" x14ac:dyDescent="0.25">
      <c r="A35" t="s">
        <v>2920</v>
      </c>
      <c r="B35" s="77">
        <v>0.77</v>
      </c>
      <c r="C35" s="77">
        <v>0.92</v>
      </c>
      <c r="D35" s="77">
        <v>0.73</v>
      </c>
      <c r="E35" s="77">
        <v>0.88</v>
      </c>
      <c r="F35" s="77">
        <v>0.62</v>
      </c>
      <c r="G35" s="77">
        <v>0.72</v>
      </c>
      <c r="H35" s="77">
        <v>0.82</v>
      </c>
      <c r="I35" s="77">
        <v>0.6</v>
      </c>
      <c r="J35" s="77">
        <v>0.41</v>
      </c>
      <c r="K35" s="77">
        <v>0.92</v>
      </c>
      <c r="L35" s="77">
        <v>0</v>
      </c>
      <c r="M35" s="77">
        <v>0.79</v>
      </c>
      <c r="N35" s="77">
        <v>0.81</v>
      </c>
      <c r="O35" s="77">
        <v>0.71</v>
      </c>
      <c r="P35" s="77">
        <v>0.83</v>
      </c>
      <c r="Q35" s="77">
        <v>0.7</v>
      </c>
      <c r="R35" s="77">
        <v>0.69</v>
      </c>
      <c r="S35" s="33"/>
      <c r="T35" s="33" t="s">
        <v>604</v>
      </c>
      <c r="U35" t="str">
        <f>VLOOKUP(T35,GroupLabels!$E$2:$H$145,3,0)</f>
        <v>Georgia - Azerbaijani</v>
      </c>
    </row>
    <row r="36" spans="1:21" x14ac:dyDescent="0.25">
      <c r="A36" t="s">
        <v>3136</v>
      </c>
      <c r="B36" s="77">
        <v>0.6</v>
      </c>
      <c r="C36" s="77">
        <v>0.88</v>
      </c>
      <c r="D36" s="77">
        <v>0.95</v>
      </c>
      <c r="E36" s="77">
        <v>0.93</v>
      </c>
      <c r="F36" s="77">
        <v>0.69</v>
      </c>
      <c r="G36" s="77">
        <v>0.88</v>
      </c>
      <c r="H36" s="77">
        <v>0.81</v>
      </c>
      <c r="I36" s="77">
        <v>0.77</v>
      </c>
      <c r="J36" s="77">
        <v>0.82</v>
      </c>
      <c r="K36" s="77">
        <v>0.91</v>
      </c>
      <c r="L36" s="77">
        <v>0</v>
      </c>
      <c r="M36" s="77">
        <v>0.87</v>
      </c>
      <c r="N36" s="77">
        <v>0.83</v>
      </c>
      <c r="O36" s="77">
        <v>0.72</v>
      </c>
      <c r="P36" s="77">
        <v>0.79</v>
      </c>
      <c r="Q36" s="77">
        <v>0.88</v>
      </c>
      <c r="R36" s="77">
        <v>0.7</v>
      </c>
      <c r="S36" s="33"/>
      <c r="T36" s="33" t="s">
        <v>605</v>
      </c>
      <c r="U36" t="str">
        <f>VLOOKUP(T36,GroupLabels!$E$2:$H$145,3,0)</f>
        <v>Georgia - Georgian</v>
      </c>
    </row>
    <row r="37" spans="1:21" x14ac:dyDescent="0.25">
      <c r="A37" t="s">
        <v>767</v>
      </c>
      <c r="B37" s="77">
        <v>0.81</v>
      </c>
      <c r="C37" s="77">
        <v>0.83</v>
      </c>
      <c r="D37" s="77">
        <v>0.95</v>
      </c>
      <c r="E37" s="77">
        <v>0.88</v>
      </c>
      <c r="F37" s="77">
        <v>0.75</v>
      </c>
      <c r="G37" s="77">
        <v>0.87</v>
      </c>
      <c r="H37" s="77">
        <v>0.75</v>
      </c>
      <c r="I37" s="77">
        <v>0.62</v>
      </c>
      <c r="J37" s="77" t="s">
        <v>3476</v>
      </c>
      <c r="K37" s="77">
        <v>0.86</v>
      </c>
      <c r="L37" s="77">
        <v>0.54</v>
      </c>
      <c r="M37" s="77">
        <v>0.81</v>
      </c>
      <c r="N37" s="77">
        <v>0.9</v>
      </c>
      <c r="O37" s="77">
        <v>0.65</v>
      </c>
      <c r="P37" s="77">
        <v>0.78</v>
      </c>
      <c r="Q37" s="77">
        <v>0.87</v>
      </c>
      <c r="R37" s="77">
        <v>0.71</v>
      </c>
      <c r="S37" s="33"/>
      <c r="T37" s="33" t="s">
        <v>607</v>
      </c>
      <c r="U37" t="str">
        <f>VLOOKUP(T37,GroupLabels!$E$2:$H$145,3,0)</f>
        <v>Germany - German</v>
      </c>
    </row>
    <row r="38" spans="1:21" x14ac:dyDescent="0.25">
      <c r="A38" t="s">
        <v>2976</v>
      </c>
      <c r="B38" s="77">
        <v>0.66</v>
      </c>
      <c r="C38" s="77">
        <v>0.81</v>
      </c>
      <c r="D38" s="77">
        <v>0.9</v>
      </c>
      <c r="E38" s="77">
        <v>0.91</v>
      </c>
      <c r="F38" s="77">
        <v>0.81</v>
      </c>
      <c r="G38" s="77">
        <v>0.87</v>
      </c>
      <c r="H38" s="77">
        <v>0.72</v>
      </c>
      <c r="I38" s="77">
        <v>0.87</v>
      </c>
      <c r="J38" s="77">
        <v>0.93</v>
      </c>
      <c r="K38" s="77">
        <v>0.94</v>
      </c>
      <c r="L38" s="77">
        <v>0.49</v>
      </c>
      <c r="M38" s="77">
        <v>0.87</v>
      </c>
      <c r="N38" s="77">
        <v>0.89</v>
      </c>
      <c r="O38" s="77">
        <v>0.74</v>
      </c>
      <c r="P38" s="77">
        <v>0.76</v>
      </c>
      <c r="Q38" s="77">
        <v>0.86</v>
      </c>
      <c r="R38" s="77">
        <v>0.65</v>
      </c>
      <c r="S38" s="33"/>
      <c r="T38" s="33" t="s">
        <v>608</v>
      </c>
      <c r="U38" t="str">
        <f>VLOOKUP(T38,GroupLabels!$E$2:$H$145,3,0)</f>
        <v>Greece - Modern Greek</v>
      </c>
    </row>
    <row r="39" spans="1:21" x14ac:dyDescent="0.25">
      <c r="A39" t="s">
        <v>3050</v>
      </c>
      <c r="B39" s="77">
        <v>0.65</v>
      </c>
      <c r="C39" s="77">
        <v>0.95</v>
      </c>
      <c r="D39" s="77">
        <v>0.91</v>
      </c>
      <c r="E39" s="77">
        <v>0.95</v>
      </c>
      <c r="F39" s="77">
        <v>0.86</v>
      </c>
      <c r="G39" s="77">
        <v>0.89</v>
      </c>
      <c r="H39" s="77">
        <v>0.81</v>
      </c>
      <c r="I39" s="77">
        <v>0.86</v>
      </c>
      <c r="J39" s="77">
        <v>0.94</v>
      </c>
      <c r="K39" s="77">
        <v>0.94</v>
      </c>
      <c r="L39" s="77">
        <v>0.74</v>
      </c>
      <c r="M39" s="77">
        <v>0.82</v>
      </c>
      <c r="N39" s="77">
        <v>0.91</v>
      </c>
      <c r="O39" s="77">
        <v>0.67</v>
      </c>
      <c r="P39" s="77">
        <v>0.83</v>
      </c>
      <c r="Q39" s="77">
        <v>0.85</v>
      </c>
      <c r="R39" s="77">
        <v>0.68</v>
      </c>
      <c r="S39" s="33"/>
      <c r="T39" s="33" t="s">
        <v>609</v>
      </c>
      <c r="U39" t="str">
        <f>VLOOKUP(T39,GroupLabels!$E$2:$H$145,3,0)</f>
        <v>Guatemala - Spanish</v>
      </c>
    </row>
    <row r="40" spans="1:21" x14ac:dyDescent="0.25">
      <c r="A40" t="s">
        <v>3278</v>
      </c>
      <c r="B40" s="77">
        <v>0.5</v>
      </c>
      <c r="C40" s="77">
        <v>0.79</v>
      </c>
      <c r="D40" s="77">
        <v>0.93</v>
      </c>
      <c r="E40" s="77">
        <v>0.93</v>
      </c>
      <c r="F40" s="77">
        <v>0.85</v>
      </c>
      <c r="G40" s="77">
        <v>0.91</v>
      </c>
      <c r="H40" s="77">
        <v>0.53</v>
      </c>
      <c r="I40" s="77">
        <v>0.51</v>
      </c>
      <c r="J40" s="77">
        <v>0.82</v>
      </c>
      <c r="K40" s="77">
        <v>0.89</v>
      </c>
      <c r="L40" s="77">
        <v>0.72</v>
      </c>
      <c r="M40" s="77">
        <v>0.69</v>
      </c>
      <c r="N40" s="77">
        <v>0.87</v>
      </c>
      <c r="O40" s="77">
        <v>0.55000000000000004</v>
      </c>
      <c r="P40" s="77">
        <v>0.84</v>
      </c>
      <c r="Q40" s="77">
        <v>0.88</v>
      </c>
      <c r="R40" s="77">
        <v>0.77</v>
      </c>
      <c r="S40" s="33"/>
      <c r="T40" s="33" t="s">
        <v>610</v>
      </c>
      <c r="U40" t="str">
        <f>VLOOKUP(T40,GroupLabels!$E$2:$H$145,3,0)</f>
        <v>Hong Kong (China) - Chinese</v>
      </c>
    </row>
    <row r="41" spans="1:21" x14ac:dyDescent="0.25">
      <c r="A41" t="s">
        <v>2993</v>
      </c>
      <c r="B41" s="77">
        <v>0.51</v>
      </c>
      <c r="C41" s="77">
        <v>0.85</v>
      </c>
      <c r="D41" s="77">
        <v>0.91</v>
      </c>
      <c r="E41" s="77">
        <v>0.96</v>
      </c>
      <c r="F41" s="77">
        <v>0.89</v>
      </c>
      <c r="G41" s="77">
        <v>0.85</v>
      </c>
      <c r="H41" s="77">
        <v>0.8</v>
      </c>
      <c r="I41" s="77">
        <v>0.46</v>
      </c>
      <c r="J41" s="77">
        <v>0.8</v>
      </c>
      <c r="K41" s="77">
        <v>0.91</v>
      </c>
      <c r="L41" s="77">
        <v>0.81</v>
      </c>
      <c r="M41" s="77">
        <v>0.82</v>
      </c>
      <c r="N41" s="77">
        <v>0.77</v>
      </c>
      <c r="O41" s="77">
        <v>0.61</v>
      </c>
      <c r="P41" s="77">
        <v>0.86</v>
      </c>
      <c r="Q41" s="77">
        <v>0.93</v>
      </c>
      <c r="R41" s="77">
        <v>0.77</v>
      </c>
      <c r="S41" s="33"/>
      <c r="T41" s="33" t="s">
        <v>611</v>
      </c>
      <c r="U41" t="str">
        <f>VLOOKUP(T41,GroupLabels!$E$2:$H$145,3,0)</f>
        <v>Hong Kong (China) - English</v>
      </c>
    </row>
    <row r="42" spans="1:21" x14ac:dyDescent="0.25">
      <c r="A42" t="s">
        <v>3103</v>
      </c>
      <c r="B42" s="73">
        <v>0.68</v>
      </c>
      <c r="C42" s="73">
        <v>0.71</v>
      </c>
      <c r="D42" s="73">
        <v>0.87</v>
      </c>
      <c r="E42" s="73">
        <v>0.87</v>
      </c>
      <c r="F42" s="77">
        <v>0.72</v>
      </c>
      <c r="G42" s="77">
        <v>0.86</v>
      </c>
      <c r="H42" s="77">
        <v>0.74</v>
      </c>
      <c r="I42" s="73">
        <v>0.73</v>
      </c>
      <c r="J42" s="73">
        <v>0.82</v>
      </c>
      <c r="K42" s="73">
        <v>0.88</v>
      </c>
      <c r="L42" s="77">
        <v>0.72</v>
      </c>
      <c r="M42" s="77">
        <v>0.82</v>
      </c>
      <c r="N42" s="77">
        <v>0.93</v>
      </c>
      <c r="O42" s="77">
        <v>0.64</v>
      </c>
      <c r="P42" s="77">
        <v>0.73</v>
      </c>
      <c r="Q42" s="77">
        <v>0.79</v>
      </c>
      <c r="R42" s="77">
        <v>0.7</v>
      </c>
      <c r="S42" s="33"/>
      <c r="T42" s="33" t="s">
        <v>612</v>
      </c>
      <c r="U42" t="str">
        <f>VLOOKUP(T42,GroupLabels!$E$2:$H$145,3,0)</f>
        <v>Hungary - Hungarian</v>
      </c>
    </row>
    <row r="43" spans="1:21" x14ac:dyDescent="0.25">
      <c r="A43" t="s">
        <v>3122</v>
      </c>
      <c r="B43" s="77">
        <v>0.6</v>
      </c>
      <c r="C43" s="77">
        <v>0.81</v>
      </c>
      <c r="D43" s="77">
        <v>0.92</v>
      </c>
      <c r="E43" s="77">
        <v>0.9</v>
      </c>
      <c r="F43" s="77">
        <v>0.81</v>
      </c>
      <c r="G43" s="77">
        <v>0.86</v>
      </c>
      <c r="H43" s="77">
        <v>0.78</v>
      </c>
      <c r="I43" s="73">
        <v>0.45</v>
      </c>
      <c r="J43" s="77">
        <v>0.86</v>
      </c>
      <c r="K43" s="77">
        <v>0.81</v>
      </c>
      <c r="L43" s="77">
        <v>0.73</v>
      </c>
      <c r="M43" s="77">
        <v>0.78</v>
      </c>
      <c r="N43" s="77">
        <v>0.9</v>
      </c>
      <c r="O43" s="77">
        <v>0.81</v>
      </c>
      <c r="P43" s="77">
        <v>0.72</v>
      </c>
      <c r="Q43" s="77">
        <v>0.88</v>
      </c>
      <c r="R43" s="77">
        <v>0.74</v>
      </c>
      <c r="S43" s="33"/>
      <c r="T43" s="33" t="s">
        <v>613</v>
      </c>
      <c r="U43" t="str">
        <f>VLOOKUP(T43,GroupLabels!$E$2:$H$145,3,0)</f>
        <v>Iceland - Icelandic</v>
      </c>
    </row>
    <row r="44" spans="1:21" x14ac:dyDescent="0.25">
      <c r="A44" t="s">
        <v>3118</v>
      </c>
      <c r="B44" s="77">
        <v>0.76</v>
      </c>
      <c r="C44" s="77">
        <v>0.91</v>
      </c>
      <c r="D44" s="77">
        <v>0.9</v>
      </c>
      <c r="E44" s="77">
        <v>0.94</v>
      </c>
      <c r="F44" s="77">
        <v>0.87</v>
      </c>
      <c r="G44" s="77">
        <v>0.92</v>
      </c>
      <c r="H44" s="77">
        <v>0.81</v>
      </c>
      <c r="I44" s="73">
        <v>0.86</v>
      </c>
      <c r="J44" s="77">
        <v>0.98</v>
      </c>
      <c r="K44" s="77">
        <v>0.93</v>
      </c>
      <c r="L44" s="77">
        <v>0.71</v>
      </c>
      <c r="M44" s="77">
        <v>0.81</v>
      </c>
      <c r="N44" s="77">
        <v>0.91</v>
      </c>
      <c r="O44" s="77">
        <v>0.7</v>
      </c>
      <c r="P44" s="77">
        <v>0.85</v>
      </c>
      <c r="Q44" s="77">
        <v>0.76</v>
      </c>
      <c r="R44" s="77">
        <v>0.74</v>
      </c>
      <c r="S44" s="33"/>
      <c r="T44" s="33" t="s">
        <v>614</v>
      </c>
      <c r="U44" t="str">
        <f>VLOOKUP(T44,GroupLabels!$E$2:$H$145,3,0)</f>
        <v>Indonesia - Indonesian</v>
      </c>
    </row>
    <row r="45" spans="1:21" x14ac:dyDescent="0.25">
      <c r="A45" t="s">
        <v>2995</v>
      </c>
      <c r="B45" s="77">
        <v>0.61</v>
      </c>
      <c r="C45" s="77">
        <v>0.75</v>
      </c>
      <c r="D45" s="77">
        <v>0.96</v>
      </c>
      <c r="E45" s="77">
        <v>0.93</v>
      </c>
      <c r="F45" s="77">
        <v>0.7</v>
      </c>
      <c r="G45" s="77">
        <v>0.84</v>
      </c>
      <c r="H45" s="77">
        <v>0.47</v>
      </c>
      <c r="I45" s="73">
        <v>0.78</v>
      </c>
      <c r="J45" s="73">
        <v>0.78</v>
      </c>
      <c r="K45" s="77">
        <v>0.9</v>
      </c>
      <c r="L45" s="77">
        <v>0.75</v>
      </c>
      <c r="M45" s="77">
        <v>0.85</v>
      </c>
      <c r="N45" s="77">
        <v>0.91</v>
      </c>
      <c r="O45" s="77">
        <v>0.74</v>
      </c>
      <c r="P45" s="77">
        <v>0.85</v>
      </c>
      <c r="Q45" s="77">
        <v>0.81</v>
      </c>
      <c r="R45" s="77">
        <v>0.68</v>
      </c>
      <c r="S45" s="33"/>
      <c r="T45" s="33" t="s">
        <v>615</v>
      </c>
      <c r="U45" t="str">
        <f>VLOOKUP(T45,GroupLabels!$E$2:$H$145,3,0)</f>
        <v>Ireland - English</v>
      </c>
    </row>
    <row r="46" spans="1:21" x14ac:dyDescent="0.25">
      <c r="A46" t="s">
        <v>2467</v>
      </c>
      <c r="B46" s="77" t="s">
        <v>3476</v>
      </c>
      <c r="C46" s="77" t="s">
        <v>3476</v>
      </c>
      <c r="D46" s="77" t="s">
        <v>3476</v>
      </c>
      <c r="E46" s="77" t="s">
        <v>3476</v>
      </c>
      <c r="F46" s="77">
        <v>0.54</v>
      </c>
      <c r="G46" s="77">
        <v>0.88</v>
      </c>
      <c r="H46" s="77">
        <v>0.41</v>
      </c>
      <c r="I46" s="77" t="s">
        <v>3476</v>
      </c>
      <c r="J46" s="77" t="s">
        <v>3476</v>
      </c>
      <c r="K46" s="77" t="s">
        <v>3476</v>
      </c>
      <c r="L46" s="77">
        <v>0.71</v>
      </c>
      <c r="M46" s="77">
        <v>0.83</v>
      </c>
      <c r="N46" s="77">
        <v>0.91</v>
      </c>
      <c r="O46" s="77">
        <v>0.57999999999999996</v>
      </c>
      <c r="P46" s="77">
        <v>0.8</v>
      </c>
      <c r="Q46" s="77">
        <v>0.91</v>
      </c>
      <c r="R46" s="77">
        <v>0.75</v>
      </c>
      <c r="S46" s="33"/>
      <c r="T46" s="33" t="s">
        <v>618</v>
      </c>
      <c r="U46" t="str">
        <f>VLOOKUP(T46,GroupLabels!$E$2:$H$145,3,0)</f>
        <v>Israel - Haredi*</v>
      </c>
    </row>
    <row r="47" spans="1:21" x14ac:dyDescent="0.25">
      <c r="A47" t="s">
        <v>3094</v>
      </c>
      <c r="B47" s="77">
        <v>0.72</v>
      </c>
      <c r="C47" s="77">
        <v>0.79</v>
      </c>
      <c r="D47" s="77">
        <v>0.8</v>
      </c>
      <c r="E47" s="77">
        <v>0.88</v>
      </c>
      <c r="F47" s="73">
        <v>0.8</v>
      </c>
      <c r="G47" s="77">
        <v>0.83</v>
      </c>
      <c r="H47" s="77">
        <v>0.65</v>
      </c>
      <c r="I47" s="77">
        <v>0.79</v>
      </c>
      <c r="J47" s="73">
        <v>0.85</v>
      </c>
      <c r="K47" s="77">
        <v>0.91</v>
      </c>
      <c r="L47" s="77">
        <v>0.61</v>
      </c>
      <c r="M47" s="77">
        <v>0.83</v>
      </c>
      <c r="N47" s="77">
        <v>0.9</v>
      </c>
      <c r="O47" s="77">
        <v>0.72</v>
      </c>
      <c r="P47" s="77">
        <v>0.83</v>
      </c>
      <c r="Q47" s="73">
        <v>0.87</v>
      </c>
      <c r="R47" s="77">
        <v>0.72</v>
      </c>
      <c r="S47" s="33"/>
      <c r="T47" s="33" t="s">
        <v>619</v>
      </c>
      <c r="U47" t="str">
        <f>VLOOKUP(T47,GroupLabels!$E$2:$H$145,3,0)</f>
        <v>Israel - Hebrew*</v>
      </c>
    </row>
    <row r="48" spans="1:21" x14ac:dyDescent="0.25">
      <c r="A48" t="s">
        <v>2967</v>
      </c>
      <c r="B48" s="77">
        <v>0.62</v>
      </c>
      <c r="C48" s="77">
        <v>0.66</v>
      </c>
      <c r="D48" s="77">
        <v>0.93</v>
      </c>
      <c r="E48" s="77">
        <v>0.85</v>
      </c>
      <c r="F48" s="77">
        <v>0.83</v>
      </c>
      <c r="G48" s="77">
        <v>0.74</v>
      </c>
      <c r="H48" s="77">
        <v>0.74</v>
      </c>
      <c r="I48" s="77" t="s">
        <v>3476</v>
      </c>
      <c r="J48" s="77">
        <v>0.79</v>
      </c>
      <c r="K48" s="77">
        <v>0.86</v>
      </c>
      <c r="L48" s="77">
        <v>0.62</v>
      </c>
      <c r="M48" s="77">
        <v>0.83</v>
      </c>
      <c r="N48" s="77">
        <v>0.71</v>
      </c>
      <c r="O48" s="77">
        <v>0.79</v>
      </c>
      <c r="P48" s="77">
        <v>0.7</v>
      </c>
      <c r="Q48" s="77">
        <v>0.77</v>
      </c>
      <c r="R48" s="77">
        <v>0.76</v>
      </c>
      <c r="S48" s="33"/>
      <c r="T48" s="33" t="s">
        <v>620</v>
      </c>
      <c r="U48" t="str">
        <f>VLOOKUP(T48,GroupLabels!$E$2:$H$145,3,0)</f>
        <v>Italy - German</v>
      </c>
    </row>
    <row r="49" spans="1:21" x14ac:dyDescent="0.25">
      <c r="A49" t="s">
        <v>3126</v>
      </c>
      <c r="B49" s="77">
        <v>0.7</v>
      </c>
      <c r="C49" s="77">
        <v>0.75</v>
      </c>
      <c r="D49" s="77">
        <v>0.91</v>
      </c>
      <c r="E49" s="77">
        <v>0.86</v>
      </c>
      <c r="F49" s="77">
        <v>0.84</v>
      </c>
      <c r="G49" s="77">
        <v>0.86</v>
      </c>
      <c r="H49" s="77">
        <v>0.77</v>
      </c>
      <c r="I49" s="77" t="s">
        <v>3476</v>
      </c>
      <c r="J49" s="77">
        <v>0.92</v>
      </c>
      <c r="K49" s="77">
        <v>0.91</v>
      </c>
      <c r="L49" s="77">
        <v>0.69</v>
      </c>
      <c r="M49" s="77">
        <v>0.83</v>
      </c>
      <c r="N49" s="77">
        <v>0.77</v>
      </c>
      <c r="O49" s="77">
        <v>0.66</v>
      </c>
      <c r="P49" s="77">
        <v>0.85</v>
      </c>
      <c r="Q49" s="77">
        <v>0.56999999999999995</v>
      </c>
      <c r="R49" s="77">
        <v>0.64</v>
      </c>
      <c r="S49" s="33"/>
      <c r="T49" s="33" t="s">
        <v>621</v>
      </c>
      <c r="U49" t="str">
        <f>VLOOKUP(T49,GroupLabels!$E$2:$H$145,3,0)</f>
        <v>Italy - Italian</v>
      </c>
    </row>
    <row r="50" spans="1:21" x14ac:dyDescent="0.25">
      <c r="A50" t="s">
        <v>768</v>
      </c>
      <c r="B50" s="77">
        <v>0.64</v>
      </c>
      <c r="C50" s="77">
        <v>0.76</v>
      </c>
      <c r="D50" s="77">
        <v>0.97</v>
      </c>
      <c r="E50" s="77">
        <v>0.89</v>
      </c>
      <c r="F50" s="77" t="s">
        <v>3476</v>
      </c>
      <c r="G50" s="77">
        <v>0.87</v>
      </c>
      <c r="H50" s="77">
        <v>0.63</v>
      </c>
      <c r="I50" s="77">
        <v>0.59</v>
      </c>
      <c r="J50" s="77" t="s">
        <v>3476</v>
      </c>
      <c r="K50" s="77">
        <v>0.82</v>
      </c>
      <c r="L50" s="77">
        <v>0.72</v>
      </c>
      <c r="M50" s="77">
        <v>0.78</v>
      </c>
      <c r="N50" s="77">
        <v>0.91</v>
      </c>
      <c r="O50" s="77">
        <v>0.64</v>
      </c>
      <c r="P50" s="77">
        <v>0.78</v>
      </c>
      <c r="Q50" s="77" t="s">
        <v>3476</v>
      </c>
      <c r="R50" s="77">
        <v>0.68</v>
      </c>
      <c r="S50" s="33"/>
      <c r="T50" s="33" t="s">
        <v>622</v>
      </c>
      <c r="U50" t="str">
        <f>VLOOKUP(T50,GroupLabels!$E$2:$H$145,3,0)</f>
        <v>Japan - Japanese</v>
      </c>
    </row>
    <row r="51" spans="1:21" x14ac:dyDescent="0.25">
      <c r="A51" t="s">
        <v>2903</v>
      </c>
      <c r="B51" s="77">
        <v>0.78</v>
      </c>
      <c r="C51" s="77">
        <v>0.88</v>
      </c>
      <c r="D51" s="77">
        <v>0.93</v>
      </c>
      <c r="E51" s="77">
        <v>0.96</v>
      </c>
      <c r="F51" s="77">
        <v>0.85</v>
      </c>
      <c r="G51" s="77">
        <v>0.95</v>
      </c>
      <c r="H51" s="77">
        <v>0.82</v>
      </c>
      <c r="I51" s="77">
        <v>0.9</v>
      </c>
      <c r="J51" s="77">
        <v>0.92</v>
      </c>
      <c r="K51" s="77">
        <v>0.92</v>
      </c>
      <c r="L51" s="77">
        <v>0.48</v>
      </c>
      <c r="M51" s="77">
        <v>0.85</v>
      </c>
      <c r="N51" s="77">
        <v>0.84</v>
      </c>
      <c r="O51" s="77">
        <v>0.82</v>
      </c>
      <c r="P51" s="77">
        <v>0.91</v>
      </c>
      <c r="Q51" s="77">
        <v>0.83</v>
      </c>
      <c r="R51" s="77">
        <v>0.79</v>
      </c>
      <c r="S51" s="33"/>
      <c r="T51" s="33" t="s">
        <v>623</v>
      </c>
      <c r="U51" t="str">
        <f>VLOOKUP(T51,GroupLabels!$E$2:$H$145,3,0)</f>
        <v>Jordan - Arabic</v>
      </c>
    </row>
    <row r="52" spans="1:21" x14ac:dyDescent="0.25">
      <c r="A52" t="s">
        <v>3141</v>
      </c>
      <c r="B52" s="77">
        <v>0.72</v>
      </c>
      <c r="C52" s="77">
        <v>0.85</v>
      </c>
      <c r="D52" s="77">
        <v>0.95</v>
      </c>
      <c r="E52" s="77">
        <v>0.95</v>
      </c>
      <c r="F52" s="77">
        <v>0.72</v>
      </c>
      <c r="G52" s="77">
        <v>0.94</v>
      </c>
      <c r="H52" s="77">
        <v>0.79</v>
      </c>
      <c r="I52" s="77">
        <v>0.78</v>
      </c>
      <c r="J52" s="77">
        <v>0.95</v>
      </c>
      <c r="K52" s="77">
        <v>0.93</v>
      </c>
      <c r="L52" s="77">
        <v>0.82</v>
      </c>
      <c r="M52" s="77">
        <v>0.91</v>
      </c>
      <c r="N52" s="77">
        <v>0.6</v>
      </c>
      <c r="O52" s="77">
        <v>0.74</v>
      </c>
      <c r="P52" s="77">
        <v>0.87</v>
      </c>
      <c r="Q52" s="77">
        <v>0.77</v>
      </c>
      <c r="R52" s="77">
        <v>0.81</v>
      </c>
      <c r="S52" s="33"/>
      <c r="T52" s="33" t="s">
        <v>624</v>
      </c>
      <c r="U52" t="str">
        <f>VLOOKUP(T52,GroupLabels!$E$2:$H$145,3,0)</f>
        <v>Kazakhstan - Kazakh</v>
      </c>
    </row>
    <row r="53" spans="1:21" x14ac:dyDescent="0.25">
      <c r="A53" t="s">
        <v>3213</v>
      </c>
      <c r="B53" s="77">
        <v>0.73</v>
      </c>
      <c r="C53" s="77">
        <v>0.82</v>
      </c>
      <c r="D53" s="77">
        <v>0.97</v>
      </c>
      <c r="E53" s="77">
        <v>0.94</v>
      </c>
      <c r="F53" s="77">
        <v>0.76</v>
      </c>
      <c r="G53" s="77">
        <v>0.9</v>
      </c>
      <c r="H53" s="77">
        <v>0.77</v>
      </c>
      <c r="I53" s="77">
        <v>0.78</v>
      </c>
      <c r="J53" s="77">
        <v>0.87</v>
      </c>
      <c r="K53" s="77">
        <v>0.93</v>
      </c>
      <c r="L53" s="77">
        <v>0.85</v>
      </c>
      <c r="M53" s="77">
        <v>0.86</v>
      </c>
      <c r="N53" s="77">
        <v>0.94</v>
      </c>
      <c r="O53" s="77">
        <v>0.7</v>
      </c>
      <c r="P53" s="77">
        <v>0.83</v>
      </c>
      <c r="Q53" s="77">
        <v>0.88</v>
      </c>
      <c r="R53" s="77">
        <v>0.85</v>
      </c>
      <c r="S53" s="33"/>
      <c r="T53" s="33" t="s">
        <v>625</v>
      </c>
      <c r="U53" t="str">
        <f>VLOOKUP(T53,GroupLabels!$E$2:$H$145,3,0)</f>
        <v>Kazakhstan - Russian</v>
      </c>
    </row>
    <row r="54" spans="1:21" x14ac:dyDescent="0.25">
      <c r="A54" t="s">
        <v>940</v>
      </c>
      <c r="B54" s="73">
        <v>0.77</v>
      </c>
      <c r="C54" s="77">
        <v>0.91</v>
      </c>
      <c r="D54" s="77">
        <v>0.93</v>
      </c>
      <c r="E54" s="77">
        <v>0.92</v>
      </c>
      <c r="F54" s="77">
        <v>0.84</v>
      </c>
      <c r="G54" s="77">
        <v>0.89</v>
      </c>
      <c r="H54" s="77">
        <v>0.82</v>
      </c>
      <c r="I54" s="77">
        <v>0.74</v>
      </c>
      <c r="J54" s="77">
        <v>0.85</v>
      </c>
      <c r="K54" s="77">
        <v>0.95</v>
      </c>
      <c r="L54" s="77">
        <v>0.78</v>
      </c>
      <c r="M54" s="77">
        <v>0.86</v>
      </c>
      <c r="N54" s="77">
        <v>0.93</v>
      </c>
      <c r="O54" s="77">
        <v>0.81</v>
      </c>
      <c r="P54" s="77">
        <v>0.79</v>
      </c>
      <c r="Q54" s="77">
        <v>0.79</v>
      </c>
      <c r="R54" s="77">
        <v>0.78</v>
      </c>
      <c r="S54" s="33"/>
      <c r="T54" s="33" t="s">
        <v>626</v>
      </c>
      <c r="U54" t="str">
        <f>VLOOKUP(T54,GroupLabels!$E$2:$H$145,3,0)</f>
        <v>Kenya - English</v>
      </c>
    </row>
    <row r="55" spans="1:21" x14ac:dyDescent="0.25">
      <c r="A55" t="s">
        <v>3154</v>
      </c>
      <c r="B55" s="73">
        <v>0.61</v>
      </c>
      <c r="C55" s="77">
        <v>0.83</v>
      </c>
      <c r="D55" s="77">
        <v>0.93</v>
      </c>
      <c r="E55" s="77">
        <v>0.93</v>
      </c>
      <c r="F55" s="77">
        <v>0.89</v>
      </c>
      <c r="G55" s="77">
        <v>0.9</v>
      </c>
      <c r="H55" s="77">
        <v>0.74</v>
      </c>
      <c r="I55" s="77">
        <v>0.76</v>
      </c>
      <c r="J55" s="77">
        <v>0.98</v>
      </c>
      <c r="K55" s="77">
        <v>0.89</v>
      </c>
      <c r="L55" s="73">
        <v>0.9</v>
      </c>
      <c r="M55" s="77">
        <v>0.8</v>
      </c>
      <c r="N55" s="77">
        <v>0.83</v>
      </c>
      <c r="O55" s="77">
        <v>0.6</v>
      </c>
      <c r="P55" s="77">
        <v>0.77</v>
      </c>
      <c r="Q55" s="77">
        <v>0.8</v>
      </c>
      <c r="R55" s="77">
        <v>0.69</v>
      </c>
      <c r="S55" s="33"/>
      <c r="T55" s="33" t="s">
        <v>627</v>
      </c>
      <c r="U55" t="str">
        <f>VLOOKUP(T55,GroupLabels!$E$2:$H$145,3,0)</f>
        <v>Korea - Korean</v>
      </c>
    </row>
    <row r="56" spans="1:21" x14ac:dyDescent="0.25">
      <c r="A56" t="s">
        <v>3236</v>
      </c>
      <c r="B56" s="73">
        <v>0.7</v>
      </c>
      <c r="C56" s="77">
        <v>0.9</v>
      </c>
      <c r="D56" s="77">
        <v>0.93</v>
      </c>
      <c r="E56" s="77">
        <v>0.91</v>
      </c>
      <c r="F56" s="77">
        <v>0.81</v>
      </c>
      <c r="G56" s="77">
        <v>0.87</v>
      </c>
      <c r="H56" s="77">
        <v>0.8</v>
      </c>
      <c r="I56" s="77">
        <v>0.85</v>
      </c>
      <c r="J56" s="77">
        <v>0.9</v>
      </c>
      <c r="K56" s="77">
        <v>0.91</v>
      </c>
      <c r="L56" s="73">
        <v>0.59</v>
      </c>
      <c r="M56" s="77">
        <v>0.81</v>
      </c>
      <c r="N56" s="73">
        <v>0.84</v>
      </c>
      <c r="O56" s="77">
        <v>0.8</v>
      </c>
      <c r="P56" s="77">
        <v>0.84</v>
      </c>
      <c r="Q56" s="77">
        <v>0.86</v>
      </c>
      <c r="R56" s="73">
        <v>0.79</v>
      </c>
      <c r="S56" s="33"/>
      <c r="T56" s="33" t="s">
        <v>628</v>
      </c>
      <c r="U56" t="str">
        <f>VLOOKUP(T56,GroupLabels!$E$2:$H$145,3,0)</f>
        <v>Kosovo - Albanian*</v>
      </c>
    </row>
    <row r="57" spans="1:21" x14ac:dyDescent="0.25">
      <c r="A57" t="s">
        <v>3159</v>
      </c>
      <c r="B57" s="77" t="s">
        <v>581</v>
      </c>
      <c r="C57" s="77">
        <v>0.86</v>
      </c>
      <c r="D57" s="77">
        <v>0.9</v>
      </c>
      <c r="E57" s="77">
        <v>0.91</v>
      </c>
      <c r="F57" s="77">
        <v>0.7</v>
      </c>
      <c r="G57" s="77">
        <v>0.85</v>
      </c>
      <c r="H57" s="77">
        <v>0.73</v>
      </c>
      <c r="I57" s="77">
        <v>0.82</v>
      </c>
      <c r="J57" s="77">
        <v>0.95</v>
      </c>
      <c r="K57" s="77">
        <v>0.92</v>
      </c>
      <c r="L57" s="77">
        <v>0</v>
      </c>
      <c r="M57" s="77">
        <v>0.73</v>
      </c>
      <c r="N57" s="77">
        <v>0.81</v>
      </c>
      <c r="O57" s="77">
        <v>0.69</v>
      </c>
      <c r="P57" s="77">
        <v>0.8</v>
      </c>
      <c r="Q57" s="77">
        <v>0.73</v>
      </c>
      <c r="R57" s="77">
        <v>0.7</v>
      </c>
      <c r="S57" s="33"/>
      <c r="T57" s="33" t="s">
        <v>632</v>
      </c>
      <c r="U57" t="str">
        <f>VLOOKUP(T57,GroupLabels!$E$2:$H$145,3,0)</f>
        <v>Kyrgyzstan - Kyrgyz / Kirghiz</v>
      </c>
    </row>
    <row r="58" spans="1:21" x14ac:dyDescent="0.25">
      <c r="A58" t="s">
        <v>3212</v>
      </c>
      <c r="B58" s="77" t="s">
        <v>581</v>
      </c>
      <c r="C58" s="77">
        <v>0.87</v>
      </c>
      <c r="D58" s="77">
        <v>0.95</v>
      </c>
      <c r="E58" s="77">
        <v>0.93</v>
      </c>
      <c r="F58" s="77">
        <v>0.71</v>
      </c>
      <c r="G58" s="77">
        <v>0.88</v>
      </c>
      <c r="H58" s="77">
        <v>0.79</v>
      </c>
      <c r="I58" s="77">
        <v>0.74</v>
      </c>
      <c r="J58" s="77">
        <v>0.86</v>
      </c>
      <c r="K58" s="77">
        <v>0.89</v>
      </c>
      <c r="L58" s="77" t="s">
        <v>581</v>
      </c>
      <c r="M58" s="77">
        <v>0.83</v>
      </c>
      <c r="N58" s="77">
        <v>0.72</v>
      </c>
      <c r="O58" s="77">
        <v>0.66</v>
      </c>
      <c r="P58" s="77">
        <v>0.85</v>
      </c>
      <c r="Q58" s="77">
        <v>0.89</v>
      </c>
      <c r="R58" s="77">
        <v>0.71</v>
      </c>
      <c r="S58" s="33"/>
      <c r="T58" s="33" t="s">
        <v>633</v>
      </c>
      <c r="U58" t="str">
        <f>VLOOKUP(T58,GroupLabels!$E$2:$H$145,3,0)</f>
        <v>Kyrgyzstan - Russian</v>
      </c>
    </row>
    <row r="59" spans="1:21" x14ac:dyDescent="0.25">
      <c r="A59" t="s">
        <v>3266</v>
      </c>
      <c r="B59" s="77" t="s">
        <v>3480</v>
      </c>
      <c r="C59" s="77" t="s">
        <v>3480</v>
      </c>
      <c r="D59" s="77" t="s">
        <v>3480</v>
      </c>
      <c r="E59" s="77" t="s">
        <v>3480</v>
      </c>
      <c r="F59" s="77" t="s">
        <v>3480</v>
      </c>
      <c r="G59" s="77" t="s">
        <v>3480</v>
      </c>
      <c r="H59" s="77" t="s">
        <v>3480</v>
      </c>
      <c r="I59" s="77" t="s">
        <v>3480</v>
      </c>
      <c r="J59" s="77" t="s">
        <v>3480</v>
      </c>
      <c r="K59" s="77" t="s">
        <v>3480</v>
      </c>
      <c r="L59" s="77" t="s">
        <v>3480</v>
      </c>
      <c r="M59" s="77" t="s">
        <v>3480</v>
      </c>
      <c r="N59" s="77" t="s">
        <v>3480</v>
      </c>
      <c r="O59" s="77" t="s">
        <v>3480</v>
      </c>
      <c r="P59" s="77" t="s">
        <v>3480</v>
      </c>
      <c r="Q59" s="77" t="s">
        <v>3480</v>
      </c>
      <c r="R59" s="77" t="s">
        <v>3480</v>
      </c>
      <c r="S59" s="33"/>
      <c r="T59" s="33" t="s">
        <v>634</v>
      </c>
      <c r="U59" t="str">
        <f>VLOOKUP(T59,GroupLabels!$E$2:$H$145,3,0)</f>
        <v>Kyrgyzstan - Uzbekistani</v>
      </c>
    </row>
    <row r="60" spans="1:21" x14ac:dyDescent="0.25">
      <c r="A60" t="s">
        <v>3167</v>
      </c>
      <c r="B60" s="77">
        <v>0.56999999999999995</v>
      </c>
      <c r="C60" s="77">
        <v>0.72</v>
      </c>
      <c r="D60" s="77">
        <v>0.98</v>
      </c>
      <c r="E60" s="77">
        <v>0.87</v>
      </c>
      <c r="F60" s="77">
        <v>0.7</v>
      </c>
      <c r="G60" s="77">
        <v>0.81</v>
      </c>
      <c r="H60" s="77">
        <v>0.66</v>
      </c>
      <c r="I60" s="77" t="s">
        <v>3476</v>
      </c>
      <c r="J60" s="77">
        <v>0.77</v>
      </c>
      <c r="K60" s="77">
        <v>0.89</v>
      </c>
      <c r="L60" s="77">
        <v>0.74</v>
      </c>
      <c r="M60" s="77">
        <v>0.75</v>
      </c>
      <c r="N60" s="77">
        <v>0.89</v>
      </c>
      <c r="O60" s="77">
        <v>0.56999999999999995</v>
      </c>
      <c r="P60" s="77">
        <v>0.82</v>
      </c>
      <c r="Q60" s="77">
        <v>0.78</v>
      </c>
      <c r="R60" s="77">
        <v>0.7</v>
      </c>
      <c r="S60" s="33"/>
      <c r="T60" s="33" t="s">
        <v>635</v>
      </c>
      <c r="U60" t="str">
        <f>VLOOKUP(T60,GroupLabels!$E$2:$H$145,3,0)</f>
        <v>Latvia - Latvian</v>
      </c>
    </row>
    <row r="61" spans="1:21" x14ac:dyDescent="0.25">
      <c r="A61" t="s">
        <v>3003</v>
      </c>
      <c r="B61" s="77">
        <v>0.86</v>
      </c>
      <c r="C61" s="77">
        <v>0.91</v>
      </c>
      <c r="D61" s="77">
        <v>0.91</v>
      </c>
      <c r="E61" s="77">
        <v>0.97</v>
      </c>
      <c r="F61" s="77">
        <v>0.83</v>
      </c>
      <c r="G61" s="77">
        <v>0.92</v>
      </c>
      <c r="H61" s="77">
        <v>0.83</v>
      </c>
      <c r="I61" s="73">
        <v>0.88</v>
      </c>
      <c r="J61" s="77">
        <v>0.97</v>
      </c>
      <c r="K61" s="77">
        <v>0.96</v>
      </c>
      <c r="L61" s="77">
        <v>0.83</v>
      </c>
      <c r="M61" s="77">
        <v>0.92</v>
      </c>
      <c r="N61" s="77">
        <v>0.89</v>
      </c>
      <c r="O61" s="77">
        <v>0.82</v>
      </c>
      <c r="P61" s="77">
        <v>0.89</v>
      </c>
      <c r="Q61" s="77">
        <v>0.94</v>
      </c>
      <c r="R61" s="77">
        <v>0.87</v>
      </c>
      <c r="S61" s="33"/>
      <c r="T61" s="33" t="s">
        <v>636</v>
      </c>
      <c r="U61" t="str">
        <f>VLOOKUP(T61,GroupLabels!$E$2:$H$145,3,0)</f>
        <v>Lebanon - English*</v>
      </c>
    </row>
    <row r="62" spans="1:21" x14ac:dyDescent="0.25">
      <c r="A62" t="s">
        <v>3084</v>
      </c>
      <c r="B62" s="77">
        <v>0.8</v>
      </c>
      <c r="C62" s="77">
        <v>0.89</v>
      </c>
      <c r="D62" s="77">
        <v>0.81</v>
      </c>
      <c r="E62" s="77">
        <v>0.96</v>
      </c>
      <c r="F62" s="77">
        <v>0.81</v>
      </c>
      <c r="G62" s="77">
        <v>0.88</v>
      </c>
      <c r="H62" s="77">
        <v>0.85</v>
      </c>
      <c r="I62" s="77">
        <v>0.88</v>
      </c>
      <c r="J62" s="77">
        <v>0.93</v>
      </c>
      <c r="K62" s="77">
        <v>0.93</v>
      </c>
      <c r="L62" s="77">
        <v>0.76</v>
      </c>
      <c r="M62" s="77">
        <v>0.91</v>
      </c>
      <c r="N62" s="77">
        <v>0.89</v>
      </c>
      <c r="O62" s="77">
        <v>0.75</v>
      </c>
      <c r="P62" s="77">
        <v>0.78</v>
      </c>
      <c r="Q62" s="77">
        <v>0.93</v>
      </c>
      <c r="R62" s="77">
        <v>0.76</v>
      </c>
      <c r="S62" s="33"/>
      <c r="T62" s="33" t="s">
        <v>637</v>
      </c>
      <c r="U62" t="str">
        <f>VLOOKUP(T62,GroupLabels!$E$2:$H$145,3,0)</f>
        <v>Lebanon - French*</v>
      </c>
    </row>
    <row r="63" spans="1:21" x14ac:dyDescent="0.25">
      <c r="A63" t="s">
        <v>3163</v>
      </c>
      <c r="B63" s="77">
        <v>0.65</v>
      </c>
      <c r="C63" s="77">
        <v>0.81</v>
      </c>
      <c r="D63" s="77">
        <v>0.97</v>
      </c>
      <c r="E63" s="77">
        <v>0.91</v>
      </c>
      <c r="F63" s="77">
        <v>0.77</v>
      </c>
      <c r="G63" s="77">
        <v>0.81</v>
      </c>
      <c r="H63" s="77">
        <v>0.67</v>
      </c>
      <c r="I63" s="77">
        <v>0.81</v>
      </c>
      <c r="J63" s="77">
        <v>0.84</v>
      </c>
      <c r="K63" s="77">
        <v>0.88</v>
      </c>
      <c r="L63" s="77">
        <v>0.74</v>
      </c>
      <c r="M63" s="77">
        <v>0.77</v>
      </c>
      <c r="N63" s="77">
        <v>0.4</v>
      </c>
      <c r="O63" s="77">
        <v>0.67</v>
      </c>
      <c r="P63" s="77">
        <v>0.69</v>
      </c>
      <c r="Q63" s="77">
        <v>0.81</v>
      </c>
      <c r="R63" s="77">
        <v>0.71</v>
      </c>
      <c r="S63" s="33"/>
      <c r="T63" s="33" t="s">
        <v>638</v>
      </c>
      <c r="U63" t="str">
        <f>VLOOKUP(T63,GroupLabels!$E$2:$H$145,3,0)</f>
        <v>Lithuania - Lithuanian</v>
      </c>
    </row>
    <row r="64" spans="1:21" x14ac:dyDescent="0.25">
      <c r="A64" t="s">
        <v>3004</v>
      </c>
      <c r="B64" s="77" t="s">
        <v>3480</v>
      </c>
      <c r="C64" s="77" t="s">
        <v>3480</v>
      </c>
      <c r="D64" s="77" t="s">
        <v>3480</v>
      </c>
      <c r="E64" s="77" t="s">
        <v>3480</v>
      </c>
      <c r="F64" s="77" t="s">
        <v>3480</v>
      </c>
      <c r="G64" s="77" t="s">
        <v>3480</v>
      </c>
      <c r="H64" s="77" t="s">
        <v>3480</v>
      </c>
      <c r="I64" s="77" t="s">
        <v>3480</v>
      </c>
      <c r="J64" s="77" t="s">
        <v>3480</v>
      </c>
      <c r="K64" s="77" t="s">
        <v>3480</v>
      </c>
      <c r="L64" s="77" t="s">
        <v>3480</v>
      </c>
      <c r="M64" s="77" t="s">
        <v>3480</v>
      </c>
      <c r="N64" s="77" t="s">
        <v>3480</v>
      </c>
      <c r="O64" s="77" t="s">
        <v>3480</v>
      </c>
      <c r="P64" s="77" t="s">
        <v>3480</v>
      </c>
      <c r="Q64" s="77" t="s">
        <v>3480</v>
      </c>
      <c r="R64" s="77" t="s">
        <v>3480</v>
      </c>
      <c r="S64" s="33"/>
      <c r="T64" s="33" t="s">
        <v>641</v>
      </c>
      <c r="U64" t="str">
        <f>VLOOKUP(T64,GroupLabels!$E$2:$H$145,3,0)</f>
        <v>Luxembourg - English</v>
      </c>
    </row>
    <row r="65" spans="1:21" x14ac:dyDescent="0.25">
      <c r="A65" t="s">
        <v>3085</v>
      </c>
      <c r="B65" s="77">
        <v>0.77</v>
      </c>
      <c r="C65" s="77">
        <v>0.75</v>
      </c>
      <c r="D65" s="77">
        <v>0.73</v>
      </c>
      <c r="E65" s="77">
        <v>0.88</v>
      </c>
      <c r="F65" s="77">
        <v>0.63</v>
      </c>
      <c r="G65" s="77">
        <v>0.77</v>
      </c>
      <c r="H65" s="77">
        <v>0.77</v>
      </c>
      <c r="I65" s="73">
        <v>0.86</v>
      </c>
      <c r="J65" s="77">
        <v>0.85</v>
      </c>
      <c r="K65" s="77">
        <v>0.88</v>
      </c>
      <c r="L65" s="77">
        <v>0.44</v>
      </c>
      <c r="M65" s="77">
        <v>0.82</v>
      </c>
      <c r="N65" s="77">
        <v>0.83</v>
      </c>
      <c r="O65" s="77">
        <v>0.6</v>
      </c>
      <c r="P65" s="77">
        <v>0.8</v>
      </c>
      <c r="Q65" s="77">
        <v>0.69</v>
      </c>
      <c r="R65" s="77">
        <v>0.81</v>
      </c>
      <c r="S65" s="33"/>
      <c r="T65" s="33" t="s">
        <v>642</v>
      </c>
      <c r="U65" t="str">
        <f>VLOOKUP(T65,GroupLabels!$E$2:$H$145,3,0)</f>
        <v>Luxembourg - French</v>
      </c>
    </row>
    <row r="66" spans="1:21" x14ac:dyDescent="0.25">
      <c r="A66" t="s">
        <v>3007</v>
      </c>
      <c r="B66" s="77">
        <v>0.78</v>
      </c>
      <c r="C66" s="77">
        <v>0.63</v>
      </c>
      <c r="D66" s="77">
        <v>0.6</v>
      </c>
      <c r="E66" s="77">
        <v>0.94</v>
      </c>
      <c r="F66" s="77">
        <v>0.7</v>
      </c>
      <c r="G66" s="77">
        <v>0.7</v>
      </c>
      <c r="H66" s="77">
        <v>0.74</v>
      </c>
      <c r="I66" s="77">
        <v>0.34</v>
      </c>
      <c r="J66" s="77">
        <v>0.87</v>
      </c>
      <c r="K66" s="77">
        <v>0.6</v>
      </c>
      <c r="L66" s="77">
        <v>0.62</v>
      </c>
      <c r="M66" s="77">
        <v>0.87</v>
      </c>
      <c r="N66" s="77">
        <v>0.8</v>
      </c>
      <c r="O66" s="77">
        <v>-0.48</v>
      </c>
      <c r="P66" s="77">
        <v>0.35</v>
      </c>
      <c r="Q66" s="77">
        <v>0.81</v>
      </c>
      <c r="R66" s="77">
        <v>0.53</v>
      </c>
      <c r="S66" s="33"/>
      <c r="T66" s="33" t="s">
        <v>644</v>
      </c>
      <c r="U66" t="str">
        <f>VLOOKUP(T66,GroupLabels!$E$2:$H$145,3,0)</f>
        <v>Macao (China) - English</v>
      </c>
    </row>
    <row r="67" spans="1:21" x14ac:dyDescent="0.25">
      <c r="A67" t="s">
        <v>3279</v>
      </c>
      <c r="B67" s="77">
        <v>0.67</v>
      </c>
      <c r="C67" s="77">
        <v>0.78</v>
      </c>
      <c r="D67" s="77">
        <v>0.91</v>
      </c>
      <c r="E67" s="77">
        <v>0.9</v>
      </c>
      <c r="F67" s="77">
        <v>0.74</v>
      </c>
      <c r="G67" s="77">
        <v>0.86</v>
      </c>
      <c r="H67" s="77">
        <v>0.6</v>
      </c>
      <c r="I67" s="77">
        <v>0.68</v>
      </c>
      <c r="J67" s="77">
        <v>0.76</v>
      </c>
      <c r="K67" s="77">
        <v>0.83</v>
      </c>
      <c r="L67" s="77">
        <v>0.64</v>
      </c>
      <c r="M67" s="77">
        <v>0.72</v>
      </c>
      <c r="N67" s="77">
        <v>0.89</v>
      </c>
      <c r="O67" s="77">
        <v>0.63</v>
      </c>
      <c r="P67" s="77">
        <v>0.87</v>
      </c>
      <c r="Q67" s="77">
        <v>0.85</v>
      </c>
      <c r="R67" s="77">
        <v>0.84</v>
      </c>
      <c r="S67" s="33"/>
      <c r="T67" s="33" t="s">
        <v>646</v>
      </c>
      <c r="U67" t="str">
        <f>VLOOKUP(T67,GroupLabels!$E$2:$H$145,3,0)</f>
        <v>Macao (China) - Chinese</v>
      </c>
    </row>
    <row r="68" spans="1:21" x14ac:dyDescent="0.25">
      <c r="A68" t="s">
        <v>3234</v>
      </c>
      <c r="B68" s="77">
        <v>0.87</v>
      </c>
      <c r="C68" s="77">
        <v>0.92</v>
      </c>
      <c r="D68" s="77">
        <v>0.91</v>
      </c>
      <c r="E68" s="77">
        <v>0.95</v>
      </c>
      <c r="F68" s="77">
        <v>0.89</v>
      </c>
      <c r="G68" s="77">
        <v>0.55000000000000004</v>
      </c>
      <c r="H68" s="77">
        <v>0.67</v>
      </c>
      <c r="I68" s="77">
        <v>0.87</v>
      </c>
      <c r="J68" s="77">
        <v>0.9</v>
      </c>
      <c r="K68" s="9" t="s">
        <v>581</v>
      </c>
      <c r="L68" s="77">
        <v>0.72</v>
      </c>
      <c r="M68" s="77">
        <v>0.85</v>
      </c>
      <c r="N68" s="77">
        <v>0.88</v>
      </c>
      <c r="O68" s="77">
        <v>0.77</v>
      </c>
      <c r="P68" s="77">
        <v>0.87</v>
      </c>
      <c r="Q68" s="77">
        <v>0.95</v>
      </c>
      <c r="R68" s="77">
        <v>0.9</v>
      </c>
      <c r="S68" s="33"/>
      <c r="T68" s="33" t="s">
        <v>647</v>
      </c>
      <c r="U68" t="str">
        <f>VLOOKUP(T68,GroupLabels!$E$2:$H$145,3,0)</f>
        <v>Macedonia - Albanian</v>
      </c>
    </row>
    <row r="69" spans="1:21" x14ac:dyDescent="0.25">
      <c r="A69" t="s">
        <v>3172</v>
      </c>
      <c r="B69" s="77">
        <v>0.76</v>
      </c>
      <c r="C69" s="77">
        <v>0.88</v>
      </c>
      <c r="D69" s="77">
        <v>0.91</v>
      </c>
      <c r="E69" s="77">
        <v>0.93</v>
      </c>
      <c r="F69" s="77">
        <v>0.88</v>
      </c>
      <c r="G69" s="77">
        <v>0.83</v>
      </c>
      <c r="H69" s="77">
        <v>0.78</v>
      </c>
      <c r="I69" s="77">
        <v>0.74</v>
      </c>
      <c r="J69" s="77">
        <v>0.94</v>
      </c>
      <c r="K69" s="77" t="s">
        <v>581</v>
      </c>
      <c r="L69" s="77">
        <v>0.72</v>
      </c>
      <c r="M69" s="77">
        <v>0.85</v>
      </c>
      <c r="N69" s="77">
        <v>0.92</v>
      </c>
      <c r="O69" s="77">
        <v>0.8</v>
      </c>
      <c r="P69" s="77">
        <v>0.69</v>
      </c>
      <c r="Q69" s="77">
        <v>0.96</v>
      </c>
      <c r="R69" s="77">
        <v>0.87</v>
      </c>
      <c r="S69" s="33"/>
      <c r="T69" s="33" t="s">
        <v>648</v>
      </c>
      <c r="U69" t="str">
        <f>VLOOKUP(T69,GroupLabels!$E$2:$H$145,3,0)</f>
        <v>Macedonia - Macedonian</v>
      </c>
    </row>
    <row r="70" spans="1:21" x14ac:dyDescent="0.25">
      <c r="A70" t="s">
        <v>3013</v>
      </c>
      <c r="B70" s="77">
        <v>0.71</v>
      </c>
      <c r="C70" s="77">
        <v>0.81</v>
      </c>
      <c r="D70" s="77">
        <v>0.85</v>
      </c>
      <c r="E70" s="77">
        <v>0.93</v>
      </c>
      <c r="F70" s="77">
        <v>0.9</v>
      </c>
      <c r="G70" s="77">
        <v>0.9</v>
      </c>
      <c r="H70" s="77">
        <v>0.86</v>
      </c>
      <c r="I70" s="77">
        <v>0.59</v>
      </c>
      <c r="J70" s="77">
        <v>0.55000000000000004</v>
      </c>
      <c r="K70" s="77">
        <v>0.85</v>
      </c>
      <c r="L70" s="77">
        <v>0.82</v>
      </c>
      <c r="M70" s="77">
        <v>0.89</v>
      </c>
      <c r="N70" s="77">
        <v>0.76</v>
      </c>
      <c r="O70" s="77">
        <v>0.35</v>
      </c>
      <c r="P70" s="77">
        <v>0.83</v>
      </c>
      <c r="Q70" s="77">
        <v>0.5</v>
      </c>
      <c r="R70" s="77">
        <v>0.74</v>
      </c>
      <c r="S70" s="33"/>
      <c r="T70" s="33" t="s">
        <v>649</v>
      </c>
      <c r="U70" t="str">
        <f>VLOOKUP(T70,GroupLabels!$E$2:$H$145,3,0)</f>
        <v>Malaysia - English</v>
      </c>
    </row>
    <row r="71" spans="1:21" x14ac:dyDescent="0.25">
      <c r="A71" t="s">
        <v>3179</v>
      </c>
      <c r="B71" s="77">
        <v>0.6</v>
      </c>
      <c r="C71" s="77">
        <v>0.86</v>
      </c>
      <c r="D71" s="77">
        <v>0.87</v>
      </c>
      <c r="E71" s="77">
        <v>0.91</v>
      </c>
      <c r="F71" s="77">
        <v>0.79</v>
      </c>
      <c r="G71" s="77">
        <v>0.84</v>
      </c>
      <c r="H71" s="77">
        <v>0.8</v>
      </c>
      <c r="I71" s="77">
        <v>0.76</v>
      </c>
      <c r="J71" s="77">
        <v>0.86</v>
      </c>
      <c r="K71" s="77">
        <v>0.9</v>
      </c>
      <c r="L71" s="77">
        <v>0.86</v>
      </c>
      <c r="M71" s="77">
        <v>0.86</v>
      </c>
      <c r="N71" s="77">
        <v>0.86</v>
      </c>
      <c r="O71" s="77">
        <v>0.55000000000000004</v>
      </c>
      <c r="P71" s="77">
        <v>0.82</v>
      </c>
      <c r="Q71" s="77">
        <v>0.65</v>
      </c>
      <c r="R71" s="77">
        <v>0.74</v>
      </c>
      <c r="S71" s="33"/>
      <c r="T71" s="33" t="s">
        <v>650</v>
      </c>
      <c r="U71" t="str">
        <f>VLOOKUP(T71,GroupLabels!$E$2:$H$145,3,0)</f>
        <v>Malaysia - Malay</v>
      </c>
    </row>
    <row r="72" spans="1:21" x14ac:dyDescent="0.25">
      <c r="A72" t="s">
        <v>3009</v>
      </c>
      <c r="B72" s="77">
        <v>0.57999999999999996</v>
      </c>
      <c r="C72" s="77">
        <v>0.76</v>
      </c>
      <c r="D72" s="77">
        <v>0.89</v>
      </c>
      <c r="E72" s="77">
        <v>0.89</v>
      </c>
      <c r="F72" s="77">
        <v>0.72</v>
      </c>
      <c r="G72" s="77">
        <v>0.91</v>
      </c>
      <c r="H72" s="77">
        <v>0.79</v>
      </c>
      <c r="I72" s="77">
        <v>0.37</v>
      </c>
      <c r="J72" s="77">
        <v>0.81</v>
      </c>
      <c r="K72" s="77">
        <v>0.93</v>
      </c>
      <c r="L72" s="77">
        <v>0.63</v>
      </c>
      <c r="M72" s="77">
        <v>0.87</v>
      </c>
      <c r="N72" s="77">
        <v>0.92</v>
      </c>
      <c r="O72" s="77">
        <v>0.69</v>
      </c>
      <c r="P72" s="77">
        <v>0.87</v>
      </c>
      <c r="Q72" s="77">
        <v>0.63</v>
      </c>
      <c r="R72" s="77">
        <v>0.68</v>
      </c>
      <c r="S72" s="33"/>
      <c r="T72" s="33" t="s">
        <v>651</v>
      </c>
      <c r="U72" t="str">
        <f>VLOOKUP(T72,GroupLabels!$E$2:$H$145,3,0)</f>
        <v>Malta - English</v>
      </c>
    </row>
    <row r="73" spans="1:21" x14ac:dyDescent="0.25">
      <c r="A73" t="s">
        <v>3053</v>
      </c>
      <c r="B73" s="77">
        <v>0.78</v>
      </c>
      <c r="C73" s="77">
        <v>0.9</v>
      </c>
      <c r="D73" s="77">
        <v>0.93</v>
      </c>
      <c r="E73" s="77">
        <v>0.94</v>
      </c>
      <c r="F73" s="77">
        <v>0.82</v>
      </c>
      <c r="G73" s="77">
        <v>0.88</v>
      </c>
      <c r="H73" s="77">
        <v>0.85</v>
      </c>
      <c r="I73" s="77">
        <v>0.84</v>
      </c>
      <c r="J73" s="77">
        <v>0.88</v>
      </c>
      <c r="K73" s="77">
        <v>0.92</v>
      </c>
      <c r="L73" s="77">
        <v>0.69</v>
      </c>
      <c r="M73" s="77">
        <v>0.87</v>
      </c>
      <c r="N73" s="77">
        <v>0.88</v>
      </c>
      <c r="O73" s="77">
        <v>0.62</v>
      </c>
      <c r="P73" s="77">
        <v>0.82</v>
      </c>
      <c r="Q73" s="77">
        <v>0.82</v>
      </c>
      <c r="R73" s="77">
        <v>0.68</v>
      </c>
      <c r="S73" s="33"/>
      <c r="T73" s="33" t="s">
        <v>653</v>
      </c>
      <c r="U73" t="str">
        <f>VLOOKUP(T73,GroupLabels!$E$2:$H$145,3,0)</f>
        <v>Mexico - Spanish</v>
      </c>
    </row>
    <row r="74" spans="1:21" x14ac:dyDescent="0.25">
      <c r="A74" t="s">
        <v>3206</v>
      </c>
      <c r="B74" s="77">
        <v>0.59</v>
      </c>
      <c r="C74" s="77">
        <v>0.91</v>
      </c>
      <c r="D74" s="77">
        <v>0.92</v>
      </c>
      <c r="E74" s="77">
        <v>0.88</v>
      </c>
      <c r="F74" s="77">
        <v>0.74</v>
      </c>
      <c r="G74" s="77">
        <v>0.86</v>
      </c>
      <c r="H74" s="77">
        <v>0.75</v>
      </c>
      <c r="I74" s="77">
        <v>0.78</v>
      </c>
      <c r="J74" s="77">
        <v>0.89</v>
      </c>
      <c r="K74" s="73">
        <v>0.92</v>
      </c>
      <c r="L74" s="77">
        <v>0.8</v>
      </c>
      <c r="M74" s="77">
        <v>0.81</v>
      </c>
      <c r="N74" s="77">
        <v>0.92</v>
      </c>
      <c r="O74" s="77">
        <v>0.63</v>
      </c>
      <c r="P74" s="77">
        <v>0.71</v>
      </c>
      <c r="Q74" s="77">
        <v>0.72</v>
      </c>
      <c r="R74" s="77">
        <v>0.67</v>
      </c>
      <c r="S74" s="33"/>
      <c r="T74" s="33" t="s">
        <v>654</v>
      </c>
      <c r="U74" t="str">
        <f>VLOOKUP(T74,GroupLabels!$E$2:$H$145,3,0)</f>
        <v>Moldova - Romanian</v>
      </c>
    </row>
    <row r="75" spans="1:21" x14ac:dyDescent="0.25">
      <c r="A75" t="s">
        <v>3215</v>
      </c>
      <c r="B75" s="77">
        <v>0.6</v>
      </c>
      <c r="C75" s="77">
        <v>0.87</v>
      </c>
      <c r="D75" s="77">
        <v>0.94</v>
      </c>
      <c r="E75" s="77">
        <v>0.88</v>
      </c>
      <c r="F75" s="77">
        <v>0.79</v>
      </c>
      <c r="G75" s="77">
        <v>0.84</v>
      </c>
      <c r="H75" s="77">
        <v>0.75</v>
      </c>
      <c r="I75" s="77">
        <v>0.56000000000000005</v>
      </c>
      <c r="J75" s="77">
        <v>0.91</v>
      </c>
      <c r="K75" s="77">
        <v>0.92</v>
      </c>
      <c r="L75" s="77">
        <v>0.93</v>
      </c>
      <c r="M75" s="77">
        <v>0.77</v>
      </c>
      <c r="N75" s="77">
        <v>0.91</v>
      </c>
      <c r="O75" s="77">
        <v>0.67</v>
      </c>
      <c r="P75" s="77">
        <v>0.87</v>
      </c>
      <c r="Q75" s="77">
        <v>0.75</v>
      </c>
      <c r="R75" s="77">
        <v>0.75</v>
      </c>
      <c r="S75" s="33"/>
      <c r="T75" s="33" t="s">
        <v>655</v>
      </c>
      <c r="U75" t="str">
        <f>VLOOKUP(T75,GroupLabels!$E$2:$H$145,3,0)</f>
        <v>Moldova - Russian</v>
      </c>
    </row>
    <row r="76" spans="1:21" x14ac:dyDescent="0.25">
      <c r="A76" t="s">
        <v>3175</v>
      </c>
      <c r="B76" s="77">
        <v>0.69</v>
      </c>
      <c r="C76" s="77">
        <v>0.86</v>
      </c>
      <c r="D76" s="77">
        <v>0.92</v>
      </c>
      <c r="E76" s="77">
        <v>0.93</v>
      </c>
      <c r="F76" s="77">
        <v>0.75</v>
      </c>
      <c r="G76" s="77">
        <v>0.82</v>
      </c>
      <c r="H76" s="77">
        <v>0.78</v>
      </c>
      <c r="I76" s="77">
        <v>0.7</v>
      </c>
      <c r="J76" s="77">
        <v>0.87</v>
      </c>
      <c r="K76" s="77">
        <v>0.94</v>
      </c>
      <c r="L76" s="77">
        <v>0.59</v>
      </c>
      <c r="M76" s="77">
        <v>0.78</v>
      </c>
      <c r="N76" s="77">
        <v>0.78</v>
      </c>
      <c r="O76" s="77">
        <v>0.69</v>
      </c>
      <c r="P76" s="77">
        <v>0.77</v>
      </c>
      <c r="Q76" s="77">
        <v>0.56999999999999995</v>
      </c>
      <c r="R76" s="77">
        <v>0.81</v>
      </c>
      <c r="S76" s="33"/>
      <c r="T76" s="33" t="s">
        <v>657</v>
      </c>
      <c r="U76" t="str">
        <f>VLOOKUP(T76,GroupLabels!$E$2:$H$145,3,0)</f>
        <v>Mongolia - Mongolian</v>
      </c>
    </row>
    <row r="77" spans="1:21" x14ac:dyDescent="0.25">
      <c r="A77" t="s">
        <v>2941</v>
      </c>
      <c r="B77" s="77">
        <v>0.74</v>
      </c>
      <c r="C77" s="77">
        <v>0.8</v>
      </c>
      <c r="D77" s="77">
        <v>0.85</v>
      </c>
      <c r="E77" s="77">
        <v>0.92</v>
      </c>
      <c r="F77" s="77">
        <v>0.86</v>
      </c>
      <c r="G77" s="77">
        <v>0.79</v>
      </c>
      <c r="H77" s="77">
        <v>0.72</v>
      </c>
      <c r="I77" s="77">
        <v>0.8</v>
      </c>
      <c r="J77" s="77">
        <v>0.92</v>
      </c>
      <c r="K77" s="77">
        <v>0.95</v>
      </c>
      <c r="L77" s="77">
        <v>0.33</v>
      </c>
      <c r="M77" s="77">
        <v>0.91</v>
      </c>
      <c r="N77" s="77">
        <v>0.87</v>
      </c>
      <c r="O77" s="77">
        <v>0.84</v>
      </c>
      <c r="P77" s="77">
        <v>0.66</v>
      </c>
      <c r="Q77" s="77">
        <v>0.91</v>
      </c>
      <c r="R77" s="77">
        <v>0.82</v>
      </c>
      <c r="S77" s="33"/>
      <c r="T77" s="33" t="s">
        <v>659</v>
      </c>
      <c r="U77" t="str">
        <f>VLOOKUP(T77,GroupLabels!$E$2:$H$145,3,0)</f>
        <v>Montenegro - Montenegrin</v>
      </c>
    </row>
    <row r="78" spans="1:21" x14ac:dyDescent="0.25">
      <c r="A78" t="s">
        <v>2906</v>
      </c>
      <c r="B78" s="77">
        <v>0.7</v>
      </c>
      <c r="C78" s="77">
        <v>0.9</v>
      </c>
      <c r="D78" s="77">
        <v>0.9</v>
      </c>
      <c r="E78" s="77">
        <v>0.94</v>
      </c>
      <c r="F78" s="77">
        <v>0.71</v>
      </c>
      <c r="G78" s="77">
        <v>0.86</v>
      </c>
      <c r="H78" s="77">
        <v>0.7</v>
      </c>
      <c r="I78" s="77">
        <v>0.82</v>
      </c>
      <c r="J78" s="77">
        <v>0.93</v>
      </c>
      <c r="K78" s="73">
        <v>0.92</v>
      </c>
      <c r="L78" s="77">
        <v>0.75</v>
      </c>
      <c r="M78" s="77">
        <v>0.88</v>
      </c>
      <c r="N78" s="77">
        <v>0.95</v>
      </c>
      <c r="O78" s="77">
        <v>0.82</v>
      </c>
      <c r="P78" s="77">
        <v>0.8</v>
      </c>
      <c r="Q78" s="77">
        <v>0.84</v>
      </c>
      <c r="R78" s="77">
        <v>0.81</v>
      </c>
      <c r="S78" s="33"/>
      <c r="T78" s="33" t="s">
        <v>660</v>
      </c>
      <c r="U78" t="str">
        <f>VLOOKUP(T78,GroupLabels!$E$2:$H$145,3,0)</f>
        <v>Morocco - Arabic</v>
      </c>
    </row>
    <row r="79" spans="1:21" x14ac:dyDescent="0.25">
      <c r="A79" t="s">
        <v>3187</v>
      </c>
      <c r="B79" s="77">
        <v>0.73</v>
      </c>
      <c r="C79" s="77">
        <v>0.82</v>
      </c>
      <c r="D79" s="77">
        <v>0.95</v>
      </c>
      <c r="E79" s="77">
        <v>0.88</v>
      </c>
      <c r="F79" s="77">
        <v>0.77</v>
      </c>
      <c r="G79" s="77">
        <v>0.79</v>
      </c>
      <c r="H79" s="77">
        <v>0.42</v>
      </c>
      <c r="I79" s="77">
        <v>0.34</v>
      </c>
      <c r="J79" s="77">
        <v>0.85</v>
      </c>
      <c r="K79" s="77">
        <v>0.88</v>
      </c>
      <c r="L79" s="77">
        <v>0.69</v>
      </c>
      <c r="M79" s="77">
        <v>0.77</v>
      </c>
      <c r="N79" s="77">
        <v>0.87</v>
      </c>
      <c r="O79" s="77">
        <v>0.79</v>
      </c>
      <c r="P79" s="77">
        <v>0.79</v>
      </c>
      <c r="Q79" s="77">
        <v>0.78</v>
      </c>
      <c r="R79" s="77">
        <v>0.76</v>
      </c>
      <c r="S79" s="33"/>
      <c r="T79" s="33" t="s">
        <v>661</v>
      </c>
      <c r="U79" t="str">
        <f>VLOOKUP(T79,GroupLabels!$E$2:$H$145,3,0)</f>
        <v>Netherlands - Dutch</v>
      </c>
    </row>
    <row r="80" spans="1:21" x14ac:dyDescent="0.25">
      <c r="A80" t="s">
        <v>3016</v>
      </c>
      <c r="B80" s="77">
        <v>0.79</v>
      </c>
      <c r="C80" s="77">
        <v>0.78</v>
      </c>
      <c r="D80" s="77">
        <v>0.83</v>
      </c>
      <c r="E80" s="77">
        <v>0.93</v>
      </c>
      <c r="F80" s="77">
        <v>0.79</v>
      </c>
      <c r="G80" s="77">
        <v>0.89</v>
      </c>
      <c r="H80" s="77">
        <v>0.69</v>
      </c>
      <c r="I80" s="77">
        <v>0.64</v>
      </c>
      <c r="J80" s="77">
        <v>0.79</v>
      </c>
      <c r="K80" s="77">
        <v>0.87</v>
      </c>
      <c r="L80" s="77">
        <v>0.86</v>
      </c>
      <c r="M80" s="77">
        <v>0.84</v>
      </c>
      <c r="N80" s="77">
        <v>0.81</v>
      </c>
      <c r="O80" s="77">
        <v>0.72</v>
      </c>
      <c r="P80" s="77">
        <v>0.88</v>
      </c>
      <c r="Q80" s="77">
        <v>0.67</v>
      </c>
      <c r="R80" s="77">
        <v>0.67</v>
      </c>
      <c r="S80" s="33"/>
      <c r="T80" s="33" t="s">
        <v>662</v>
      </c>
      <c r="U80" t="str">
        <f>VLOOKUP(T80,GroupLabels!$E$2:$H$145,3,0)</f>
        <v>New Zealand - English</v>
      </c>
    </row>
    <row r="81" spans="1:21" x14ac:dyDescent="0.25">
      <c r="A81" t="s">
        <v>760</v>
      </c>
      <c r="B81" s="77" t="s">
        <v>3476</v>
      </c>
      <c r="C81" s="77">
        <v>0.67</v>
      </c>
      <c r="D81" s="77" t="s">
        <v>3476</v>
      </c>
      <c r="E81" s="77">
        <v>0.87</v>
      </c>
      <c r="F81" s="77">
        <v>0.72</v>
      </c>
      <c r="G81" s="77">
        <v>0.81</v>
      </c>
      <c r="H81" s="77">
        <v>0.61</v>
      </c>
      <c r="I81" s="77" t="s">
        <v>3476</v>
      </c>
      <c r="J81" s="77">
        <v>0.8</v>
      </c>
      <c r="K81" s="77">
        <v>0.76</v>
      </c>
      <c r="L81" s="77">
        <v>0.44</v>
      </c>
      <c r="M81" s="77">
        <v>0.75</v>
      </c>
      <c r="N81" s="77">
        <v>0.86</v>
      </c>
      <c r="O81" s="77" t="s">
        <v>3476</v>
      </c>
      <c r="P81" s="77">
        <v>0.67</v>
      </c>
      <c r="Q81" s="77" t="s">
        <v>3476</v>
      </c>
      <c r="R81" s="77" t="s">
        <v>3476</v>
      </c>
      <c r="S81" s="33"/>
      <c r="T81" s="33" t="s">
        <v>663</v>
      </c>
      <c r="U81" t="str">
        <f>VLOOKUP(T81,GroupLabels!$E$2:$H$145,3,0)</f>
        <v>Norway - Norwegian Bokmål</v>
      </c>
    </row>
    <row r="82" spans="1:21" x14ac:dyDescent="0.25">
      <c r="A82" t="s">
        <v>2909</v>
      </c>
      <c r="B82" s="77">
        <v>0.71</v>
      </c>
      <c r="C82" s="77">
        <v>0.88</v>
      </c>
      <c r="D82" s="77">
        <v>0.95</v>
      </c>
      <c r="E82" s="77">
        <v>0.93</v>
      </c>
      <c r="F82" s="77">
        <v>0.83</v>
      </c>
      <c r="G82" s="77">
        <v>0.91</v>
      </c>
      <c r="H82" s="77">
        <v>0.81</v>
      </c>
      <c r="I82" s="77">
        <v>0.79</v>
      </c>
      <c r="J82" s="77">
        <v>0.93</v>
      </c>
      <c r="K82" s="77">
        <v>0.92</v>
      </c>
      <c r="L82" s="77">
        <v>0.72</v>
      </c>
      <c r="M82" s="77">
        <v>0.88</v>
      </c>
      <c r="N82" s="77">
        <v>0.75</v>
      </c>
      <c r="O82" s="77">
        <v>0.79</v>
      </c>
      <c r="P82" s="77">
        <v>0.87</v>
      </c>
      <c r="Q82" s="77">
        <v>0.84</v>
      </c>
      <c r="R82" s="77">
        <v>0.83</v>
      </c>
      <c r="S82" s="33"/>
      <c r="T82" s="33" t="s">
        <v>665</v>
      </c>
      <c r="U82" t="str">
        <f>VLOOKUP(T82,GroupLabels!$E$2:$H$145,3,0)</f>
        <v>Palestinian Authority - Arabic*</v>
      </c>
    </row>
    <row r="83" spans="1:21" x14ac:dyDescent="0.25">
      <c r="A83" t="s">
        <v>3019</v>
      </c>
      <c r="B83" s="77" t="s">
        <v>3480</v>
      </c>
      <c r="C83" s="77" t="s">
        <v>3480</v>
      </c>
      <c r="D83" s="77" t="s">
        <v>3480</v>
      </c>
      <c r="E83" s="77" t="s">
        <v>3480</v>
      </c>
      <c r="F83" s="77" t="s">
        <v>3480</v>
      </c>
      <c r="G83" s="77" t="s">
        <v>3480</v>
      </c>
      <c r="H83" s="77" t="s">
        <v>3480</v>
      </c>
      <c r="I83" s="77" t="s">
        <v>3480</v>
      </c>
      <c r="J83" s="77" t="s">
        <v>3480</v>
      </c>
      <c r="K83" s="77" t="s">
        <v>3480</v>
      </c>
      <c r="L83" s="77" t="s">
        <v>3480</v>
      </c>
      <c r="M83" s="77" t="s">
        <v>3480</v>
      </c>
      <c r="N83" s="77" t="s">
        <v>3480</v>
      </c>
      <c r="O83" s="77" t="s">
        <v>3480</v>
      </c>
      <c r="P83" s="77" t="s">
        <v>3480</v>
      </c>
      <c r="Q83" s="77" t="s">
        <v>3480</v>
      </c>
      <c r="R83" s="77" t="s">
        <v>3480</v>
      </c>
      <c r="S83" s="33"/>
      <c r="T83" s="33" t="s">
        <v>666</v>
      </c>
      <c r="U83" t="str">
        <f>VLOOKUP(T83,GroupLabels!$E$2:$H$145,3,0)</f>
        <v>Palestinian Authority - English*</v>
      </c>
    </row>
    <row r="84" spans="1:21" x14ac:dyDescent="0.25">
      <c r="A84" t="s">
        <v>3059</v>
      </c>
      <c r="B84" s="77">
        <v>0.73</v>
      </c>
      <c r="C84" s="77">
        <v>0.96</v>
      </c>
      <c r="D84" s="77">
        <v>0.76</v>
      </c>
      <c r="E84" s="77">
        <v>0.93</v>
      </c>
      <c r="F84" s="77">
        <v>0.8</v>
      </c>
      <c r="G84" s="77">
        <v>0.87</v>
      </c>
      <c r="H84" s="77">
        <v>0.81</v>
      </c>
      <c r="I84" s="77">
        <v>0.89</v>
      </c>
      <c r="J84" s="77">
        <v>0.93</v>
      </c>
      <c r="K84" s="77">
        <v>0.93</v>
      </c>
      <c r="L84" s="77">
        <v>0.84</v>
      </c>
      <c r="M84" s="77">
        <v>0.87</v>
      </c>
      <c r="N84" s="77">
        <v>0.88</v>
      </c>
      <c r="O84" s="77">
        <v>0.74</v>
      </c>
      <c r="P84" s="77">
        <v>0.77</v>
      </c>
      <c r="Q84" s="77">
        <v>0.83</v>
      </c>
      <c r="R84" s="77">
        <v>0.72</v>
      </c>
      <c r="S84" s="33"/>
      <c r="T84" s="33" t="s">
        <v>667</v>
      </c>
      <c r="U84" t="str">
        <f>VLOOKUP(T84,GroupLabels!$E$2:$H$145,3,0)</f>
        <v>Paraguay - Spanish</v>
      </c>
    </row>
    <row r="85" spans="1:21" x14ac:dyDescent="0.25">
      <c r="A85" t="s">
        <v>3056</v>
      </c>
      <c r="B85" s="73">
        <v>0.64</v>
      </c>
      <c r="C85" s="77">
        <v>0.94</v>
      </c>
      <c r="D85" s="73">
        <v>0.89</v>
      </c>
      <c r="E85" s="77">
        <v>0.94</v>
      </c>
      <c r="F85" s="77">
        <v>0.84</v>
      </c>
      <c r="G85" s="77">
        <v>0.94</v>
      </c>
      <c r="H85" s="77">
        <v>0.85</v>
      </c>
      <c r="I85" s="73">
        <v>0.8</v>
      </c>
      <c r="J85" s="77">
        <v>0.93</v>
      </c>
      <c r="K85" s="77">
        <v>0.92</v>
      </c>
      <c r="L85" s="77">
        <v>0.68</v>
      </c>
      <c r="M85" s="77">
        <v>0.83</v>
      </c>
      <c r="N85" s="77">
        <v>0.86</v>
      </c>
      <c r="O85" s="73">
        <v>0.71</v>
      </c>
      <c r="P85" s="77">
        <v>0.81</v>
      </c>
      <c r="Q85" s="73">
        <v>0.82</v>
      </c>
      <c r="R85" s="73">
        <v>0.65</v>
      </c>
      <c r="S85" s="33"/>
      <c r="T85" s="33" t="s">
        <v>668</v>
      </c>
      <c r="U85" t="str">
        <f>VLOOKUP(T85,GroupLabels!$E$2:$H$145,3,0)</f>
        <v>Peru - Spanish</v>
      </c>
    </row>
    <row r="86" spans="1:21" x14ac:dyDescent="0.25">
      <c r="A86" t="s">
        <v>3018</v>
      </c>
      <c r="B86" s="77">
        <v>0.74</v>
      </c>
      <c r="C86" s="77">
        <v>0.81</v>
      </c>
      <c r="D86" s="77">
        <v>0.96</v>
      </c>
      <c r="E86" s="77">
        <v>0.94</v>
      </c>
      <c r="F86" s="77">
        <v>0.83</v>
      </c>
      <c r="G86" s="77">
        <v>0.92</v>
      </c>
      <c r="H86" s="77">
        <v>0.86</v>
      </c>
      <c r="I86" s="77">
        <v>0.82</v>
      </c>
      <c r="J86" s="77">
        <v>0.8</v>
      </c>
      <c r="K86" s="77">
        <v>0.93</v>
      </c>
      <c r="L86" s="77">
        <v>0.91</v>
      </c>
      <c r="M86" s="77">
        <v>0.82</v>
      </c>
      <c r="N86" s="77">
        <v>0.85</v>
      </c>
      <c r="O86" s="77">
        <v>0.71</v>
      </c>
      <c r="P86" s="77">
        <v>0.86</v>
      </c>
      <c r="Q86" s="77">
        <v>0.76</v>
      </c>
      <c r="R86" s="77">
        <v>0.59</v>
      </c>
      <c r="S86" s="33"/>
      <c r="T86" s="33" t="s">
        <v>669</v>
      </c>
      <c r="U86" t="str">
        <f>VLOOKUP(T86,GroupLabels!$E$2:$H$145,3,0)</f>
        <v>Philippines - English</v>
      </c>
    </row>
    <row r="87" spans="1:21" x14ac:dyDescent="0.25">
      <c r="A87" t="s">
        <v>3194</v>
      </c>
      <c r="B87" s="77">
        <v>0.66</v>
      </c>
      <c r="C87" s="77">
        <v>0.8</v>
      </c>
      <c r="D87" s="77">
        <v>0.93</v>
      </c>
      <c r="E87" s="73">
        <v>0.92</v>
      </c>
      <c r="F87" s="77">
        <v>0.75</v>
      </c>
      <c r="G87" s="73">
        <v>0.86</v>
      </c>
      <c r="H87" s="73">
        <v>0.77</v>
      </c>
      <c r="I87" s="77">
        <v>0.76</v>
      </c>
      <c r="J87" s="77">
        <v>0.8</v>
      </c>
      <c r="K87" s="77">
        <v>0.87</v>
      </c>
      <c r="L87" s="73">
        <v>0.52</v>
      </c>
      <c r="M87" s="73">
        <v>0.79</v>
      </c>
      <c r="N87" s="77">
        <v>0.91</v>
      </c>
      <c r="O87" s="77">
        <v>0.74</v>
      </c>
      <c r="P87" s="77">
        <v>0.83</v>
      </c>
      <c r="Q87" s="77">
        <v>0.92</v>
      </c>
      <c r="R87" s="73">
        <v>0.8</v>
      </c>
      <c r="S87" s="33"/>
      <c r="T87" s="33" t="s">
        <v>670</v>
      </c>
      <c r="U87" t="str">
        <f>VLOOKUP(T87,GroupLabels!$E$2:$H$145,3,0)</f>
        <v>Poland - Polish</v>
      </c>
    </row>
    <row r="88" spans="1:21" x14ac:dyDescent="0.25">
      <c r="A88" t="s">
        <v>3202</v>
      </c>
      <c r="B88" s="77">
        <v>0.67</v>
      </c>
      <c r="C88" s="77">
        <v>0.83</v>
      </c>
      <c r="D88" s="77">
        <v>0.96</v>
      </c>
      <c r="E88" s="77">
        <v>0.89</v>
      </c>
      <c r="F88" s="77">
        <v>0.83</v>
      </c>
      <c r="G88" s="77">
        <v>0.86</v>
      </c>
      <c r="H88" s="77">
        <v>0.82</v>
      </c>
      <c r="I88" s="77">
        <v>0.65</v>
      </c>
      <c r="J88" s="77">
        <v>0.95</v>
      </c>
      <c r="K88" s="77">
        <v>0.95</v>
      </c>
      <c r="L88" s="77">
        <v>0.64</v>
      </c>
      <c r="M88" s="77">
        <v>0.81</v>
      </c>
      <c r="N88" s="77">
        <v>0.92</v>
      </c>
      <c r="O88" s="77">
        <v>0.73</v>
      </c>
      <c r="P88" s="77">
        <v>0.79</v>
      </c>
      <c r="Q88" s="77">
        <v>0.91</v>
      </c>
      <c r="R88" s="77">
        <v>0.76</v>
      </c>
      <c r="S88" s="33"/>
      <c r="T88" s="33" t="s">
        <v>671</v>
      </c>
      <c r="U88" t="str">
        <f>VLOOKUP(T88,GroupLabels!$E$2:$H$145,3,0)</f>
        <v>Portugal - Portuguese</v>
      </c>
    </row>
    <row r="89" spans="1:21" x14ac:dyDescent="0.25">
      <c r="A89" t="s">
        <v>2912</v>
      </c>
      <c r="B89" s="77">
        <v>0.6</v>
      </c>
      <c r="C89" s="77">
        <v>0.82</v>
      </c>
      <c r="D89" s="77">
        <v>0.94</v>
      </c>
      <c r="E89" s="77">
        <v>0.95</v>
      </c>
      <c r="F89" s="77">
        <v>0.88</v>
      </c>
      <c r="G89" s="77">
        <v>0.91</v>
      </c>
      <c r="H89" s="77">
        <v>0.74</v>
      </c>
      <c r="I89" s="77">
        <v>0.92</v>
      </c>
      <c r="J89" s="77">
        <v>0.93</v>
      </c>
      <c r="K89" s="77">
        <v>0.93</v>
      </c>
      <c r="L89" s="77">
        <v>0.91</v>
      </c>
      <c r="M89" s="77">
        <v>0.87</v>
      </c>
      <c r="N89" s="77">
        <v>0.72</v>
      </c>
      <c r="O89" s="77">
        <v>0.83</v>
      </c>
      <c r="P89" s="77">
        <v>0.88</v>
      </c>
      <c r="Q89" s="77">
        <v>0.84</v>
      </c>
      <c r="R89" s="77">
        <v>0.74</v>
      </c>
      <c r="S89" s="33"/>
      <c r="T89" s="33" t="s">
        <v>672</v>
      </c>
      <c r="U89" t="str">
        <f>VLOOKUP(T89,GroupLabels!$E$2:$H$145,3,0)</f>
        <v>Qatar - Arabic</v>
      </c>
    </row>
    <row r="90" spans="1:21" x14ac:dyDescent="0.25">
      <c r="A90" t="s">
        <v>3020</v>
      </c>
      <c r="B90" s="77">
        <v>0.66</v>
      </c>
      <c r="C90" s="77">
        <v>0.76</v>
      </c>
      <c r="D90" s="77">
        <v>0.93</v>
      </c>
      <c r="E90" s="77">
        <v>0.98</v>
      </c>
      <c r="F90" s="77">
        <v>0.82</v>
      </c>
      <c r="G90" s="77">
        <v>0.89</v>
      </c>
      <c r="H90" s="77">
        <v>0.79</v>
      </c>
      <c r="I90" s="77">
        <v>0.73</v>
      </c>
      <c r="J90" s="77">
        <v>0.88</v>
      </c>
      <c r="K90" s="77">
        <v>0.93</v>
      </c>
      <c r="L90" s="77">
        <v>0.78</v>
      </c>
      <c r="M90" s="77">
        <v>0.85</v>
      </c>
      <c r="N90" s="77">
        <v>0.75</v>
      </c>
      <c r="O90" s="77">
        <v>0.79</v>
      </c>
      <c r="P90" s="77">
        <v>0.81</v>
      </c>
      <c r="Q90" s="77">
        <v>0.81</v>
      </c>
      <c r="R90" s="77">
        <v>0.74</v>
      </c>
      <c r="S90" s="33"/>
      <c r="T90" s="33" t="s">
        <v>673</v>
      </c>
      <c r="U90" t="str">
        <f>VLOOKUP(T90,GroupLabels!$E$2:$H$145,3,0)</f>
        <v>Qatar - English</v>
      </c>
    </row>
    <row r="91" spans="1:21" x14ac:dyDescent="0.25">
      <c r="A91" t="s">
        <v>3207</v>
      </c>
      <c r="B91" s="77">
        <v>0.66</v>
      </c>
      <c r="C91" s="77">
        <v>0.9</v>
      </c>
      <c r="D91" s="77">
        <v>0.91</v>
      </c>
      <c r="E91" s="77">
        <v>0.9</v>
      </c>
      <c r="F91" s="77">
        <v>0.82</v>
      </c>
      <c r="G91" s="77">
        <v>0.85</v>
      </c>
      <c r="H91" s="77">
        <v>0.83</v>
      </c>
      <c r="I91" s="77">
        <v>0.84</v>
      </c>
      <c r="J91" s="77">
        <v>0.93</v>
      </c>
      <c r="K91" s="77">
        <v>0.94</v>
      </c>
      <c r="L91" s="77">
        <v>0.82</v>
      </c>
      <c r="M91" s="77">
        <v>0.86</v>
      </c>
      <c r="N91" s="77">
        <v>0.92</v>
      </c>
      <c r="O91" s="77">
        <v>0.71</v>
      </c>
      <c r="P91" s="77">
        <v>0.76</v>
      </c>
      <c r="Q91" s="77">
        <v>0.8</v>
      </c>
      <c r="R91" s="77">
        <v>0.72</v>
      </c>
      <c r="S91" s="33"/>
      <c r="T91" s="33" t="s">
        <v>675</v>
      </c>
      <c r="U91" t="str">
        <f>VLOOKUP(T91,GroupLabels!$E$2:$H$145,3,0)</f>
        <v>Romania - Romanian</v>
      </c>
    </row>
    <row r="92" spans="1:21" x14ac:dyDescent="0.25">
      <c r="A92" t="s">
        <v>2915</v>
      </c>
      <c r="B92" s="77">
        <v>0.76</v>
      </c>
      <c r="C92" s="77">
        <v>0.95</v>
      </c>
      <c r="D92" s="77">
        <v>0.93</v>
      </c>
      <c r="E92" s="77">
        <v>0.94</v>
      </c>
      <c r="F92" s="77">
        <v>0.85</v>
      </c>
      <c r="G92" s="77">
        <v>0.92</v>
      </c>
      <c r="H92" s="77">
        <v>0.82</v>
      </c>
      <c r="I92" s="77">
        <v>0.8</v>
      </c>
      <c r="J92" s="77">
        <v>0.85</v>
      </c>
      <c r="K92" s="77">
        <v>0.94</v>
      </c>
      <c r="L92" s="77">
        <v>0.9</v>
      </c>
      <c r="M92" s="77">
        <v>0.9</v>
      </c>
      <c r="N92" s="77">
        <v>0.81</v>
      </c>
      <c r="O92" s="77">
        <v>0.79</v>
      </c>
      <c r="P92" s="77">
        <v>0.87</v>
      </c>
      <c r="Q92" s="77">
        <v>0.79</v>
      </c>
      <c r="R92" s="77">
        <v>0.83</v>
      </c>
      <c r="S92" s="33"/>
      <c r="T92" s="33" t="s">
        <v>677</v>
      </c>
      <c r="U92" t="str">
        <f>VLOOKUP(T92,GroupLabels!$E$2:$H$145,3,0)</f>
        <v>Saudi Arabia - Arabic</v>
      </c>
    </row>
    <row r="93" spans="1:21" x14ac:dyDescent="0.25">
      <c r="A93" t="s">
        <v>3023</v>
      </c>
      <c r="B93" s="77">
        <v>0.55000000000000004</v>
      </c>
      <c r="C93" s="77">
        <v>0.77</v>
      </c>
      <c r="D93" s="77">
        <v>0.84</v>
      </c>
      <c r="E93" s="77">
        <v>0.97</v>
      </c>
      <c r="F93" s="77">
        <v>0.89</v>
      </c>
      <c r="G93" s="77">
        <v>0.77</v>
      </c>
      <c r="H93" s="77">
        <v>0.89</v>
      </c>
      <c r="I93" s="77">
        <v>0.72</v>
      </c>
      <c r="J93" s="77">
        <v>0.8</v>
      </c>
      <c r="K93" s="77">
        <v>0.97</v>
      </c>
      <c r="L93" s="77" t="s">
        <v>581</v>
      </c>
      <c r="M93" s="77">
        <v>0.4</v>
      </c>
      <c r="N93" s="77">
        <v>0.22</v>
      </c>
      <c r="O93" s="77">
        <v>0.85</v>
      </c>
      <c r="P93" s="77">
        <v>0.72</v>
      </c>
      <c r="Q93" s="77">
        <v>0.45</v>
      </c>
      <c r="R93" s="77">
        <v>0.63</v>
      </c>
      <c r="S93" s="33"/>
      <c r="T93" s="33" t="s">
        <v>678</v>
      </c>
      <c r="U93" t="str">
        <f>VLOOKUP(T93,GroupLabels!$E$2:$H$145,3,0)</f>
        <v>Saudi Arabia - English</v>
      </c>
    </row>
    <row r="94" spans="1:21" x14ac:dyDescent="0.25">
      <c r="A94" t="s">
        <v>3241</v>
      </c>
      <c r="B94" s="77">
        <v>0.64</v>
      </c>
      <c r="C94" s="77">
        <v>0.83</v>
      </c>
      <c r="D94" s="77">
        <v>0.88</v>
      </c>
      <c r="E94" s="77">
        <v>0.91</v>
      </c>
      <c r="F94" s="77">
        <v>0.82</v>
      </c>
      <c r="G94" s="77">
        <v>0.85</v>
      </c>
      <c r="H94" s="77">
        <v>0.7</v>
      </c>
      <c r="I94" s="77">
        <v>0.61</v>
      </c>
      <c r="J94" s="77">
        <v>0.9</v>
      </c>
      <c r="K94" s="77">
        <v>0.92</v>
      </c>
      <c r="L94" s="77">
        <v>0.66</v>
      </c>
      <c r="M94" s="77">
        <v>0.89</v>
      </c>
      <c r="N94" s="77">
        <v>0.93</v>
      </c>
      <c r="O94" s="77">
        <v>0.74</v>
      </c>
      <c r="P94" s="77">
        <v>0.69</v>
      </c>
      <c r="Q94" s="77">
        <v>0.91</v>
      </c>
      <c r="R94" s="77">
        <v>0.81</v>
      </c>
      <c r="S94" s="33"/>
      <c r="T94" s="33" t="s">
        <v>679</v>
      </c>
      <c r="U94" t="str">
        <f>VLOOKUP(T94,GroupLabels!$E$2:$H$145,3,0)</f>
        <v>Serbia - Serbian</v>
      </c>
    </row>
    <row r="95" spans="1:21" x14ac:dyDescent="0.25">
      <c r="A95" t="s">
        <v>3025</v>
      </c>
      <c r="B95" s="77">
        <v>0.55000000000000004</v>
      </c>
      <c r="C95" s="77">
        <v>0.63</v>
      </c>
      <c r="D95" s="77" t="s">
        <v>3476</v>
      </c>
      <c r="E95" s="77">
        <v>0.91</v>
      </c>
      <c r="F95" s="77">
        <v>0.84</v>
      </c>
      <c r="G95" s="77">
        <v>0.76</v>
      </c>
      <c r="H95" s="77">
        <v>0.62</v>
      </c>
      <c r="I95" s="77">
        <v>0.45</v>
      </c>
      <c r="J95" s="77" t="s">
        <v>3476</v>
      </c>
      <c r="K95" s="77">
        <v>0.9</v>
      </c>
      <c r="L95" s="77">
        <v>0.83</v>
      </c>
      <c r="M95" s="77">
        <v>0.78</v>
      </c>
      <c r="N95" s="77">
        <v>0.77</v>
      </c>
      <c r="O95" s="77">
        <v>0.53</v>
      </c>
      <c r="P95" s="77">
        <v>0.8</v>
      </c>
      <c r="Q95" s="77">
        <v>0.78</v>
      </c>
      <c r="R95" s="77">
        <v>0.64</v>
      </c>
      <c r="S95" s="33"/>
      <c r="T95" s="33" t="s">
        <v>680</v>
      </c>
      <c r="U95" t="str">
        <f>VLOOKUP(T95,GroupLabels!$E$2:$H$145,3,0)</f>
        <v>Singapore - English</v>
      </c>
    </row>
    <row r="96" spans="1:21" x14ac:dyDescent="0.25">
      <c r="A96" t="s">
        <v>3222</v>
      </c>
      <c r="B96" s="77">
        <v>0.63</v>
      </c>
      <c r="C96" s="77">
        <v>0.78</v>
      </c>
      <c r="D96" s="77">
        <v>0.94</v>
      </c>
      <c r="E96" s="77">
        <v>0.89</v>
      </c>
      <c r="F96" s="77">
        <v>0.67</v>
      </c>
      <c r="G96" s="77">
        <v>0.85</v>
      </c>
      <c r="H96" s="77">
        <v>0.67</v>
      </c>
      <c r="I96" s="77">
        <v>0.72</v>
      </c>
      <c r="J96" s="77">
        <v>0.97</v>
      </c>
      <c r="K96" s="77">
        <v>0.87</v>
      </c>
      <c r="L96" s="77">
        <v>0.59</v>
      </c>
      <c r="M96" s="77">
        <v>0.85</v>
      </c>
      <c r="N96" s="77">
        <v>0.86</v>
      </c>
      <c r="O96" s="77">
        <v>0.67</v>
      </c>
      <c r="P96" s="77">
        <v>0.65</v>
      </c>
      <c r="Q96" s="77">
        <v>0.83</v>
      </c>
      <c r="R96" s="77">
        <v>0.73</v>
      </c>
      <c r="S96" s="33"/>
      <c r="T96" s="33" t="s">
        <v>682</v>
      </c>
      <c r="U96" t="str">
        <f>VLOOKUP(T96,GroupLabels!$E$2:$H$145,3,0)</f>
        <v>Slovak Republic - Slovak</v>
      </c>
    </row>
    <row r="97" spans="1:21" x14ac:dyDescent="0.25">
      <c r="A97" t="s">
        <v>3227</v>
      </c>
      <c r="B97" s="77">
        <v>0.7</v>
      </c>
      <c r="C97" s="73">
        <v>0.8</v>
      </c>
      <c r="D97" s="73">
        <v>0.9</v>
      </c>
      <c r="E97" s="73">
        <v>0.91</v>
      </c>
      <c r="F97" s="77">
        <v>0.74</v>
      </c>
      <c r="G97" s="77">
        <v>0.81</v>
      </c>
      <c r="H97" s="77">
        <v>0.72</v>
      </c>
      <c r="I97" s="73">
        <v>0.49</v>
      </c>
      <c r="J97" s="77">
        <v>0.8</v>
      </c>
      <c r="K97" s="73">
        <v>0.91</v>
      </c>
      <c r="L97" s="77">
        <v>0.69</v>
      </c>
      <c r="M97" s="77">
        <v>0.84</v>
      </c>
      <c r="N97" s="77">
        <v>0.87</v>
      </c>
      <c r="O97" s="73">
        <v>0.71</v>
      </c>
      <c r="P97" s="77">
        <v>0.82</v>
      </c>
      <c r="Q97" s="77">
        <v>0.9</v>
      </c>
      <c r="R97" s="77">
        <v>0.84</v>
      </c>
      <c r="S97" s="33"/>
      <c r="T97" s="33" t="s">
        <v>683</v>
      </c>
      <c r="U97" t="str">
        <f>VLOOKUP(T97,GroupLabels!$E$2:$H$145,3,0)</f>
        <v>Slovenia - Slovenian</v>
      </c>
    </row>
    <row r="98" spans="1:21" x14ac:dyDescent="0.25">
      <c r="A98" t="s">
        <v>3072</v>
      </c>
      <c r="B98" s="77">
        <v>0.55000000000000004</v>
      </c>
      <c r="C98" s="77">
        <v>0.87</v>
      </c>
      <c r="D98" s="77">
        <v>0.92</v>
      </c>
      <c r="E98" s="77">
        <v>0.89</v>
      </c>
      <c r="F98" s="77">
        <v>0.65</v>
      </c>
      <c r="G98" s="77">
        <v>0.86</v>
      </c>
      <c r="H98" s="77">
        <v>0.6</v>
      </c>
      <c r="I98" s="77">
        <v>0.21</v>
      </c>
      <c r="J98" s="77">
        <v>0.85</v>
      </c>
      <c r="K98" s="77">
        <v>0.8</v>
      </c>
      <c r="L98" s="77">
        <v>0.69</v>
      </c>
      <c r="M98" s="77">
        <v>0.81</v>
      </c>
      <c r="N98" s="77">
        <v>0.76</v>
      </c>
      <c r="O98" s="77">
        <v>0.65</v>
      </c>
      <c r="P98" s="77">
        <v>0.74</v>
      </c>
      <c r="Q98" s="77">
        <v>0.83</v>
      </c>
      <c r="R98" s="77">
        <v>0.68</v>
      </c>
      <c r="S98" s="33"/>
      <c r="T98" s="33" t="s">
        <v>684</v>
      </c>
      <c r="U98" t="str">
        <f>VLOOKUP(T98,GroupLabels!$E$2:$H$145,3,0)</f>
        <v>Spain - Basque</v>
      </c>
    </row>
    <row r="99" spans="1:21" x14ac:dyDescent="0.25">
      <c r="A99" t="s">
        <v>2932</v>
      </c>
      <c r="B99" s="77">
        <v>0.72</v>
      </c>
      <c r="C99" s="77">
        <v>0.83</v>
      </c>
      <c r="D99" s="77">
        <v>0.97</v>
      </c>
      <c r="E99" s="77">
        <v>0.83</v>
      </c>
      <c r="F99" s="77">
        <v>0.78</v>
      </c>
      <c r="G99" s="77">
        <v>0.8</v>
      </c>
      <c r="H99" s="77">
        <v>0.78</v>
      </c>
      <c r="I99" s="77">
        <v>0.34</v>
      </c>
      <c r="J99" s="77">
        <v>0.9</v>
      </c>
      <c r="K99" s="77">
        <v>0.9</v>
      </c>
      <c r="L99" s="77">
        <v>0.64</v>
      </c>
      <c r="M99" s="77">
        <v>0.78</v>
      </c>
      <c r="N99" s="77">
        <v>0.92</v>
      </c>
      <c r="O99" s="77">
        <v>0.61</v>
      </c>
      <c r="P99" s="77">
        <v>0.74</v>
      </c>
      <c r="Q99" s="77">
        <v>0.67</v>
      </c>
      <c r="R99" s="77">
        <v>0.73</v>
      </c>
      <c r="S99" s="33"/>
      <c r="T99" s="33" t="s">
        <v>685</v>
      </c>
      <c r="U99" t="str">
        <f>VLOOKUP(T99,GroupLabels!$E$2:$H$145,3,0)</f>
        <v>Spain - Catalan</v>
      </c>
    </row>
    <row r="100" spans="1:21" x14ac:dyDescent="0.25">
      <c r="A100" t="s">
        <v>3091</v>
      </c>
      <c r="B100" s="77">
        <v>0.65</v>
      </c>
      <c r="C100" s="77">
        <v>0.82</v>
      </c>
      <c r="D100" s="77">
        <v>0.63</v>
      </c>
      <c r="E100" s="77">
        <v>0.82</v>
      </c>
      <c r="F100" s="77">
        <v>0.8</v>
      </c>
      <c r="G100" s="77">
        <v>0.88</v>
      </c>
      <c r="H100" s="77">
        <v>0.76</v>
      </c>
      <c r="I100" s="77">
        <v>0.44</v>
      </c>
      <c r="J100" s="77">
        <v>0.81</v>
      </c>
      <c r="K100" s="77">
        <v>0.86</v>
      </c>
      <c r="L100" s="77">
        <v>0.74</v>
      </c>
      <c r="M100" s="77">
        <v>0.85</v>
      </c>
      <c r="N100" s="77">
        <v>0.88</v>
      </c>
      <c r="O100" s="77">
        <v>0.66</v>
      </c>
      <c r="P100" s="77">
        <v>0.7</v>
      </c>
      <c r="Q100" s="77">
        <v>0.89</v>
      </c>
      <c r="R100" s="77">
        <v>0.67</v>
      </c>
      <c r="S100" s="33"/>
      <c r="T100" s="33" t="s">
        <v>686</v>
      </c>
      <c r="U100" t="str">
        <f>VLOOKUP(T100,GroupLabels!$E$2:$H$145,3,0)</f>
        <v>Spain - Galician</v>
      </c>
    </row>
    <row r="101" spans="1:21" x14ac:dyDescent="0.25">
      <c r="A101" t="s">
        <v>3047</v>
      </c>
      <c r="B101" s="77">
        <v>0.57999999999999996</v>
      </c>
      <c r="C101" s="77">
        <v>0.83</v>
      </c>
      <c r="D101" s="77">
        <v>0.93</v>
      </c>
      <c r="E101" s="77">
        <v>0.88</v>
      </c>
      <c r="F101" s="77">
        <v>0.83</v>
      </c>
      <c r="G101" s="77">
        <v>0.85</v>
      </c>
      <c r="H101" s="77">
        <v>0.75</v>
      </c>
      <c r="I101" s="77">
        <v>0.44</v>
      </c>
      <c r="J101" s="77">
        <v>0.95</v>
      </c>
      <c r="K101" s="77">
        <v>0.9</v>
      </c>
      <c r="L101" s="77">
        <v>0.72</v>
      </c>
      <c r="M101" s="77">
        <v>0.78</v>
      </c>
      <c r="N101" s="77">
        <v>0.9</v>
      </c>
      <c r="O101" s="77">
        <v>0.65</v>
      </c>
      <c r="P101" s="77">
        <v>0.79</v>
      </c>
      <c r="Q101" s="77">
        <v>0.89</v>
      </c>
      <c r="R101" s="77">
        <v>0.73</v>
      </c>
      <c r="S101" s="33"/>
      <c r="T101" s="33" t="s">
        <v>687</v>
      </c>
      <c r="U101" t="str">
        <f>VLOOKUP(T101,GroupLabels!$E$2:$H$145,3,0)</f>
        <v>Spain - Spanish</v>
      </c>
    </row>
    <row r="102" spans="1:21" x14ac:dyDescent="0.25">
      <c r="A102" t="s">
        <v>2933</v>
      </c>
      <c r="B102" s="77">
        <v>0.66</v>
      </c>
      <c r="C102" s="77">
        <v>0.91</v>
      </c>
      <c r="D102" s="77">
        <v>0.95</v>
      </c>
      <c r="E102" s="77">
        <v>0.83</v>
      </c>
      <c r="F102" s="77">
        <v>0.75</v>
      </c>
      <c r="G102" s="77">
        <v>0.7</v>
      </c>
      <c r="H102" s="77">
        <v>0.71</v>
      </c>
      <c r="I102" s="77">
        <v>0.31</v>
      </c>
      <c r="J102" s="77">
        <v>0.95</v>
      </c>
      <c r="K102" s="73">
        <v>0.91</v>
      </c>
      <c r="L102" s="77">
        <v>0.55000000000000004</v>
      </c>
      <c r="M102" s="77">
        <v>0.85</v>
      </c>
      <c r="N102" s="77">
        <v>0.9</v>
      </c>
      <c r="O102" s="77">
        <v>0.34</v>
      </c>
      <c r="P102" s="77">
        <v>0.83</v>
      </c>
      <c r="Q102" s="77">
        <v>0.76</v>
      </c>
      <c r="R102" s="77">
        <v>0.77</v>
      </c>
      <c r="S102" s="33"/>
      <c r="T102" s="33" t="s">
        <v>688</v>
      </c>
      <c r="U102" t="str">
        <f>VLOOKUP(T102,GroupLabels!$E$2:$H$145,3,0)</f>
        <v>Spain - Valencian</v>
      </c>
    </row>
    <row r="103" spans="1:21" x14ac:dyDescent="0.25">
      <c r="A103" t="s">
        <v>762</v>
      </c>
      <c r="B103" s="77">
        <v>0.69</v>
      </c>
      <c r="C103" s="77" t="s">
        <v>3476</v>
      </c>
      <c r="D103" s="77" t="s">
        <v>3476</v>
      </c>
      <c r="E103" s="77" t="s">
        <v>3476</v>
      </c>
      <c r="F103" s="77">
        <v>0.75</v>
      </c>
      <c r="G103" s="77">
        <v>0.84</v>
      </c>
      <c r="H103" s="77">
        <v>0.77</v>
      </c>
      <c r="I103" s="77" t="s">
        <v>3476</v>
      </c>
      <c r="J103" s="77">
        <v>0.73</v>
      </c>
      <c r="K103" s="77" t="s">
        <v>3476</v>
      </c>
      <c r="L103" s="77">
        <v>0.75</v>
      </c>
      <c r="M103" s="77">
        <v>0.81</v>
      </c>
      <c r="N103" s="77">
        <v>0.79</v>
      </c>
      <c r="O103" s="77" t="s">
        <v>3476</v>
      </c>
      <c r="P103" s="77">
        <v>0.8</v>
      </c>
      <c r="Q103" s="77">
        <v>0.64</v>
      </c>
      <c r="R103" s="77">
        <v>0.62</v>
      </c>
      <c r="S103" s="33"/>
      <c r="T103" s="33" t="s">
        <v>689</v>
      </c>
      <c r="U103" t="str">
        <f>VLOOKUP(T103,GroupLabels!$E$2:$H$145,3,0)</f>
        <v>Sweden - Swedish</v>
      </c>
    </row>
    <row r="104" spans="1:21" x14ac:dyDescent="0.25">
      <c r="A104" t="s">
        <v>3081</v>
      </c>
      <c r="B104" s="77">
        <v>0.7</v>
      </c>
      <c r="C104" s="77">
        <v>0.44</v>
      </c>
      <c r="D104" s="77">
        <v>0.84</v>
      </c>
      <c r="E104" s="77">
        <v>0.86</v>
      </c>
      <c r="F104" s="77">
        <v>0.28000000000000003</v>
      </c>
      <c r="G104" s="77">
        <v>0.85</v>
      </c>
      <c r="H104" s="77">
        <v>0.34</v>
      </c>
      <c r="I104" s="77">
        <v>0.5</v>
      </c>
      <c r="J104" s="77">
        <v>0.87</v>
      </c>
      <c r="K104" s="77">
        <v>0.72</v>
      </c>
      <c r="L104" s="77">
        <v>0.56999999999999995</v>
      </c>
      <c r="M104" s="77">
        <v>0.71</v>
      </c>
      <c r="N104" s="77">
        <v>0.91</v>
      </c>
      <c r="O104" s="77">
        <v>0.75</v>
      </c>
      <c r="P104" s="77">
        <v>0.74</v>
      </c>
      <c r="Q104" s="77">
        <v>0.83</v>
      </c>
      <c r="R104" s="77">
        <v>0.57999999999999996</v>
      </c>
      <c r="S104" s="33"/>
      <c r="T104" s="33" t="s">
        <v>690</v>
      </c>
      <c r="U104" t="str">
        <f>VLOOKUP(T104,GroupLabels!$E$2:$H$145,3,0)</f>
        <v>Switzerland - French</v>
      </c>
    </row>
    <row r="105" spans="1:21" x14ac:dyDescent="0.25">
      <c r="A105" t="s">
        <v>2964</v>
      </c>
      <c r="B105" s="77">
        <v>0.72</v>
      </c>
      <c r="C105" s="77">
        <v>0.74</v>
      </c>
      <c r="D105" s="77">
        <v>0.95</v>
      </c>
      <c r="E105" s="77">
        <v>0.81</v>
      </c>
      <c r="F105" s="77">
        <v>0.8</v>
      </c>
      <c r="G105" s="77">
        <v>0.69</v>
      </c>
      <c r="H105" s="77">
        <v>0.77</v>
      </c>
      <c r="I105" s="77">
        <v>0.54</v>
      </c>
      <c r="J105" s="77">
        <v>0.79</v>
      </c>
      <c r="K105" s="77">
        <v>0.84</v>
      </c>
      <c r="L105" s="77">
        <v>0.56999999999999995</v>
      </c>
      <c r="M105" s="77">
        <v>0.77</v>
      </c>
      <c r="N105" s="77">
        <v>0.82</v>
      </c>
      <c r="O105" s="77">
        <v>0.67</v>
      </c>
      <c r="P105" s="77">
        <v>0.85</v>
      </c>
      <c r="Q105" s="77">
        <v>0.81</v>
      </c>
      <c r="R105" s="77">
        <v>0.78</v>
      </c>
      <c r="S105" s="33"/>
      <c r="T105" s="33" t="s">
        <v>691</v>
      </c>
      <c r="U105" t="str">
        <f>VLOOKUP(T105,GroupLabels!$E$2:$H$145,3,0)</f>
        <v>Switzerland - German</v>
      </c>
    </row>
    <row r="106" spans="1:21" x14ac:dyDescent="0.25">
      <c r="A106" t="s">
        <v>3125</v>
      </c>
      <c r="B106" s="77">
        <v>0.75</v>
      </c>
      <c r="C106" s="77">
        <v>0.66</v>
      </c>
      <c r="D106" s="77">
        <v>0.96</v>
      </c>
      <c r="E106" s="77">
        <v>0.93</v>
      </c>
      <c r="F106" s="77">
        <v>0.84</v>
      </c>
      <c r="G106" s="77">
        <v>0.78</v>
      </c>
      <c r="H106" s="77">
        <v>0.79</v>
      </c>
      <c r="I106" s="77">
        <v>0.68</v>
      </c>
      <c r="J106" s="77">
        <v>0.91</v>
      </c>
      <c r="K106" s="77">
        <v>0.82</v>
      </c>
      <c r="L106" s="77">
        <v>0.7</v>
      </c>
      <c r="M106" s="77">
        <v>0.84</v>
      </c>
      <c r="N106" s="77">
        <v>0.9</v>
      </c>
      <c r="O106" s="77">
        <v>0.69</v>
      </c>
      <c r="P106" s="77">
        <v>0.62</v>
      </c>
      <c r="Q106" s="77">
        <v>0.77</v>
      </c>
      <c r="R106" s="77">
        <v>0.79</v>
      </c>
      <c r="S106" s="33"/>
      <c r="T106" s="33" t="s">
        <v>692</v>
      </c>
      <c r="U106" t="str">
        <f>VLOOKUP(T106,GroupLabels!$E$2:$H$145,3,0)</f>
        <v>Switzerland - Italian</v>
      </c>
    </row>
    <row r="107" spans="1:21" x14ac:dyDescent="0.25">
      <c r="A107" t="s">
        <v>3282</v>
      </c>
      <c r="B107" s="77">
        <v>0.73</v>
      </c>
      <c r="C107" s="77">
        <v>0.77</v>
      </c>
      <c r="D107" s="77">
        <v>0.89</v>
      </c>
      <c r="E107" s="77">
        <v>0.93</v>
      </c>
      <c r="F107" s="77">
        <v>0.85</v>
      </c>
      <c r="G107" s="77">
        <v>0.87</v>
      </c>
      <c r="H107" s="77">
        <v>0.77</v>
      </c>
      <c r="I107" s="77">
        <v>0.85</v>
      </c>
      <c r="J107" s="77">
        <v>0.86</v>
      </c>
      <c r="K107" s="77">
        <v>0.85</v>
      </c>
      <c r="L107" s="77">
        <v>0.83</v>
      </c>
      <c r="M107" s="77">
        <v>0.77</v>
      </c>
      <c r="N107" s="77">
        <v>0.85</v>
      </c>
      <c r="O107" s="77">
        <v>0.63</v>
      </c>
      <c r="P107" s="77">
        <v>0.74</v>
      </c>
      <c r="Q107" s="77">
        <v>0.71</v>
      </c>
      <c r="R107" s="77">
        <v>0.73</v>
      </c>
      <c r="S107" s="33"/>
      <c r="T107" s="33" t="s">
        <v>693</v>
      </c>
      <c r="U107" t="str">
        <f>VLOOKUP(T107,GroupLabels!$E$2:$H$145,3,0)</f>
        <v>Chinese Taipei - Chinese</v>
      </c>
    </row>
    <row r="108" spans="1:21" x14ac:dyDescent="0.25">
      <c r="A108" t="s">
        <v>3252</v>
      </c>
      <c r="B108" s="77">
        <v>0.79</v>
      </c>
      <c r="C108" s="77">
        <v>0.86</v>
      </c>
      <c r="D108" s="77">
        <v>0.87</v>
      </c>
      <c r="E108" s="77">
        <v>0.96</v>
      </c>
      <c r="F108" s="77">
        <v>0.83</v>
      </c>
      <c r="G108" s="77">
        <v>0.92</v>
      </c>
      <c r="H108" s="77">
        <v>0.83</v>
      </c>
      <c r="I108" s="77">
        <v>0.81</v>
      </c>
      <c r="J108" s="77">
        <v>0.91</v>
      </c>
      <c r="K108" s="77">
        <v>0.92</v>
      </c>
      <c r="L108" s="77">
        <v>0.67</v>
      </c>
      <c r="M108" s="77">
        <v>0.89</v>
      </c>
      <c r="N108" s="77">
        <v>0.79</v>
      </c>
      <c r="O108" s="77">
        <v>0.76</v>
      </c>
      <c r="P108" s="77">
        <v>0.74</v>
      </c>
      <c r="Q108" s="77">
        <v>0.83</v>
      </c>
      <c r="R108" s="77">
        <v>0.74</v>
      </c>
      <c r="S108" s="33"/>
      <c r="T108" s="33" t="s">
        <v>694</v>
      </c>
      <c r="U108" t="str">
        <f>VLOOKUP(T108,GroupLabels!$E$2:$H$145,3,0)</f>
        <v>Thailand - Thai</v>
      </c>
    </row>
    <row r="109" spans="1:21" x14ac:dyDescent="0.25">
      <c r="A109" t="s">
        <v>3257</v>
      </c>
      <c r="B109" s="77">
        <v>0.78</v>
      </c>
      <c r="C109" s="77">
        <v>0.85</v>
      </c>
      <c r="D109" s="77">
        <v>0.93</v>
      </c>
      <c r="E109" s="77">
        <v>0.94</v>
      </c>
      <c r="F109" s="77">
        <v>0.86</v>
      </c>
      <c r="G109" s="77">
        <v>0.89</v>
      </c>
      <c r="H109" s="77">
        <v>0.85</v>
      </c>
      <c r="I109" s="77">
        <v>0.81</v>
      </c>
      <c r="J109" s="77">
        <v>0.9</v>
      </c>
      <c r="K109" s="77">
        <v>0.92</v>
      </c>
      <c r="L109" s="77">
        <v>0.89</v>
      </c>
      <c r="M109" s="77">
        <v>0.91</v>
      </c>
      <c r="N109" s="77">
        <v>0.92</v>
      </c>
      <c r="O109" s="77">
        <v>0.66</v>
      </c>
      <c r="P109" s="77">
        <v>0.81</v>
      </c>
      <c r="Q109" s="77">
        <v>0.8</v>
      </c>
      <c r="R109" s="77">
        <v>0.81</v>
      </c>
      <c r="S109" s="33"/>
      <c r="T109" s="33" t="s">
        <v>695</v>
      </c>
      <c r="U109" t="str">
        <f>VLOOKUP(T109,GroupLabels!$E$2:$H$145,3,0)</f>
        <v>Turkey - Turkish</v>
      </c>
    </row>
    <row r="110" spans="1:21" x14ac:dyDescent="0.25">
      <c r="A110" t="s">
        <v>3262</v>
      </c>
      <c r="B110" s="77">
        <v>0.67</v>
      </c>
      <c r="C110" s="77">
        <v>0.76</v>
      </c>
      <c r="D110" s="77">
        <v>0.83</v>
      </c>
      <c r="E110" s="77">
        <v>0.89</v>
      </c>
      <c r="F110" s="77">
        <v>0.65</v>
      </c>
      <c r="G110" s="77">
        <v>0.85</v>
      </c>
      <c r="H110" s="77">
        <v>0.7</v>
      </c>
      <c r="I110" s="77">
        <v>0.71</v>
      </c>
      <c r="J110" s="77">
        <v>0.77</v>
      </c>
      <c r="K110" s="77">
        <v>0.88</v>
      </c>
      <c r="L110" s="77">
        <v>0.52</v>
      </c>
      <c r="M110" s="77">
        <v>0.78</v>
      </c>
      <c r="N110" s="77">
        <v>0.9</v>
      </c>
      <c r="O110" s="77">
        <v>0.64</v>
      </c>
      <c r="P110" s="77">
        <v>0.79</v>
      </c>
      <c r="Q110" s="77">
        <v>0.87</v>
      </c>
      <c r="R110" s="77">
        <v>0.74</v>
      </c>
      <c r="S110" s="33"/>
      <c r="T110" s="33" t="s">
        <v>696</v>
      </c>
      <c r="U110" t="str">
        <f>VLOOKUP(T110,GroupLabels!$E$2:$H$145,3,0)</f>
        <v>Ukrainian regions (17 of 27) - Ukrainian*</v>
      </c>
    </row>
    <row r="111" spans="1:21" x14ac:dyDescent="0.25">
      <c r="A111" t="s">
        <v>2895</v>
      </c>
      <c r="B111" s="77">
        <v>0.67</v>
      </c>
      <c r="C111" s="77">
        <v>0.87</v>
      </c>
      <c r="D111" s="77">
        <v>0.92</v>
      </c>
      <c r="E111" s="77">
        <v>0.96</v>
      </c>
      <c r="F111" s="77">
        <v>0.82</v>
      </c>
      <c r="G111" s="77">
        <v>0.94</v>
      </c>
      <c r="H111" s="77">
        <v>0.79</v>
      </c>
      <c r="I111" s="77">
        <v>0.79</v>
      </c>
      <c r="J111" s="77">
        <v>0.96</v>
      </c>
      <c r="K111" s="77">
        <v>0.94</v>
      </c>
      <c r="L111" s="77">
        <v>0.92</v>
      </c>
      <c r="M111" s="77">
        <v>0.89</v>
      </c>
      <c r="N111" s="77">
        <v>0.72</v>
      </c>
      <c r="O111" s="77">
        <v>0.82</v>
      </c>
      <c r="P111" s="77">
        <v>0.9</v>
      </c>
      <c r="Q111" s="77">
        <v>0.61</v>
      </c>
      <c r="R111" s="77">
        <v>0.74</v>
      </c>
      <c r="S111" s="33"/>
      <c r="T111" s="33" t="s">
        <v>697</v>
      </c>
      <c r="U111" t="str">
        <f>VLOOKUP(T111,GroupLabels!$E$2:$H$145,3,0)</f>
        <v>United Arab Emirates - Arabic</v>
      </c>
    </row>
    <row r="112" spans="1:21" x14ac:dyDescent="0.25">
      <c r="A112" t="s">
        <v>2979</v>
      </c>
      <c r="B112" s="77">
        <v>0.77</v>
      </c>
      <c r="C112" s="77">
        <v>0.82</v>
      </c>
      <c r="D112" s="77">
        <v>0.93</v>
      </c>
      <c r="E112" s="77">
        <v>0.97</v>
      </c>
      <c r="F112" s="77">
        <v>0.84</v>
      </c>
      <c r="G112" s="77">
        <v>0.91</v>
      </c>
      <c r="H112" s="77">
        <v>0.75</v>
      </c>
      <c r="I112" s="77">
        <v>0.79</v>
      </c>
      <c r="J112" s="73">
        <v>0.9</v>
      </c>
      <c r="K112" s="77">
        <v>0.95</v>
      </c>
      <c r="L112" s="73">
        <v>0.57999999999999996</v>
      </c>
      <c r="M112" s="77">
        <v>0.88</v>
      </c>
      <c r="N112" s="77">
        <v>0.68</v>
      </c>
      <c r="O112" s="73">
        <v>0.77</v>
      </c>
      <c r="P112" s="77">
        <v>0.9</v>
      </c>
      <c r="Q112" s="77">
        <v>0.86</v>
      </c>
      <c r="R112" s="77">
        <v>0.74</v>
      </c>
      <c r="S112" s="33"/>
      <c r="T112" s="33" t="s">
        <v>698</v>
      </c>
      <c r="U112" t="str">
        <f>VLOOKUP(T112,GroupLabels!$E$2:$H$145,3,0)</f>
        <v>United Arab Emirates - English</v>
      </c>
    </row>
    <row r="113" spans="1:21" x14ac:dyDescent="0.25">
      <c r="A113" t="s">
        <v>2990</v>
      </c>
      <c r="B113" s="77">
        <v>0.57999999999999996</v>
      </c>
      <c r="C113" s="77">
        <v>0.75</v>
      </c>
      <c r="D113" s="77">
        <v>0.93</v>
      </c>
      <c r="E113" s="77">
        <v>0.91</v>
      </c>
      <c r="F113" s="77">
        <v>0.74</v>
      </c>
      <c r="G113" s="77">
        <v>0.83</v>
      </c>
      <c r="H113" s="77">
        <v>0.74</v>
      </c>
      <c r="I113" s="77">
        <v>0.32</v>
      </c>
      <c r="J113" s="77">
        <v>0.85</v>
      </c>
      <c r="K113" s="77">
        <v>0.89</v>
      </c>
      <c r="L113" s="77">
        <v>0.62</v>
      </c>
      <c r="M113" s="77">
        <v>0.82</v>
      </c>
      <c r="N113" s="77">
        <v>0.9</v>
      </c>
      <c r="O113" s="77">
        <v>0.53</v>
      </c>
      <c r="P113" s="77">
        <v>0.84</v>
      </c>
      <c r="Q113" s="77">
        <v>0.91</v>
      </c>
      <c r="R113" s="77">
        <v>0.68</v>
      </c>
      <c r="S113" s="33"/>
      <c r="T113" s="33" t="s">
        <v>700</v>
      </c>
      <c r="U113" t="str">
        <f>VLOOKUP(T113,GroupLabels!$E$2:$H$145,3,0)</f>
        <v>United Kingdom ex Scotland - English</v>
      </c>
    </row>
    <row r="114" spans="1:21" x14ac:dyDescent="0.25">
      <c r="A114" t="s">
        <v>2989</v>
      </c>
      <c r="B114" s="77">
        <v>0.65</v>
      </c>
      <c r="C114" s="77">
        <v>0.68</v>
      </c>
      <c r="D114" s="73">
        <v>0.91</v>
      </c>
      <c r="E114" s="77">
        <v>0.92</v>
      </c>
      <c r="F114" s="77">
        <v>0.74</v>
      </c>
      <c r="G114" s="77">
        <v>0.9</v>
      </c>
      <c r="H114" s="77">
        <v>0.61</v>
      </c>
      <c r="I114" s="77">
        <v>0.56999999999999995</v>
      </c>
      <c r="J114" s="73">
        <v>0.75</v>
      </c>
      <c r="K114" s="77">
        <v>0.89</v>
      </c>
      <c r="L114">
        <v>0.62</v>
      </c>
      <c r="M114" s="77">
        <v>0.84</v>
      </c>
      <c r="N114" s="77">
        <v>0.79</v>
      </c>
      <c r="O114" s="77">
        <v>0.67</v>
      </c>
      <c r="P114" s="77">
        <v>0.87</v>
      </c>
      <c r="Q114" s="77">
        <v>0.89</v>
      </c>
      <c r="R114" s="77">
        <v>0.66</v>
      </c>
      <c r="S114" s="33"/>
      <c r="T114" s="33" t="s">
        <v>701</v>
      </c>
      <c r="U114" t="str">
        <f>VLOOKUP(T114,GroupLabels!$E$2:$H$145,3,0)</f>
        <v>United Kingdom Scotland only - English</v>
      </c>
    </row>
    <row r="115" spans="1:21" x14ac:dyDescent="0.25">
      <c r="A115" t="s">
        <v>3065</v>
      </c>
      <c r="B115" s="77">
        <v>0.64</v>
      </c>
      <c r="C115" s="77">
        <v>0.87</v>
      </c>
      <c r="D115" s="77">
        <v>0.95</v>
      </c>
      <c r="E115" s="77">
        <v>0.88</v>
      </c>
      <c r="F115" s="77">
        <v>0.8</v>
      </c>
      <c r="G115" s="77">
        <v>0.9</v>
      </c>
      <c r="H115" s="77">
        <v>0.78</v>
      </c>
      <c r="I115" s="77">
        <v>0.64</v>
      </c>
      <c r="J115" s="77">
        <v>0.83</v>
      </c>
      <c r="K115" s="77">
        <v>0.92</v>
      </c>
      <c r="L115" s="77">
        <v>0.68</v>
      </c>
      <c r="M115" s="77">
        <v>0.81</v>
      </c>
      <c r="N115" s="77">
        <v>0.85</v>
      </c>
      <c r="O115" s="77">
        <v>0.73</v>
      </c>
      <c r="P115" s="77">
        <v>0.84</v>
      </c>
      <c r="Q115" s="77">
        <v>0.88</v>
      </c>
      <c r="R115" s="77">
        <v>0.68</v>
      </c>
      <c r="S115" s="33"/>
      <c r="T115" s="33" t="s">
        <v>703</v>
      </c>
      <c r="U115" t="str">
        <f>VLOOKUP(T115,GroupLabels!$E$2:$H$145,3,0)</f>
        <v>Uruguay - Spanish</v>
      </c>
    </row>
    <row r="116" spans="1:21" x14ac:dyDescent="0.25">
      <c r="A116" t="s">
        <v>3219</v>
      </c>
      <c r="B116" s="77">
        <v>0.54</v>
      </c>
      <c r="C116" s="77">
        <v>0.69</v>
      </c>
      <c r="D116" s="77">
        <v>0.94</v>
      </c>
      <c r="E116" s="77">
        <v>0.95</v>
      </c>
      <c r="F116" s="77">
        <v>0.86</v>
      </c>
      <c r="G116" s="77">
        <v>0.91</v>
      </c>
      <c r="H116" s="77">
        <v>0.86</v>
      </c>
      <c r="I116" s="77">
        <v>0.86</v>
      </c>
      <c r="J116" s="77">
        <v>0.82</v>
      </c>
      <c r="K116" s="77">
        <v>0.84</v>
      </c>
      <c r="L116" s="77">
        <v>0.7</v>
      </c>
      <c r="M116" s="77">
        <v>0.69</v>
      </c>
      <c r="N116" s="77">
        <v>-0.1</v>
      </c>
      <c r="O116" s="77">
        <v>0.76</v>
      </c>
      <c r="P116" s="77">
        <v>0.95</v>
      </c>
      <c r="Q116" s="77">
        <v>0.78</v>
      </c>
      <c r="R116" s="77">
        <v>0.89</v>
      </c>
      <c r="S116" s="33"/>
      <c r="T116" s="33" t="s">
        <v>705</v>
      </c>
      <c r="U116" t="str">
        <f>VLOOKUP(T116,GroupLabels!$E$2:$H$145,3,0)</f>
        <v>Uzbekistan - Russian</v>
      </c>
    </row>
    <row r="117" spans="1:21" x14ac:dyDescent="0.25">
      <c r="A117" t="s">
        <v>3267</v>
      </c>
      <c r="B117" s="77">
        <v>0.61</v>
      </c>
      <c r="C117" s="77">
        <v>0.89</v>
      </c>
      <c r="D117" s="77">
        <v>0.93</v>
      </c>
      <c r="E117" s="77">
        <v>0.95</v>
      </c>
      <c r="F117" s="77">
        <v>0.71</v>
      </c>
      <c r="G117" s="77">
        <v>0.89</v>
      </c>
      <c r="H117" s="77">
        <v>0.74</v>
      </c>
      <c r="I117" s="77">
        <v>0.8</v>
      </c>
      <c r="J117" s="77">
        <v>0.86</v>
      </c>
      <c r="K117" s="77">
        <v>0.92</v>
      </c>
      <c r="L117" s="77">
        <v>0.87</v>
      </c>
      <c r="M117" s="77">
        <v>0.88</v>
      </c>
      <c r="N117" s="77">
        <v>0.27</v>
      </c>
      <c r="O117" s="77">
        <v>0.63</v>
      </c>
      <c r="P117" s="77">
        <v>0.82</v>
      </c>
      <c r="Q117" s="77">
        <v>0.65</v>
      </c>
      <c r="R117" s="77">
        <v>0.79</v>
      </c>
      <c r="S117" s="33"/>
      <c r="T117" s="33" t="s">
        <v>706</v>
      </c>
      <c r="U117" t="str">
        <f>VLOOKUP(T117,GroupLabels!$E$2:$H$145,3,0)</f>
        <v>Uzbekistan - Uzbekistani</v>
      </c>
    </row>
    <row r="118" spans="1:21" x14ac:dyDescent="0.25">
      <c r="A118" s="3" t="s">
        <v>3272</v>
      </c>
      <c r="B118" s="94">
        <v>0.75</v>
      </c>
      <c r="C118" s="94">
        <v>0.87</v>
      </c>
      <c r="D118" s="94">
        <v>0.89</v>
      </c>
      <c r="E118" s="94">
        <v>0.97</v>
      </c>
      <c r="F118" s="75">
        <v>0.8</v>
      </c>
      <c r="G118" s="94">
        <v>0.91</v>
      </c>
      <c r="H118" s="94">
        <v>0.8</v>
      </c>
      <c r="I118" s="94">
        <v>0.77</v>
      </c>
      <c r="J118" s="94">
        <v>0.97</v>
      </c>
      <c r="K118" s="94">
        <v>0.91</v>
      </c>
      <c r="L118" s="75">
        <v>0.69</v>
      </c>
      <c r="M118" s="94">
        <v>0.83</v>
      </c>
      <c r="N118" s="94">
        <v>0.78</v>
      </c>
      <c r="O118" s="94">
        <v>0.82</v>
      </c>
      <c r="P118" s="94">
        <v>0.84</v>
      </c>
      <c r="Q118" s="94">
        <v>0.68</v>
      </c>
      <c r="R118" s="94">
        <v>0.8</v>
      </c>
      <c r="S118" s="33"/>
      <c r="T118" s="40" t="s">
        <v>707</v>
      </c>
      <c r="U118" t="str">
        <f>VLOOKUP(T118,GroupLabels!$E$2:$H$145,3,0)</f>
        <v>Viet Nam - Vietnamese</v>
      </c>
    </row>
    <row r="119" spans="1:21" ht="14.2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1:21" x14ac:dyDescent="0.25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</row>
    <row r="121" spans="1:21" x14ac:dyDescent="0.25">
      <c r="A121" s="33" t="s">
        <v>3477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</row>
    <row r="122" spans="1:21" x14ac:dyDescent="0.25">
      <c r="A122" s="33" t="s">
        <v>3481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</row>
    <row r="123" spans="1:21" x14ac:dyDescent="0.25">
      <c r="A123" s="33" t="s">
        <v>3482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</row>
    <row r="124" spans="1:21" x14ac:dyDescent="0.25">
      <c r="A124" s="34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</row>
    <row r="125" spans="1:21" x14ac:dyDescent="0.25">
      <c r="A125" s="34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</row>
    <row r="126" spans="1:21" x14ac:dyDescent="0.25">
      <c r="A126" s="34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1:21" x14ac:dyDescent="0.25">
      <c r="A127" s="34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</row>
    <row r="128" spans="1:21" x14ac:dyDescent="0.25">
      <c r="A128" s="34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</row>
    <row r="129" spans="1:21" x14ac:dyDescent="0.25">
      <c r="A129" s="34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</row>
  </sheetData>
  <sheetProtection formatColumns="0" formatRows="0"/>
  <sortState xmlns:xlrd2="http://schemas.microsoft.com/office/spreadsheetml/2017/richdata2" ref="A7:U118">
    <sortCondition ref="A7:A118"/>
  </sortState>
  <hyperlinks>
    <hyperlink ref="A1" location="TOC!A1" display="Table of Contents" xr:uid="{BFF4ECEC-6B73-4D10-9B16-E8A428142C01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6"/>
  <dimension ref="A1:U126"/>
  <sheetViews>
    <sheetView workbookViewId="0">
      <pane ySplit="6" topLeftCell="A79" activePane="bottomLeft" state="frozen"/>
      <selection pane="bottomLeft"/>
    </sheetView>
  </sheetViews>
  <sheetFormatPr defaultColWidth="8.7109375" defaultRowHeight="15" x14ac:dyDescent="0.25"/>
  <cols>
    <col min="1" max="1" width="37.42578125" customWidth="1"/>
    <col min="20" max="21" width="0" hidden="1" customWidth="1"/>
  </cols>
  <sheetData>
    <row r="1" spans="1:21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106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101" t="s">
        <v>158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34" t="s">
        <v>159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x14ac:dyDescent="0.25">
      <c r="A5" s="91"/>
      <c r="B5" s="99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92" t="s">
        <v>566</v>
      </c>
      <c r="B6" s="92" t="s">
        <v>348</v>
      </c>
      <c r="C6" s="92" t="s">
        <v>392</v>
      </c>
      <c r="D6" s="92" t="s">
        <v>393</v>
      </c>
      <c r="E6" s="92" t="s">
        <v>349</v>
      </c>
      <c r="F6" s="92" t="s">
        <v>350</v>
      </c>
      <c r="G6" s="92" t="s">
        <v>351</v>
      </c>
      <c r="H6" s="92" t="s">
        <v>352</v>
      </c>
      <c r="I6" s="92" t="s">
        <v>394</v>
      </c>
      <c r="J6" s="92" t="s">
        <v>353</v>
      </c>
      <c r="K6" s="92" t="s">
        <v>395</v>
      </c>
      <c r="L6" s="92" t="s">
        <v>396</v>
      </c>
      <c r="M6" s="92" t="s">
        <v>397</v>
      </c>
      <c r="N6" s="92" t="s">
        <v>398</v>
      </c>
      <c r="O6" s="92" t="s">
        <v>399</v>
      </c>
      <c r="P6" s="92" t="s">
        <v>354</v>
      </c>
      <c r="Q6" s="92" t="s">
        <v>355</v>
      </c>
      <c r="R6" s="92" t="s">
        <v>356</v>
      </c>
      <c r="S6" s="33"/>
      <c r="T6" s="33"/>
      <c r="U6" s="33"/>
    </row>
    <row r="7" spans="1:21" x14ac:dyDescent="0.25">
      <c r="A7" t="s">
        <v>3232</v>
      </c>
      <c r="B7" s="73">
        <v>11</v>
      </c>
      <c r="C7" s="73">
        <v>10</v>
      </c>
      <c r="D7" s="73">
        <v>7</v>
      </c>
      <c r="E7" s="73">
        <v>12</v>
      </c>
      <c r="F7" s="73">
        <v>7</v>
      </c>
      <c r="G7" s="73">
        <v>4</v>
      </c>
      <c r="H7" s="73">
        <v>6</v>
      </c>
      <c r="I7" s="73">
        <v>4</v>
      </c>
      <c r="J7" s="73">
        <v>8</v>
      </c>
      <c r="K7" s="73">
        <v>14</v>
      </c>
      <c r="L7" s="73">
        <v>6</v>
      </c>
      <c r="M7" s="73">
        <v>7</v>
      </c>
      <c r="N7" s="73">
        <v>6</v>
      </c>
      <c r="O7" s="73">
        <v>6</v>
      </c>
      <c r="P7" s="73">
        <v>4</v>
      </c>
      <c r="Q7" s="73">
        <v>11</v>
      </c>
      <c r="R7" s="73">
        <v>11</v>
      </c>
      <c r="S7" s="33"/>
      <c r="T7" s="33" t="s">
        <v>567</v>
      </c>
      <c r="U7" t="str">
        <f>VLOOKUP(T7,GroupLabels!$E$2:$H$145,3,0)</f>
        <v>Albania - Albanian</v>
      </c>
    </row>
    <row r="8" spans="1:21" x14ac:dyDescent="0.25">
      <c r="A8" t="s">
        <v>3113</v>
      </c>
      <c r="B8" s="73">
        <v>11</v>
      </c>
      <c r="C8" s="73">
        <v>10</v>
      </c>
      <c r="D8" s="73">
        <v>7</v>
      </c>
      <c r="E8" s="73">
        <v>12</v>
      </c>
      <c r="F8" s="73">
        <v>7</v>
      </c>
      <c r="G8" s="73">
        <v>4</v>
      </c>
      <c r="H8" s="73">
        <v>6</v>
      </c>
      <c r="I8" s="73">
        <v>4</v>
      </c>
      <c r="J8" s="73">
        <v>8</v>
      </c>
      <c r="K8" s="73">
        <v>14</v>
      </c>
      <c r="L8" s="73">
        <v>6</v>
      </c>
      <c r="M8" s="73">
        <v>7</v>
      </c>
      <c r="N8" s="73">
        <v>6</v>
      </c>
      <c r="O8" s="73">
        <v>6</v>
      </c>
      <c r="P8" s="73">
        <v>4</v>
      </c>
      <c r="Q8" s="73">
        <v>11</v>
      </c>
      <c r="R8" s="73">
        <v>11</v>
      </c>
      <c r="S8" s="33"/>
      <c r="T8" s="33" t="s">
        <v>569</v>
      </c>
      <c r="U8" t="str">
        <f>VLOOKUP(T8,GroupLabels!$E$2:$H$145,3,0)</f>
        <v>Armenia - Armenian</v>
      </c>
    </row>
    <row r="9" spans="1:21" x14ac:dyDescent="0.25">
      <c r="A9" t="s">
        <v>2982</v>
      </c>
      <c r="B9" s="73">
        <v>11</v>
      </c>
      <c r="C9" s="73">
        <v>10</v>
      </c>
      <c r="D9" s="73">
        <v>7</v>
      </c>
      <c r="E9" s="73">
        <v>12</v>
      </c>
      <c r="F9" s="73">
        <v>7</v>
      </c>
      <c r="G9" s="73">
        <v>4</v>
      </c>
      <c r="H9" s="73">
        <v>6</v>
      </c>
      <c r="I9" s="73">
        <v>4</v>
      </c>
      <c r="J9" s="73">
        <v>8</v>
      </c>
      <c r="K9" s="73">
        <v>14</v>
      </c>
      <c r="L9" s="73">
        <v>6</v>
      </c>
      <c r="M9" s="73">
        <v>7</v>
      </c>
      <c r="N9" s="73">
        <v>6</v>
      </c>
      <c r="O9" s="73" t="s">
        <v>3476</v>
      </c>
      <c r="P9" s="73">
        <v>4</v>
      </c>
      <c r="Q9" s="73">
        <v>11</v>
      </c>
      <c r="R9" s="73">
        <v>11</v>
      </c>
      <c r="S9" s="33"/>
      <c r="T9" s="33" t="s">
        <v>570</v>
      </c>
      <c r="U9" t="str">
        <f>VLOOKUP(T9,GroupLabels!$E$2:$H$145,3,0)</f>
        <v>Australia - English</v>
      </c>
    </row>
    <row r="10" spans="1:21" x14ac:dyDescent="0.25">
      <c r="A10" t="s">
        <v>2960</v>
      </c>
      <c r="B10" s="73">
        <v>11</v>
      </c>
      <c r="C10" s="73">
        <v>10</v>
      </c>
      <c r="D10" s="73">
        <v>7</v>
      </c>
      <c r="E10" s="73">
        <v>12</v>
      </c>
      <c r="F10" s="73">
        <v>7</v>
      </c>
      <c r="G10" s="73">
        <v>4</v>
      </c>
      <c r="H10" s="73">
        <v>6</v>
      </c>
      <c r="I10" s="73">
        <v>4</v>
      </c>
      <c r="J10" s="73">
        <v>8</v>
      </c>
      <c r="K10" s="73">
        <v>14</v>
      </c>
      <c r="L10" s="73">
        <v>6</v>
      </c>
      <c r="M10" s="73">
        <v>7</v>
      </c>
      <c r="N10" s="73">
        <v>6</v>
      </c>
      <c r="O10" s="73">
        <v>6</v>
      </c>
      <c r="P10" s="73">
        <v>4</v>
      </c>
      <c r="Q10" s="73">
        <v>11</v>
      </c>
      <c r="R10" s="73">
        <v>11</v>
      </c>
      <c r="S10" s="33"/>
      <c r="T10" s="33" t="s">
        <v>571</v>
      </c>
      <c r="U10" t="str">
        <f>VLOOKUP(T10,GroupLabels!$E$2:$H$145,3,0)</f>
        <v>Austria - German</v>
      </c>
    </row>
    <row r="11" spans="1:21" x14ac:dyDescent="0.25">
      <c r="A11" t="s">
        <v>2923</v>
      </c>
      <c r="B11" s="73">
        <v>11</v>
      </c>
      <c r="C11" s="73">
        <v>10</v>
      </c>
      <c r="D11" s="73">
        <v>7</v>
      </c>
      <c r="E11" s="73">
        <v>12</v>
      </c>
      <c r="F11" s="73">
        <v>7</v>
      </c>
      <c r="G11" s="73">
        <v>4</v>
      </c>
      <c r="H11" s="73">
        <v>6</v>
      </c>
      <c r="I11" s="73">
        <v>4</v>
      </c>
      <c r="J11" s="73">
        <v>8</v>
      </c>
      <c r="K11" s="73">
        <v>14</v>
      </c>
      <c r="L11" s="73">
        <v>6</v>
      </c>
      <c r="M11" s="73">
        <v>7</v>
      </c>
      <c r="N11" s="73">
        <v>6</v>
      </c>
      <c r="O11" s="73">
        <v>6</v>
      </c>
      <c r="P11" s="73">
        <v>4</v>
      </c>
      <c r="Q11" s="73">
        <v>11</v>
      </c>
      <c r="R11" s="73">
        <v>11</v>
      </c>
      <c r="S11" s="33"/>
      <c r="T11" s="33" t="s">
        <v>572</v>
      </c>
      <c r="U11" t="str">
        <f>VLOOKUP(T11,GroupLabels!$E$2:$H$145,3,0)</f>
        <v>Azerbaijan - Azerbaijani</v>
      </c>
    </row>
    <row r="12" spans="1:21" x14ac:dyDescent="0.25">
      <c r="A12" t="s">
        <v>3277</v>
      </c>
      <c r="B12" s="73">
        <v>11</v>
      </c>
      <c r="C12" s="73">
        <v>10</v>
      </c>
      <c r="D12" s="73">
        <v>7</v>
      </c>
      <c r="E12" s="73">
        <v>12</v>
      </c>
      <c r="F12" s="73">
        <v>7</v>
      </c>
      <c r="G12" s="73">
        <v>4</v>
      </c>
      <c r="H12" s="73">
        <v>6</v>
      </c>
      <c r="I12" s="73">
        <v>4</v>
      </c>
      <c r="J12" s="73">
        <v>8</v>
      </c>
      <c r="K12" s="73">
        <v>14</v>
      </c>
      <c r="L12" s="73">
        <v>6</v>
      </c>
      <c r="M12" s="73">
        <v>7</v>
      </c>
      <c r="N12" s="73">
        <v>6</v>
      </c>
      <c r="O12" s="73">
        <v>6</v>
      </c>
      <c r="P12" s="73">
        <v>4</v>
      </c>
      <c r="Q12" s="73">
        <v>11</v>
      </c>
      <c r="R12" s="73">
        <v>11</v>
      </c>
      <c r="S12" s="33"/>
      <c r="T12" s="33" t="s">
        <v>579</v>
      </c>
      <c r="U12" t="str">
        <f>VLOOKUP(T12,GroupLabels!$E$2:$H$145,3,0)</f>
        <v>B-S-J-G (China) - Chinese*</v>
      </c>
    </row>
    <row r="13" spans="1:21" x14ac:dyDescent="0.25">
      <c r="A13" t="s">
        <v>3185</v>
      </c>
      <c r="B13" s="73">
        <v>11</v>
      </c>
      <c r="C13" s="73">
        <v>10</v>
      </c>
      <c r="D13" s="73">
        <v>7</v>
      </c>
      <c r="E13" s="73">
        <v>12</v>
      </c>
      <c r="F13" s="73">
        <v>7</v>
      </c>
      <c r="G13" s="73">
        <v>4</v>
      </c>
      <c r="H13" s="73">
        <v>6</v>
      </c>
      <c r="I13" s="73" t="s">
        <v>3476</v>
      </c>
      <c r="J13" s="73">
        <v>8</v>
      </c>
      <c r="K13" s="73">
        <v>14</v>
      </c>
      <c r="L13" s="73">
        <v>6</v>
      </c>
      <c r="M13" s="73">
        <v>7</v>
      </c>
      <c r="N13" s="73">
        <v>6</v>
      </c>
      <c r="O13" s="73">
        <v>6</v>
      </c>
      <c r="P13" s="73">
        <v>4</v>
      </c>
      <c r="Q13" s="73">
        <v>11</v>
      </c>
      <c r="R13" s="73">
        <v>11</v>
      </c>
      <c r="S13" s="33"/>
      <c r="T13" s="33" t="s">
        <v>574</v>
      </c>
      <c r="U13" t="str">
        <f>VLOOKUP(T13,GroupLabels!$E$2:$H$145,3,0)</f>
        <v>Belgium (Flemish Community) - Dutch</v>
      </c>
    </row>
    <row r="14" spans="1:21" x14ac:dyDescent="0.25">
      <c r="A14" t="s">
        <v>3479</v>
      </c>
      <c r="B14" s="73">
        <v>11</v>
      </c>
      <c r="C14" s="73">
        <v>10</v>
      </c>
      <c r="D14" s="73">
        <v>7</v>
      </c>
      <c r="E14" s="73">
        <v>12</v>
      </c>
      <c r="F14" s="73">
        <v>7</v>
      </c>
      <c r="G14" s="73">
        <v>4</v>
      </c>
      <c r="H14" s="73">
        <v>6</v>
      </c>
      <c r="I14" s="73">
        <v>4</v>
      </c>
      <c r="J14" s="73">
        <v>8</v>
      </c>
      <c r="K14" s="73">
        <v>14</v>
      </c>
      <c r="L14" s="73">
        <v>6</v>
      </c>
      <c r="M14" s="73">
        <v>7</v>
      </c>
      <c r="N14" s="73">
        <v>6</v>
      </c>
      <c r="O14" s="73">
        <v>6</v>
      </c>
      <c r="P14" s="73">
        <v>4</v>
      </c>
      <c r="Q14" s="73">
        <v>11</v>
      </c>
      <c r="R14" s="73">
        <v>11</v>
      </c>
      <c r="S14" s="33"/>
      <c r="T14" s="33" t="s">
        <v>575</v>
      </c>
      <c r="U14" t="str">
        <f>VLOOKUP(T14,GroupLabels!$E$2:$H$145,3,0)</f>
        <v>Belgium (French Community) - French</v>
      </c>
    </row>
    <row r="15" spans="1:21" x14ac:dyDescent="0.25">
      <c r="A15" t="s">
        <v>3199</v>
      </c>
      <c r="B15" s="73">
        <v>11</v>
      </c>
      <c r="C15" s="73">
        <v>10</v>
      </c>
      <c r="D15" s="73">
        <v>7</v>
      </c>
      <c r="E15" s="73">
        <v>12</v>
      </c>
      <c r="F15" s="73">
        <v>7</v>
      </c>
      <c r="G15" s="73">
        <v>4</v>
      </c>
      <c r="H15" s="73">
        <v>6</v>
      </c>
      <c r="I15" s="73">
        <v>4</v>
      </c>
      <c r="J15" s="73">
        <v>8</v>
      </c>
      <c r="K15" s="73">
        <v>14</v>
      </c>
      <c r="L15" s="73">
        <v>6</v>
      </c>
      <c r="M15" s="73">
        <v>7</v>
      </c>
      <c r="N15" s="73">
        <v>6</v>
      </c>
      <c r="O15" s="73">
        <v>6</v>
      </c>
      <c r="P15" s="73">
        <v>4</v>
      </c>
      <c r="Q15" s="73">
        <v>11</v>
      </c>
      <c r="R15" s="73">
        <v>11</v>
      </c>
      <c r="S15" s="33"/>
      <c r="T15" s="33" t="s">
        <v>577</v>
      </c>
      <c r="U15" t="str">
        <f>VLOOKUP(T15,GroupLabels!$E$2:$H$145,3,0)</f>
        <v>Brazil - Portuguese</v>
      </c>
    </row>
    <row r="16" spans="1:21" x14ac:dyDescent="0.25">
      <c r="A16" t="s">
        <v>2985</v>
      </c>
      <c r="B16" s="73">
        <v>11</v>
      </c>
      <c r="C16" s="73">
        <v>10</v>
      </c>
      <c r="D16" s="73">
        <v>7</v>
      </c>
      <c r="E16" s="73">
        <v>12</v>
      </c>
      <c r="F16" s="73">
        <v>7</v>
      </c>
      <c r="G16" s="73">
        <v>4</v>
      </c>
      <c r="H16" s="73">
        <v>6</v>
      </c>
      <c r="I16" s="73">
        <v>4</v>
      </c>
      <c r="J16" s="73">
        <v>8</v>
      </c>
      <c r="K16" s="73">
        <v>14</v>
      </c>
      <c r="L16" s="73">
        <v>6</v>
      </c>
      <c r="M16" s="73">
        <v>7</v>
      </c>
      <c r="N16" s="73">
        <v>6</v>
      </c>
      <c r="O16" s="73">
        <v>6</v>
      </c>
      <c r="P16" s="73">
        <v>4</v>
      </c>
      <c r="Q16" s="73">
        <v>11</v>
      </c>
      <c r="R16" s="73">
        <v>11</v>
      </c>
      <c r="S16" s="33"/>
      <c r="T16" s="33" t="s">
        <v>578</v>
      </c>
      <c r="U16" t="str">
        <f>VLOOKUP(T16,GroupLabels!$E$2:$H$145,3,0)</f>
        <v>Brunei Darussalam - English</v>
      </c>
    </row>
    <row r="17" spans="1:21" x14ac:dyDescent="0.25">
      <c r="A17" t="s">
        <v>2928</v>
      </c>
      <c r="B17" s="73">
        <v>11</v>
      </c>
      <c r="C17" s="73">
        <v>10</v>
      </c>
      <c r="D17" s="73">
        <v>7</v>
      </c>
      <c r="E17" s="73">
        <v>12</v>
      </c>
      <c r="F17" s="73">
        <v>7</v>
      </c>
      <c r="G17" s="73">
        <v>4</v>
      </c>
      <c r="H17" s="73">
        <v>6</v>
      </c>
      <c r="I17" s="73">
        <v>4</v>
      </c>
      <c r="J17" s="73">
        <v>8</v>
      </c>
      <c r="K17" s="73">
        <v>14</v>
      </c>
      <c r="L17" s="73">
        <v>6</v>
      </c>
      <c r="M17" s="73">
        <v>7</v>
      </c>
      <c r="N17" s="73">
        <v>6</v>
      </c>
      <c r="O17" s="73">
        <v>6</v>
      </c>
      <c r="P17" s="73">
        <v>4</v>
      </c>
      <c r="Q17" s="73">
        <v>11</v>
      </c>
      <c r="R17" s="73">
        <v>11</v>
      </c>
      <c r="S17" s="33"/>
      <c r="T17" s="33" t="s">
        <v>580</v>
      </c>
      <c r="U17" t="str">
        <f>VLOOKUP(T17,GroupLabels!$E$2:$H$145,3,0)</f>
        <v>Bulgaria - Bulgarian</v>
      </c>
    </row>
    <row r="18" spans="1:21" x14ac:dyDescent="0.25">
      <c r="A18" t="s">
        <v>769</v>
      </c>
      <c r="B18" s="73">
        <v>11</v>
      </c>
      <c r="C18" s="73">
        <v>10</v>
      </c>
      <c r="D18" s="73">
        <v>7</v>
      </c>
      <c r="E18" s="73">
        <v>12</v>
      </c>
      <c r="F18" s="73">
        <v>7</v>
      </c>
      <c r="G18" s="73">
        <v>4</v>
      </c>
      <c r="H18" s="73">
        <v>6</v>
      </c>
      <c r="I18" s="73">
        <v>4</v>
      </c>
      <c r="J18" s="73">
        <v>8</v>
      </c>
      <c r="K18" s="73">
        <v>14</v>
      </c>
      <c r="L18" s="73">
        <v>6</v>
      </c>
      <c r="M18" s="73">
        <v>7</v>
      </c>
      <c r="N18" s="73">
        <v>6</v>
      </c>
      <c r="O18" s="73">
        <v>6</v>
      </c>
      <c r="P18" s="73">
        <v>4</v>
      </c>
      <c r="Q18" s="73">
        <v>11</v>
      </c>
      <c r="R18" s="73">
        <v>11</v>
      </c>
      <c r="S18" s="33"/>
      <c r="T18" s="33" t="s">
        <v>583</v>
      </c>
      <c r="U18" t="str">
        <f>VLOOKUP(T18,GroupLabels!$E$2:$H$145,3,0)</f>
        <v>Canada - English</v>
      </c>
    </row>
    <row r="19" spans="1:21" x14ac:dyDescent="0.25">
      <c r="A19" t="s">
        <v>770</v>
      </c>
      <c r="B19" s="73">
        <v>11</v>
      </c>
      <c r="C19" s="73">
        <v>10</v>
      </c>
      <c r="D19" s="73">
        <v>7</v>
      </c>
      <c r="E19" s="73">
        <v>12</v>
      </c>
      <c r="F19" s="73">
        <v>7</v>
      </c>
      <c r="G19" s="73">
        <v>4</v>
      </c>
      <c r="H19" s="73">
        <v>6</v>
      </c>
      <c r="I19" s="73">
        <v>4</v>
      </c>
      <c r="J19" s="73">
        <v>8</v>
      </c>
      <c r="K19" s="73">
        <v>14</v>
      </c>
      <c r="L19" s="73">
        <v>6</v>
      </c>
      <c r="M19" s="73">
        <v>7</v>
      </c>
      <c r="N19" s="73">
        <v>6</v>
      </c>
      <c r="O19" s="73">
        <v>6</v>
      </c>
      <c r="P19" s="73">
        <v>4</v>
      </c>
      <c r="Q19" s="73">
        <v>11</v>
      </c>
      <c r="R19" s="73">
        <v>11</v>
      </c>
      <c r="S19" s="33"/>
      <c r="T19" s="33" t="s">
        <v>584</v>
      </c>
      <c r="U19" t="str">
        <f>VLOOKUP(T19,GroupLabels!$E$2:$H$145,3,0)</f>
        <v>Canada - French</v>
      </c>
    </row>
    <row r="20" spans="1:21" x14ac:dyDescent="0.25">
      <c r="A20" t="s">
        <v>3040</v>
      </c>
      <c r="B20" s="73">
        <v>11</v>
      </c>
      <c r="C20" s="73">
        <v>10</v>
      </c>
      <c r="D20" s="73">
        <v>7</v>
      </c>
      <c r="E20" s="73">
        <v>12</v>
      </c>
      <c r="F20" s="73">
        <v>7</v>
      </c>
      <c r="G20" s="73">
        <v>4</v>
      </c>
      <c r="H20" s="73">
        <v>6</v>
      </c>
      <c r="I20" s="73">
        <v>4</v>
      </c>
      <c r="J20" s="73">
        <v>8</v>
      </c>
      <c r="K20" s="73">
        <v>14</v>
      </c>
      <c r="L20" s="73">
        <v>6</v>
      </c>
      <c r="M20" s="73">
        <v>7</v>
      </c>
      <c r="N20" s="73">
        <v>6</v>
      </c>
      <c r="O20" s="73">
        <v>6</v>
      </c>
      <c r="P20" s="73">
        <v>4</v>
      </c>
      <c r="Q20" s="73">
        <v>11</v>
      </c>
      <c r="R20" s="73">
        <v>11</v>
      </c>
      <c r="S20" s="33"/>
      <c r="T20" s="33" t="s">
        <v>586</v>
      </c>
      <c r="U20" t="str">
        <f>VLOOKUP(T20,GroupLabels!$E$2:$H$145,3,0)</f>
        <v>Colombia - Spanish</v>
      </c>
    </row>
    <row r="21" spans="1:21" x14ac:dyDescent="0.25">
      <c r="A21" t="s">
        <v>763</v>
      </c>
      <c r="B21" s="73">
        <v>11</v>
      </c>
      <c r="C21" s="73">
        <v>10</v>
      </c>
      <c r="D21" s="73">
        <v>7</v>
      </c>
      <c r="E21" s="73">
        <v>12</v>
      </c>
      <c r="F21" s="73">
        <v>7</v>
      </c>
      <c r="G21" s="73">
        <v>4</v>
      </c>
      <c r="H21" s="73">
        <v>6</v>
      </c>
      <c r="I21" s="73">
        <v>4</v>
      </c>
      <c r="J21" s="73">
        <v>8</v>
      </c>
      <c r="K21" s="73">
        <v>14</v>
      </c>
      <c r="L21" s="73">
        <v>6</v>
      </c>
      <c r="M21" s="73">
        <v>7</v>
      </c>
      <c r="N21" s="73">
        <v>6</v>
      </c>
      <c r="O21" s="73">
        <v>6</v>
      </c>
      <c r="P21" s="73">
        <v>4</v>
      </c>
      <c r="Q21" s="73">
        <v>11</v>
      </c>
      <c r="R21" s="73">
        <v>11</v>
      </c>
      <c r="S21" s="33"/>
      <c r="T21" s="33" t="s">
        <v>587</v>
      </c>
      <c r="U21" t="str">
        <f>VLOOKUP(T21,GroupLabels!$E$2:$H$145,3,0)</f>
        <v>Costa Rica - Spanish</v>
      </c>
    </row>
    <row r="22" spans="1:21" x14ac:dyDescent="0.25">
      <c r="A22" t="s">
        <v>3098</v>
      </c>
      <c r="B22" s="73">
        <v>11</v>
      </c>
      <c r="C22" s="73">
        <v>10</v>
      </c>
      <c r="D22" s="73">
        <v>7</v>
      </c>
      <c r="E22" s="73">
        <v>12</v>
      </c>
      <c r="F22" s="73">
        <v>7</v>
      </c>
      <c r="G22" s="73">
        <v>4</v>
      </c>
      <c r="H22" s="73">
        <v>6</v>
      </c>
      <c r="I22" s="73">
        <v>4</v>
      </c>
      <c r="J22" s="73">
        <v>8</v>
      </c>
      <c r="K22" s="73">
        <v>14</v>
      </c>
      <c r="L22" s="73">
        <v>6</v>
      </c>
      <c r="M22" s="73">
        <v>7</v>
      </c>
      <c r="N22" s="73">
        <v>6</v>
      </c>
      <c r="O22" s="73">
        <v>6</v>
      </c>
      <c r="P22" s="73">
        <v>4</v>
      </c>
      <c r="Q22" s="73">
        <v>11</v>
      </c>
      <c r="R22" s="73">
        <v>11</v>
      </c>
      <c r="S22" s="33"/>
      <c r="T22" s="33" t="s">
        <v>588</v>
      </c>
      <c r="U22" t="str">
        <f>VLOOKUP(T22,GroupLabels!$E$2:$H$145,3,0)</f>
        <v>Croatia - Croatian</v>
      </c>
    </row>
    <row r="23" spans="1:21" x14ac:dyDescent="0.25">
      <c r="A23" t="s">
        <v>2988</v>
      </c>
      <c r="B23" s="73">
        <v>11</v>
      </c>
      <c r="C23" s="73">
        <v>10</v>
      </c>
      <c r="D23" s="73">
        <v>7</v>
      </c>
      <c r="E23" s="73">
        <v>12</v>
      </c>
      <c r="F23" s="73">
        <v>7</v>
      </c>
      <c r="G23" s="73">
        <v>4</v>
      </c>
      <c r="H23" s="73">
        <v>6</v>
      </c>
      <c r="I23" s="73">
        <v>4</v>
      </c>
      <c r="J23" s="73">
        <v>8</v>
      </c>
      <c r="K23" s="73">
        <v>14</v>
      </c>
      <c r="L23" s="73">
        <v>6</v>
      </c>
      <c r="M23" s="73">
        <v>7</v>
      </c>
      <c r="N23" s="73">
        <v>6</v>
      </c>
      <c r="O23" s="73">
        <v>6</v>
      </c>
      <c r="P23" s="73">
        <v>4</v>
      </c>
      <c r="Q23" s="73">
        <v>11</v>
      </c>
      <c r="R23" s="73">
        <v>11</v>
      </c>
      <c r="S23" s="33"/>
      <c r="T23" s="33" t="s">
        <v>589</v>
      </c>
      <c r="U23" t="str">
        <f>VLOOKUP(T23,GroupLabels!$E$2:$H$145,3,0)</f>
        <v>Cyprus - English*</v>
      </c>
    </row>
    <row r="24" spans="1:21" x14ac:dyDescent="0.25">
      <c r="A24" t="s">
        <v>2974</v>
      </c>
      <c r="B24" s="73">
        <v>11</v>
      </c>
      <c r="C24" s="73">
        <v>10</v>
      </c>
      <c r="D24" s="73">
        <v>7</v>
      </c>
      <c r="E24" s="73">
        <v>12</v>
      </c>
      <c r="F24" s="73">
        <v>7</v>
      </c>
      <c r="G24" s="73">
        <v>4</v>
      </c>
      <c r="H24" s="73">
        <v>6</v>
      </c>
      <c r="I24" s="73">
        <v>4</v>
      </c>
      <c r="J24" s="73">
        <v>8</v>
      </c>
      <c r="K24" s="73">
        <v>14</v>
      </c>
      <c r="L24" s="73">
        <v>6</v>
      </c>
      <c r="M24" s="73">
        <v>7</v>
      </c>
      <c r="N24" s="73">
        <v>6</v>
      </c>
      <c r="O24" s="73">
        <v>6</v>
      </c>
      <c r="P24" s="73">
        <v>4</v>
      </c>
      <c r="Q24" s="73">
        <v>11</v>
      </c>
      <c r="R24" s="73">
        <v>11</v>
      </c>
      <c r="S24" s="33"/>
      <c r="T24" s="33" t="s">
        <v>590</v>
      </c>
      <c r="U24" t="str">
        <f>VLOOKUP(T24,GroupLabels!$E$2:$H$145,3,0)</f>
        <v>Cyprus - Modern Greek*</v>
      </c>
    </row>
    <row r="25" spans="1:21" x14ac:dyDescent="0.25">
      <c r="A25" t="s">
        <v>2946</v>
      </c>
      <c r="B25" s="73">
        <v>11</v>
      </c>
      <c r="C25" s="73">
        <v>10</v>
      </c>
      <c r="D25" s="73">
        <v>7</v>
      </c>
      <c r="E25" s="73">
        <v>12</v>
      </c>
      <c r="F25" s="73">
        <v>7</v>
      </c>
      <c r="G25" s="73">
        <v>4</v>
      </c>
      <c r="H25" s="73">
        <v>6</v>
      </c>
      <c r="I25" s="73">
        <v>4</v>
      </c>
      <c r="J25" s="73">
        <v>8</v>
      </c>
      <c r="K25" s="73">
        <v>14</v>
      </c>
      <c r="L25" s="73">
        <v>6</v>
      </c>
      <c r="M25" s="73">
        <v>7</v>
      </c>
      <c r="N25" s="73">
        <v>6</v>
      </c>
      <c r="O25" s="73">
        <v>6</v>
      </c>
      <c r="P25" s="73">
        <v>4</v>
      </c>
      <c r="Q25" s="73">
        <v>11</v>
      </c>
      <c r="R25" s="73">
        <v>11</v>
      </c>
      <c r="S25" s="33"/>
      <c r="T25" s="33" t="s">
        <v>591</v>
      </c>
      <c r="U25" t="str">
        <f>VLOOKUP(T25,GroupLabels!$E$2:$H$145,3,0)</f>
        <v>Czechia - Czech</v>
      </c>
    </row>
    <row r="26" spans="1:21" x14ac:dyDescent="0.25">
      <c r="A26" t="s">
        <v>765</v>
      </c>
      <c r="B26" s="73">
        <v>11</v>
      </c>
      <c r="C26" s="73">
        <v>10</v>
      </c>
      <c r="D26" s="73">
        <v>7</v>
      </c>
      <c r="E26" s="73">
        <v>12</v>
      </c>
      <c r="F26" s="73">
        <v>7</v>
      </c>
      <c r="G26" s="73">
        <v>4</v>
      </c>
      <c r="H26" s="73">
        <v>6</v>
      </c>
      <c r="I26" s="73">
        <v>4</v>
      </c>
      <c r="J26" s="73">
        <v>8</v>
      </c>
      <c r="K26" s="73">
        <v>14</v>
      </c>
      <c r="L26" s="73">
        <v>6</v>
      </c>
      <c r="M26" s="73">
        <v>7</v>
      </c>
      <c r="N26" s="73">
        <v>6</v>
      </c>
      <c r="O26" s="73">
        <v>6</v>
      </c>
      <c r="P26" s="73">
        <v>4</v>
      </c>
      <c r="Q26" s="73">
        <v>11</v>
      </c>
      <c r="R26" s="73">
        <v>11</v>
      </c>
      <c r="S26" s="33"/>
      <c r="T26" s="33" t="s">
        <v>592</v>
      </c>
      <c r="U26" t="str">
        <f>VLOOKUP(T26,GroupLabels!$E$2:$H$145,3,0)</f>
        <v>Denmark - Danish</v>
      </c>
    </row>
    <row r="27" spans="1:21" x14ac:dyDescent="0.25">
      <c r="A27" t="s">
        <v>766</v>
      </c>
      <c r="B27" s="73">
        <v>11</v>
      </c>
      <c r="C27" s="73">
        <v>10</v>
      </c>
      <c r="D27" s="73">
        <v>7</v>
      </c>
      <c r="E27" s="73">
        <v>12</v>
      </c>
      <c r="F27" s="73">
        <v>7</v>
      </c>
      <c r="G27" s="73">
        <v>4</v>
      </c>
      <c r="H27" s="73">
        <v>6</v>
      </c>
      <c r="I27" s="73">
        <v>4</v>
      </c>
      <c r="J27" s="73">
        <v>8</v>
      </c>
      <c r="K27" s="73">
        <v>14</v>
      </c>
      <c r="L27" s="73">
        <v>6</v>
      </c>
      <c r="M27" s="73">
        <v>7</v>
      </c>
      <c r="N27" s="73">
        <v>6</v>
      </c>
      <c r="O27" s="73">
        <v>6</v>
      </c>
      <c r="P27" s="73">
        <v>4</v>
      </c>
      <c r="Q27" s="73">
        <v>11</v>
      </c>
      <c r="R27" s="73">
        <v>11</v>
      </c>
      <c r="S27" s="33"/>
      <c r="T27" s="33" t="s">
        <v>593</v>
      </c>
      <c r="U27" t="str">
        <f>VLOOKUP(T27,GroupLabels!$E$2:$H$145,3,0)</f>
        <v>Denmark - Faroese</v>
      </c>
    </row>
    <row r="28" spans="1:21" x14ac:dyDescent="0.25">
      <c r="A28" t="s">
        <v>3044</v>
      </c>
      <c r="B28" s="73">
        <v>11</v>
      </c>
      <c r="C28" s="73">
        <v>10</v>
      </c>
      <c r="D28" s="73">
        <v>7</v>
      </c>
      <c r="E28" s="73">
        <v>12</v>
      </c>
      <c r="F28" s="73">
        <v>7</v>
      </c>
      <c r="G28" s="73">
        <v>4</v>
      </c>
      <c r="H28" s="73">
        <v>6</v>
      </c>
      <c r="I28" s="73">
        <v>4</v>
      </c>
      <c r="J28" s="73">
        <v>8</v>
      </c>
      <c r="K28" s="73">
        <v>14</v>
      </c>
      <c r="L28" s="73">
        <v>6</v>
      </c>
      <c r="M28" s="73">
        <v>7</v>
      </c>
      <c r="N28" s="73">
        <v>6</v>
      </c>
      <c r="O28" s="73">
        <v>6</v>
      </c>
      <c r="P28" s="73">
        <v>4</v>
      </c>
      <c r="Q28" s="73">
        <v>11</v>
      </c>
      <c r="R28" s="73">
        <v>11</v>
      </c>
      <c r="S28" s="33"/>
      <c r="T28" s="33" t="s">
        <v>594</v>
      </c>
      <c r="U28" t="str">
        <f>VLOOKUP(T28,GroupLabels!$E$2:$H$145,3,0)</f>
        <v>Dominican Republic - Spanish</v>
      </c>
    </row>
    <row r="29" spans="1:21" x14ac:dyDescent="0.25">
      <c r="A29" t="s">
        <v>3046</v>
      </c>
      <c r="B29" s="73">
        <v>11</v>
      </c>
      <c r="C29" s="73">
        <v>10</v>
      </c>
      <c r="D29" s="73">
        <v>7</v>
      </c>
      <c r="E29" s="73">
        <v>12</v>
      </c>
      <c r="F29" s="73">
        <v>7</v>
      </c>
      <c r="G29" s="73">
        <v>4</v>
      </c>
      <c r="H29" s="73">
        <v>6</v>
      </c>
      <c r="I29" s="73">
        <v>4</v>
      </c>
      <c r="J29" s="73">
        <v>8</v>
      </c>
      <c r="K29" s="73">
        <v>14</v>
      </c>
      <c r="L29" s="73">
        <v>6</v>
      </c>
      <c r="M29" s="73">
        <v>7</v>
      </c>
      <c r="N29" s="73">
        <v>6</v>
      </c>
      <c r="O29" s="73">
        <v>6</v>
      </c>
      <c r="P29" s="73">
        <v>4</v>
      </c>
      <c r="Q29" s="73">
        <v>11</v>
      </c>
      <c r="R29" s="73">
        <v>11</v>
      </c>
      <c r="S29" s="33"/>
      <c r="T29" s="33" t="s">
        <v>597</v>
      </c>
      <c r="U29" t="str">
        <f>VLOOKUP(T29,GroupLabels!$E$2:$H$145,3,0)</f>
        <v>Ecuador - Spanish</v>
      </c>
    </row>
    <row r="30" spans="1:21" x14ac:dyDescent="0.25">
      <c r="A30" t="s">
        <v>3062</v>
      </c>
      <c r="B30" s="73">
        <v>11</v>
      </c>
      <c r="C30" s="73">
        <v>10</v>
      </c>
      <c r="D30" s="73">
        <v>7</v>
      </c>
      <c r="E30" s="73">
        <v>12</v>
      </c>
      <c r="F30" s="73">
        <v>7</v>
      </c>
      <c r="G30" s="73">
        <v>4</v>
      </c>
      <c r="H30" s="73">
        <v>6</v>
      </c>
      <c r="I30" s="73">
        <v>4</v>
      </c>
      <c r="J30" s="73">
        <v>8</v>
      </c>
      <c r="K30" s="73">
        <v>14</v>
      </c>
      <c r="L30" s="73">
        <v>6</v>
      </c>
      <c r="M30" s="73">
        <v>7</v>
      </c>
      <c r="N30" s="73">
        <v>6</v>
      </c>
      <c r="O30" s="73">
        <v>6</v>
      </c>
      <c r="P30" s="73">
        <v>4</v>
      </c>
      <c r="Q30" s="73">
        <v>11</v>
      </c>
      <c r="R30" s="73">
        <v>11</v>
      </c>
      <c r="S30" s="33"/>
      <c r="T30" s="33" t="s">
        <v>598</v>
      </c>
      <c r="U30" t="str">
        <f>VLOOKUP(T30,GroupLabels!$E$2:$H$145,3,0)</f>
        <v>El Salvador - Spanish</v>
      </c>
    </row>
    <row r="31" spans="1:21" x14ac:dyDescent="0.25">
      <c r="A31" t="s">
        <v>3069</v>
      </c>
      <c r="B31" s="73">
        <v>11</v>
      </c>
      <c r="C31" s="73">
        <v>10</v>
      </c>
      <c r="D31" s="73">
        <v>7</v>
      </c>
      <c r="E31" s="73">
        <v>12</v>
      </c>
      <c r="F31" s="73">
        <v>7</v>
      </c>
      <c r="G31" s="73">
        <v>4</v>
      </c>
      <c r="H31" s="73">
        <v>6</v>
      </c>
      <c r="I31" s="73">
        <v>4</v>
      </c>
      <c r="J31" s="73">
        <v>8</v>
      </c>
      <c r="K31" s="73">
        <v>14</v>
      </c>
      <c r="L31" s="73">
        <v>6</v>
      </c>
      <c r="M31" s="73">
        <v>7</v>
      </c>
      <c r="N31" s="73">
        <v>6</v>
      </c>
      <c r="O31" s="73">
        <v>6</v>
      </c>
      <c r="P31" s="73">
        <v>4</v>
      </c>
      <c r="Q31" s="73">
        <v>11</v>
      </c>
      <c r="R31" s="73">
        <v>11</v>
      </c>
      <c r="S31" s="33"/>
      <c r="T31" s="33" t="s">
        <v>599</v>
      </c>
      <c r="U31" t="str">
        <f>VLOOKUP(T31,GroupLabels!$E$2:$H$145,3,0)</f>
        <v>Estonia - Estonian</v>
      </c>
    </row>
    <row r="32" spans="1:21" x14ac:dyDescent="0.25">
      <c r="A32" t="s">
        <v>3076</v>
      </c>
      <c r="B32" s="73">
        <v>11</v>
      </c>
      <c r="C32" s="73">
        <v>10</v>
      </c>
      <c r="D32" s="73">
        <v>7</v>
      </c>
      <c r="E32" s="73">
        <v>12</v>
      </c>
      <c r="F32" s="73">
        <v>7</v>
      </c>
      <c r="G32" s="73">
        <v>4</v>
      </c>
      <c r="H32" s="73">
        <v>6</v>
      </c>
      <c r="I32" s="73">
        <v>4</v>
      </c>
      <c r="J32" s="73">
        <v>8</v>
      </c>
      <c r="K32" s="73">
        <v>14</v>
      </c>
      <c r="L32" s="73">
        <v>6</v>
      </c>
      <c r="M32" s="73">
        <v>7</v>
      </c>
      <c r="N32" s="73">
        <v>6</v>
      </c>
      <c r="O32" s="73">
        <v>6</v>
      </c>
      <c r="P32" s="73">
        <v>4</v>
      </c>
      <c r="Q32" s="73">
        <v>11</v>
      </c>
      <c r="R32" s="73">
        <v>11</v>
      </c>
      <c r="S32" s="33"/>
      <c r="T32" s="33" t="s">
        <v>601</v>
      </c>
      <c r="U32" t="str">
        <f>VLOOKUP(T32,GroupLabels!$E$2:$H$145,3,0)</f>
        <v>Finland - Finnish</v>
      </c>
    </row>
    <row r="33" spans="1:21" x14ac:dyDescent="0.25">
      <c r="A33" t="s">
        <v>3244</v>
      </c>
      <c r="B33" s="73">
        <v>11</v>
      </c>
      <c r="C33" s="73">
        <v>10</v>
      </c>
      <c r="D33" s="73">
        <v>7</v>
      </c>
      <c r="E33" s="73">
        <v>12</v>
      </c>
      <c r="F33" s="73">
        <v>7</v>
      </c>
      <c r="G33" s="73">
        <v>4</v>
      </c>
      <c r="H33" s="73">
        <v>6</v>
      </c>
      <c r="I33" s="73">
        <v>4</v>
      </c>
      <c r="J33" s="73">
        <v>8</v>
      </c>
      <c r="K33" s="73">
        <v>14</v>
      </c>
      <c r="L33" s="73">
        <v>6</v>
      </c>
      <c r="M33" s="73">
        <v>7</v>
      </c>
      <c r="N33" s="73">
        <v>6</v>
      </c>
      <c r="O33" s="73">
        <v>6</v>
      </c>
      <c r="P33" s="73">
        <v>4</v>
      </c>
      <c r="Q33" s="73">
        <v>11</v>
      </c>
      <c r="R33" s="73">
        <v>11</v>
      </c>
      <c r="S33" s="33"/>
      <c r="T33" s="33" t="s">
        <v>602</v>
      </c>
      <c r="U33" t="str">
        <f>VLOOKUP(T33,GroupLabels!$E$2:$H$145,3,0)</f>
        <v>Finland - Swedish</v>
      </c>
    </row>
    <row r="34" spans="1:21" x14ac:dyDescent="0.25">
      <c r="A34" t="s">
        <v>3083</v>
      </c>
      <c r="B34" s="73">
        <v>11</v>
      </c>
      <c r="C34" s="73">
        <v>10</v>
      </c>
      <c r="D34" s="73">
        <v>7</v>
      </c>
      <c r="E34" s="73">
        <v>12</v>
      </c>
      <c r="F34" s="73">
        <v>7</v>
      </c>
      <c r="G34" s="73">
        <v>4</v>
      </c>
      <c r="H34" s="73">
        <v>6</v>
      </c>
      <c r="I34" s="73">
        <v>4</v>
      </c>
      <c r="J34" s="73">
        <v>8</v>
      </c>
      <c r="K34" s="73">
        <v>14</v>
      </c>
      <c r="L34" s="73">
        <v>6</v>
      </c>
      <c r="M34" s="73">
        <v>7</v>
      </c>
      <c r="N34" s="73">
        <v>6</v>
      </c>
      <c r="O34" s="73">
        <v>6</v>
      </c>
      <c r="P34" s="73">
        <v>4</v>
      </c>
      <c r="Q34" s="73">
        <v>11</v>
      </c>
      <c r="R34" s="73">
        <v>11</v>
      </c>
      <c r="S34" s="33"/>
      <c r="T34" s="33" t="s">
        <v>603</v>
      </c>
      <c r="U34" t="str">
        <f>VLOOKUP(T34,GroupLabels!$E$2:$H$145,3,0)</f>
        <v>France - French</v>
      </c>
    </row>
    <row r="35" spans="1:21" x14ac:dyDescent="0.25">
      <c r="A35" t="s">
        <v>2920</v>
      </c>
      <c r="B35" s="73">
        <v>11</v>
      </c>
      <c r="C35" s="73">
        <v>10</v>
      </c>
      <c r="D35" s="73">
        <v>7</v>
      </c>
      <c r="E35" s="73">
        <v>12</v>
      </c>
      <c r="F35" s="73">
        <v>7</v>
      </c>
      <c r="G35" s="73">
        <v>4</v>
      </c>
      <c r="H35" s="73">
        <v>6</v>
      </c>
      <c r="I35" s="73">
        <v>4</v>
      </c>
      <c r="J35" s="73">
        <v>8</v>
      </c>
      <c r="K35" s="73">
        <v>14</v>
      </c>
      <c r="L35" s="73">
        <v>6</v>
      </c>
      <c r="M35" s="73">
        <v>7</v>
      </c>
      <c r="N35" s="73">
        <v>6</v>
      </c>
      <c r="O35" s="73">
        <v>6</v>
      </c>
      <c r="P35" s="73">
        <v>4</v>
      </c>
      <c r="Q35" s="73">
        <v>11</v>
      </c>
      <c r="R35" s="73">
        <v>11</v>
      </c>
      <c r="S35" s="33"/>
      <c r="T35" s="33" t="s">
        <v>604</v>
      </c>
      <c r="U35" t="str">
        <f>VLOOKUP(T35,GroupLabels!$E$2:$H$145,3,0)</f>
        <v>Georgia - Azerbaijani</v>
      </c>
    </row>
    <row r="36" spans="1:21" x14ac:dyDescent="0.25">
      <c r="A36" t="s">
        <v>3136</v>
      </c>
      <c r="B36" s="73">
        <v>11</v>
      </c>
      <c r="C36" s="73">
        <v>10</v>
      </c>
      <c r="D36" s="73">
        <v>7</v>
      </c>
      <c r="E36" s="73">
        <v>12</v>
      </c>
      <c r="F36" s="73">
        <v>7</v>
      </c>
      <c r="G36" s="73">
        <v>4</v>
      </c>
      <c r="H36" s="73">
        <v>6</v>
      </c>
      <c r="I36" s="73">
        <v>4</v>
      </c>
      <c r="J36" s="73">
        <v>8</v>
      </c>
      <c r="K36" s="73">
        <v>14</v>
      </c>
      <c r="L36" s="73">
        <v>6</v>
      </c>
      <c r="M36" s="73">
        <v>7</v>
      </c>
      <c r="N36" s="73">
        <v>6</v>
      </c>
      <c r="O36" s="73">
        <v>6</v>
      </c>
      <c r="P36" s="73">
        <v>4</v>
      </c>
      <c r="Q36" s="73">
        <v>11</v>
      </c>
      <c r="R36" s="73">
        <v>11</v>
      </c>
      <c r="S36" s="33"/>
      <c r="T36" s="33" t="s">
        <v>605</v>
      </c>
      <c r="U36" t="str">
        <f>VLOOKUP(T36,GroupLabels!$E$2:$H$145,3,0)</f>
        <v>Georgia - Georgian</v>
      </c>
    </row>
    <row r="37" spans="1:21" x14ac:dyDescent="0.25">
      <c r="A37" t="s">
        <v>3211</v>
      </c>
      <c r="B37" s="73">
        <v>11</v>
      </c>
      <c r="C37" s="73">
        <v>10</v>
      </c>
      <c r="D37" s="73">
        <v>7</v>
      </c>
      <c r="E37" s="73">
        <v>12</v>
      </c>
      <c r="F37" s="73">
        <v>7</v>
      </c>
      <c r="G37" s="73">
        <v>4</v>
      </c>
      <c r="H37" s="73">
        <v>6</v>
      </c>
      <c r="I37" s="73">
        <v>4</v>
      </c>
      <c r="J37" s="73">
        <v>8</v>
      </c>
      <c r="K37" s="73">
        <v>14</v>
      </c>
      <c r="L37" s="73">
        <v>6</v>
      </c>
      <c r="M37" s="73">
        <v>7</v>
      </c>
      <c r="N37" s="73">
        <v>6</v>
      </c>
      <c r="O37" s="73">
        <v>6</v>
      </c>
      <c r="P37" s="73">
        <v>4</v>
      </c>
      <c r="Q37" s="73">
        <v>11</v>
      </c>
      <c r="R37" s="73">
        <v>11</v>
      </c>
      <c r="S37" s="33"/>
      <c r="T37" s="33" t="s">
        <v>606</v>
      </c>
      <c r="U37" t="str">
        <f>VLOOKUP(T37,GroupLabels!$E$2:$H$145,3,0)</f>
        <v>Georgia - Russian</v>
      </c>
    </row>
    <row r="38" spans="1:21" x14ac:dyDescent="0.25">
      <c r="A38" t="s">
        <v>767</v>
      </c>
      <c r="B38" s="73">
        <v>11</v>
      </c>
      <c r="C38" s="73">
        <v>10</v>
      </c>
      <c r="D38" s="73">
        <v>7</v>
      </c>
      <c r="E38" s="73">
        <v>12</v>
      </c>
      <c r="F38" s="73">
        <v>7</v>
      </c>
      <c r="G38" s="73">
        <v>4</v>
      </c>
      <c r="H38" s="73">
        <v>6</v>
      </c>
      <c r="I38" s="73">
        <v>4</v>
      </c>
      <c r="J38" s="73" t="s">
        <v>3476</v>
      </c>
      <c r="K38" s="73">
        <v>14</v>
      </c>
      <c r="L38" s="73">
        <v>6</v>
      </c>
      <c r="M38" s="73">
        <v>7</v>
      </c>
      <c r="N38" s="73">
        <v>6</v>
      </c>
      <c r="O38" s="73">
        <v>6</v>
      </c>
      <c r="P38" s="73">
        <v>4</v>
      </c>
      <c r="Q38" s="73">
        <v>11</v>
      </c>
      <c r="R38" s="73">
        <v>11</v>
      </c>
      <c r="S38" s="33"/>
      <c r="T38" s="33" t="s">
        <v>607</v>
      </c>
      <c r="U38" t="str">
        <f>VLOOKUP(T38,GroupLabels!$E$2:$H$145,3,0)</f>
        <v>Germany - German</v>
      </c>
    </row>
    <row r="39" spans="1:21" x14ac:dyDescent="0.25">
      <c r="A39" t="s">
        <v>2976</v>
      </c>
      <c r="B39" s="73">
        <v>11</v>
      </c>
      <c r="C39" s="73">
        <v>10</v>
      </c>
      <c r="D39" s="73">
        <v>7</v>
      </c>
      <c r="E39" s="73">
        <v>12</v>
      </c>
      <c r="F39" s="73">
        <v>7</v>
      </c>
      <c r="G39" s="73">
        <v>4</v>
      </c>
      <c r="H39" s="73">
        <v>6</v>
      </c>
      <c r="I39" s="73">
        <v>4</v>
      </c>
      <c r="J39" s="73">
        <v>8</v>
      </c>
      <c r="K39" s="73">
        <v>14</v>
      </c>
      <c r="L39" s="73">
        <v>6</v>
      </c>
      <c r="M39" s="73">
        <v>7</v>
      </c>
      <c r="N39" s="73">
        <v>6</v>
      </c>
      <c r="O39" s="73">
        <v>6</v>
      </c>
      <c r="P39" s="73">
        <v>4</v>
      </c>
      <c r="Q39" s="73">
        <v>11</v>
      </c>
      <c r="R39" s="73">
        <v>11</v>
      </c>
      <c r="S39" s="33"/>
      <c r="T39" s="33" t="s">
        <v>608</v>
      </c>
      <c r="U39" t="str">
        <f>VLOOKUP(T39,GroupLabels!$E$2:$H$145,3,0)</f>
        <v>Greece - Modern Greek</v>
      </c>
    </row>
    <row r="40" spans="1:21" x14ac:dyDescent="0.25">
      <c r="A40" t="s">
        <v>3050</v>
      </c>
      <c r="B40" s="73">
        <v>11</v>
      </c>
      <c r="C40" s="73">
        <v>10</v>
      </c>
      <c r="D40" s="73">
        <v>7</v>
      </c>
      <c r="E40" s="73">
        <v>12</v>
      </c>
      <c r="F40" s="73">
        <v>7</v>
      </c>
      <c r="G40" s="73">
        <v>4</v>
      </c>
      <c r="H40" s="73">
        <v>6</v>
      </c>
      <c r="I40" s="73">
        <v>4</v>
      </c>
      <c r="J40" s="73">
        <v>8</v>
      </c>
      <c r="K40" s="73">
        <v>14</v>
      </c>
      <c r="L40" s="73">
        <v>6</v>
      </c>
      <c r="M40" s="73">
        <v>7</v>
      </c>
      <c r="N40" s="73">
        <v>6</v>
      </c>
      <c r="O40" s="73">
        <v>6</v>
      </c>
      <c r="P40" s="73">
        <v>4</v>
      </c>
      <c r="Q40" s="73">
        <v>11</v>
      </c>
      <c r="R40" s="73">
        <v>11</v>
      </c>
      <c r="S40" s="33"/>
      <c r="T40" s="33" t="s">
        <v>609</v>
      </c>
      <c r="U40" t="str">
        <f>VLOOKUP(T40,GroupLabels!$E$2:$H$145,3,0)</f>
        <v>Guatemala - Spanish</v>
      </c>
    </row>
    <row r="41" spans="1:21" x14ac:dyDescent="0.25">
      <c r="A41" t="s">
        <v>3278</v>
      </c>
      <c r="B41" s="73">
        <v>11</v>
      </c>
      <c r="C41" s="73">
        <v>10</v>
      </c>
      <c r="D41" s="73">
        <v>7</v>
      </c>
      <c r="E41" s="73">
        <v>12</v>
      </c>
      <c r="F41" s="73">
        <v>7</v>
      </c>
      <c r="G41" s="73">
        <v>4</v>
      </c>
      <c r="H41" s="73">
        <v>6</v>
      </c>
      <c r="I41" s="73">
        <v>4</v>
      </c>
      <c r="J41" s="73">
        <v>8</v>
      </c>
      <c r="K41" s="73">
        <v>14</v>
      </c>
      <c r="L41" s="73">
        <v>6</v>
      </c>
      <c r="M41" s="73">
        <v>7</v>
      </c>
      <c r="N41" s="73">
        <v>6</v>
      </c>
      <c r="O41" s="73">
        <v>6</v>
      </c>
      <c r="P41" s="73">
        <v>4</v>
      </c>
      <c r="Q41" s="73">
        <v>11</v>
      </c>
      <c r="R41" s="73">
        <v>11</v>
      </c>
      <c r="S41" s="33"/>
      <c r="T41" s="33" t="s">
        <v>610</v>
      </c>
      <c r="U41" t="str">
        <f>VLOOKUP(T41,GroupLabels!$E$2:$H$145,3,0)</f>
        <v>Hong Kong (China) - Chinese</v>
      </c>
    </row>
    <row r="42" spans="1:21" x14ac:dyDescent="0.25">
      <c r="A42" t="s">
        <v>2993</v>
      </c>
      <c r="B42" s="73">
        <v>11</v>
      </c>
      <c r="C42" s="73">
        <v>10</v>
      </c>
      <c r="D42" s="73">
        <v>7</v>
      </c>
      <c r="E42" s="73">
        <v>12</v>
      </c>
      <c r="F42" s="73">
        <v>7</v>
      </c>
      <c r="G42" s="73">
        <v>4</v>
      </c>
      <c r="H42" s="73">
        <v>6</v>
      </c>
      <c r="I42" s="73">
        <v>4</v>
      </c>
      <c r="J42" s="73">
        <v>8</v>
      </c>
      <c r="K42" s="73">
        <v>14</v>
      </c>
      <c r="L42" s="73">
        <v>6</v>
      </c>
      <c r="M42" s="73">
        <v>7</v>
      </c>
      <c r="N42" s="73">
        <v>6</v>
      </c>
      <c r="O42" s="73">
        <v>6</v>
      </c>
      <c r="P42" s="73">
        <v>4</v>
      </c>
      <c r="Q42" s="73">
        <v>11</v>
      </c>
      <c r="R42" s="73">
        <v>11</v>
      </c>
      <c r="S42" s="33"/>
      <c r="T42" s="33" t="s">
        <v>611</v>
      </c>
      <c r="U42" t="str">
        <f>VLOOKUP(T42,GroupLabels!$E$2:$H$145,3,0)</f>
        <v>Hong Kong (China) - English</v>
      </c>
    </row>
    <row r="43" spans="1:21" x14ac:dyDescent="0.25">
      <c r="A43" t="s">
        <v>3103</v>
      </c>
      <c r="B43" s="73">
        <v>11</v>
      </c>
      <c r="C43" s="73">
        <v>10</v>
      </c>
      <c r="D43" s="73">
        <v>7</v>
      </c>
      <c r="E43" s="73">
        <v>12</v>
      </c>
      <c r="F43" s="73">
        <v>7</v>
      </c>
      <c r="G43" s="73">
        <v>4</v>
      </c>
      <c r="H43" s="73">
        <v>6</v>
      </c>
      <c r="I43" s="73">
        <v>4</v>
      </c>
      <c r="J43" s="73">
        <v>8</v>
      </c>
      <c r="K43" s="73">
        <v>14</v>
      </c>
      <c r="L43" s="73">
        <v>6</v>
      </c>
      <c r="M43" s="73">
        <v>7</v>
      </c>
      <c r="N43" s="73">
        <v>6</v>
      </c>
      <c r="O43" s="73">
        <v>6</v>
      </c>
      <c r="P43" s="73">
        <v>4</v>
      </c>
      <c r="Q43" s="73">
        <v>11</v>
      </c>
      <c r="R43" s="73">
        <v>11</v>
      </c>
      <c r="S43" s="33"/>
      <c r="T43" s="33" t="s">
        <v>612</v>
      </c>
      <c r="U43" t="str">
        <f>VLOOKUP(T43,GroupLabels!$E$2:$H$145,3,0)</f>
        <v>Hungary - Hungarian</v>
      </c>
    </row>
    <row r="44" spans="1:21" x14ac:dyDescent="0.25">
      <c r="A44" t="s">
        <v>3122</v>
      </c>
      <c r="B44" s="73">
        <v>11</v>
      </c>
      <c r="C44" s="73">
        <v>10</v>
      </c>
      <c r="D44" s="73">
        <v>7</v>
      </c>
      <c r="E44" s="73">
        <v>12</v>
      </c>
      <c r="F44" s="73">
        <v>7</v>
      </c>
      <c r="G44" s="73">
        <v>4</v>
      </c>
      <c r="H44" s="73">
        <v>6</v>
      </c>
      <c r="I44" s="73">
        <v>4</v>
      </c>
      <c r="J44" s="73">
        <v>8</v>
      </c>
      <c r="K44" s="73">
        <v>14</v>
      </c>
      <c r="L44" s="73">
        <v>6</v>
      </c>
      <c r="M44" s="73">
        <v>7</v>
      </c>
      <c r="N44" s="73">
        <v>6</v>
      </c>
      <c r="O44" s="73">
        <v>6</v>
      </c>
      <c r="P44" s="73">
        <v>4</v>
      </c>
      <c r="Q44" s="73">
        <v>11</v>
      </c>
      <c r="R44" s="73">
        <v>11</v>
      </c>
      <c r="S44" s="33"/>
      <c r="T44" s="33" t="s">
        <v>613</v>
      </c>
      <c r="U44" t="str">
        <f>VLOOKUP(T44,GroupLabels!$E$2:$H$145,3,0)</f>
        <v>Iceland - Icelandic</v>
      </c>
    </row>
    <row r="45" spans="1:21" x14ac:dyDescent="0.25">
      <c r="A45" t="s">
        <v>3118</v>
      </c>
      <c r="B45" s="73">
        <v>11</v>
      </c>
      <c r="C45" s="73">
        <v>10</v>
      </c>
      <c r="D45" s="73">
        <v>7</v>
      </c>
      <c r="E45" s="73">
        <v>12</v>
      </c>
      <c r="F45" s="73">
        <v>7</v>
      </c>
      <c r="G45" s="73">
        <v>4</v>
      </c>
      <c r="H45" s="73">
        <v>6</v>
      </c>
      <c r="I45" s="73">
        <v>4</v>
      </c>
      <c r="J45" s="73">
        <v>8</v>
      </c>
      <c r="K45" s="73">
        <v>14</v>
      </c>
      <c r="L45" s="73">
        <v>6</v>
      </c>
      <c r="M45" s="73">
        <v>7</v>
      </c>
      <c r="N45" s="73">
        <v>6</v>
      </c>
      <c r="O45" s="73">
        <v>6</v>
      </c>
      <c r="P45" s="73">
        <v>4</v>
      </c>
      <c r="Q45" s="73">
        <v>11</v>
      </c>
      <c r="R45" s="73">
        <v>11</v>
      </c>
      <c r="S45" s="33"/>
      <c r="T45" s="33" t="s">
        <v>614</v>
      </c>
      <c r="U45" t="str">
        <f>VLOOKUP(T45,GroupLabels!$E$2:$H$145,3,0)</f>
        <v>Indonesia - Indonesian</v>
      </c>
    </row>
    <row r="46" spans="1:21" x14ac:dyDescent="0.25">
      <c r="A46" t="s">
        <v>2995</v>
      </c>
      <c r="B46" s="73">
        <v>11</v>
      </c>
      <c r="C46" s="73">
        <v>10</v>
      </c>
      <c r="D46" s="73">
        <v>7</v>
      </c>
      <c r="E46" s="73">
        <v>12</v>
      </c>
      <c r="F46" s="73">
        <v>7</v>
      </c>
      <c r="G46" s="73">
        <v>4</v>
      </c>
      <c r="H46" s="73">
        <v>6</v>
      </c>
      <c r="I46" s="73">
        <v>4</v>
      </c>
      <c r="J46" s="73">
        <v>7</v>
      </c>
      <c r="K46" s="73">
        <v>14</v>
      </c>
      <c r="L46" s="73">
        <v>6</v>
      </c>
      <c r="M46" s="73">
        <v>7</v>
      </c>
      <c r="N46" s="73">
        <v>6</v>
      </c>
      <c r="O46" s="73">
        <v>6</v>
      </c>
      <c r="P46" s="73">
        <v>4</v>
      </c>
      <c r="Q46" s="73">
        <v>11</v>
      </c>
      <c r="R46" s="73">
        <v>11</v>
      </c>
      <c r="S46" s="33"/>
      <c r="T46" s="33" t="s">
        <v>615</v>
      </c>
      <c r="U46" t="str">
        <f>VLOOKUP(T46,GroupLabels!$E$2:$H$145,3,0)</f>
        <v>Ireland - English</v>
      </c>
    </row>
    <row r="47" spans="1:21" x14ac:dyDescent="0.25">
      <c r="A47" t="s">
        <v>3088</v>
      </c>
      <c r="B47" s="73">
        <v>11</v>
      </c>
      <c r="C47" s="73">
        <v>10</v>
      </c>
      <c r="D47" s="73">
        <v>7</v>
      </c>
      <c r="E47" s="73">
        <v>12</v>
      </c>
      <c r="F47" s="73">
        <v>7</v>
      </c>
      <c r="G47" s="73">
        <v>4</v>
      </c>
      <c r="H47" s="73">
        <v>6</v>
      </c>
      <c r="I47" s="73">
        <v>4</v>
      </c>
      <c r="J47" s="73">
        <v>7</v>
      </c>
      <c r="K47" s="73">
        <v>14</v>
      </c>
      <c r="L47" s="73">
        <v>6</v>
      </c>
      <c r="M47" s="73">
        <v>7</v>
      </c>
      <c r="N47" s="73">
        <v>6</v>
      </c>
      <c r="O47" s="73">
        <v>6</v>
      </c>
      <c r="P47" s="73">
        <v>4</v>
      </c>
      <c r="Q47" s="73">
        <v>11</v>
      </c>
      <c r="R47" s="73">
        <v>11</v>
      </c>
      <c r="S47" s="33"/>
      <c r="T47" s="33" t="s">
        <v>616</v>
      </c>
      <c r="U47" t="str">
        <f>VLOOKUP(T47,GroupLabels!$E$2:$H$145,3,0)</f>
        <v>Ireland - Irish Gaeilge</v>
      </c>
    </row>
    <row r="48" spans="1:21" x14ac:dyDescent="0.25">
      <c r="A48" t="s">
        <v>2467</v>
      </c>
      <c r="B48" s="73" t="s">
        <v>3476</v>
      </c>
      <c r="C48" s="73" t="s">
        <v>3476</v>
      </c>
      <c r="D48" s="73" t="s">
        <v>3476</v>
      </c>
      <c r="E48" s="73" t="s">
        <v>3476</v>
      </c>
      <c r="F48" s="73">
        <v>7</v>
      </c>
      <c r="G48" s="73">
        <v>4</v>
      </c>
      <c r="H48" s="73">
        <v>6</v>
      </c>
      <c r="I48" s="73" t="s">
        <v>3476</v>
      </c>
      <c r="J48" s="73" t="s">
        <v>3476</v>
      </c>
      <c r="K48" s="73" t="s">
        <v>3476</v>
      </c>
      <c r="L48" s="73">
        <v>6</v>
      </c>
      <c r="M48" s="73">
        <v>7</v>
      </c>
      <c r="N48" s="73">
        <v>6</v>
      </c>
      <c r="O48" s="73">
        <v>6</v>
      </c>
      <c r="P48" s="73">
        <v>4</v>
      </c>
      <c r="Q48" s="73">
        <v>11</v>
      </c>
      <c r="R48" s="73">
        <v>11</v>
      </c>
      <c r="S48" s="33"/>
      <c r="T48" s="33" t="s">
        <v>618</v>
      </c>
      <c r="U48" t="str">
        <f>VLOOKUP(T48,GroupLabels!$E$2:$H$145,3,0)</f>
        <v>Israel - Haredi*</v>
      </c>
    </row>
    <row r="49" spans="1:21" x14ac:dyDescent="0.25">
      <c r="A49" t="s">
        <v>3094</v>
      </c>
      <c r="B49" s="73">
        <v>11</v>
      </c>
      <c r="C49" s="73">
        <v>10</v>
      </c>
      <c r="D49" s="73">
        <v>7</v>
      </c>
      <c r="E49" s="73">
        <v>12</v>
      </c>
      <c r="F49" s="73">
        <v>7</v>
      </c>
      <c r="G49" s="73">
        <v>4</v>
      </c>
      <c r="H49" s="73">
        <v>6</v>
      </c>
      <c r="I49" s="73">
        <v>4</v>
      </c>
      <c r="J49" s="73">
        <v>8</v>
      </c>
      <c r="K49" s="73">
        <v>14</v>
      </c>
      <c r="L49" s="73">
        <v>6</v>
      </c>
      <c r="M49" s="73">
        <v>7</v>
      </c>
      <c r="N49" s="73">
        <v>6</v>
      </c>
      <c r="O49" s="73">
        <v>6</v>
      </c>
      <c r="P49" s="73">
        <v>4</v>
      </c>
      <c r="Q49" s="73">
        <v>11</v>
      </c>
      <c r="R49" s="73">
        <v>11</v>
      </c>
      <c r="S49" s="33"/>
      <c r="T49" s="33" t="s">
        <v>619</v>
      </c>
      <c r="U49" t="str">
        <f>VLOOKUP(T49,GroupLabels!$E$2:$H$145,3,0)</f>
        <v>Israel - Hebrew*</v>
      </c>
    </row>
    <row r="50" spans="1:21" x14ac:dyDescent="0.25">
      <c r="A50" t="s">
        <v>2967</v>
      </c>
      <c r="B50" s="73">
        <v>11</v>
      </c>
      <c r="C50" s="73">
        <v>10</v>
      </c>
      <c r="D50" s="73">
        <v>7</v>
      </c>
      <c r="E50" s="73">
        <v>12</v>
      </c>
      <c r="F50" s="73">
        <v>7</v>
      </c>
      <c r="G50" s="73">
        <v>4</v>
      </c>
      <c r="H50" s="73">
        <v>6</v>
      </c>
      <c r="I50" s="73" t="s">
        <v>3476</v>
      </c>
      <c r="J50" s="73">
        <v>8</v>
      </c>
      <c r="K50" s="73">
        <v>14</v>
      </c>
      <c r="L50" s="73">
        <v>6</v>
      </c>
      <c r="M50" s="73">
        <v>7</v>
      </c>
      <c r="N50" s="73">
        <v>6</v>
      </c>
      <c r="O50" s="73">
        <v>6</v>
      </c>
      <c r="P50" s="73">
        <v>4</v>
      </c>
      <c r="Q50" s="73">
        <v>11</v>
      </c>
      <c r="R50" s="73">
        <v>11</v>
      </c>
      <c r="S50" s="33"/>
      <c r="T50" s="33" t="s">
        <v>620</v>
      </c>
      <c r="U50" t="str">
        <f>VLOOKUP(T50,GroupLabels!$E$2:$H$145,3,0)</f>
        <v>Italy - German</v>
      </c>
    </row>
    <row r="51" spans="1:21" x14ac:dyDescent="0.25">
      <c r="A51" t="s">
        <v>3126</v>
      </c>
      <c r="B51" s="73">
        <v>11</v>
      </c>
      <c r="C51" s="73">
        <v>10</v>
      </c>
      <c r="D51" s="73">
        <v>7</v>
      </c>
      <c r="E51" s="73">
        <v>12</v>
      </c>
      <c r="F51" s="73">
        <v>7</v>
      </c>
      <c r="G51" s="73">
        <v>4</v>
      </c>
      <c r="H51" s="73">
        <v>6</v>
      </c>
      <c r="I51" s="73" t="s">
        <v>3476</v>
      </c>
      <c r="J51" s="73">
        <v>8</v>
      </c>
      <c r="K51" s="73">
        <v>14</v>
      </c>
      <c r="L51" s="73">
        <v>6</v>
      </c>
      <c r="M51" s="73">
        <v>7</v>
      </c>
      <c r="N51" s="73">
        <v>6</v>
      </c>
      <c r="O51" s="73">
        <v>6</v>
      </c>
      <c r="P51" s="73">
        <v>4</v>
      </c>
      <c r="Q51" s="73">
        <v>11</v>
      </c>
      <c r="R51" s="73">
        <v>11</v>
      </c>
      <c r="S51" s="33"/>
      <c r="T51" s="33" t="s">
        <v>621</v>
      </c>
      <c r="U51" t="str">
        <f>VLOOKUP(T51,GroupLabels!$E$2:$H$145,3,0)</f>
        <v>Italy - Italian</v>
      </c>
    </row>
    <row r="52" spans="1:21" x14ac:dyDescent="0.25">
      <c r="A52" t="s">
        <v>768</v>
      </c>
      <c r="B52" s="73">
        <v>11</v>
      </c>
      <c r="C52" s="73">
        <v>10</v>
      </c>
      <c r="D52" s="73">
        <v>7</v>
      </c>
      <c r="E52" s="73">
        <v>12</v>
      </c>
      <c r="F52" s="73" t="s">
        <v>3476</v>
      </c>
      <c r="G52" s="73">
        <v>4</v>
      </c>
      <c r="H52" s="73">
        <v>6</v>
      </c>
      <c r="I52" s="73">
        <v>4</v>
      </c>
      <c r="J52" s="73" t="s">
        <v>3476</v>
      </c>
      <c r="K52" s="73">
        <v>14</v>
      </c>
      <c r="L52" s="73">
        <v>6</v>
      </c>
      <c r="M52" s="73">
        <v>7</v>
      </c>
      <c r="N52" s="73">
        <v>6</v>
      </c>
      <c r="O52" s="73">
        <v>6</v>
      </c>
      <c r="P52" s="73">
        <v>4</v>
      </c>
      <c r="Q52" s="73" t="s">
        <v>3476</v>
      </c>
      <c r="R52" s="73">
        <v>11</v>
      </c>
      <c r="S52" s="33"/>
      <c r="T52" s="33" t="s">
        <v>622</v>
      </c>
      <c r="U52" t="str">
        <f>VLOOKUP(T52,GroupLabels!$E$2:$H$145,3,0)</f>
        <v>Japan - Japanese</v>
      </c>
    </row>
    <row r="53" spans="1:21" x14ac:dyDescent="0.25">
      <c r="A53" t="s">
        <v>2903</v>
      </c>
      <c r="B53" s="73">
        <v>11</v>
      </c>
      <c r="C53" s="73">
        <v>10</v>
      </c>
      <c r="D53" s="73">
        <v>7</v>
      </c>
      <c r="E53" s="73">
        <v>12</v>
      </c>
      <c r="F53" s="73">
        <v>7</v>
      </c>
      <c r="G53" s="73">
        <v>4</v>
      </c>
      <c r="H53" s="73">
        <v>6</v>
      </c>
      <c r="I53" s="73">
        <v>4</v>
      </c>
      <c r="J53" s="73">
        <v>8</v>
      </c>
      <c r="K53" s="73">
        <v>14</v>
      </c>
      <c r="L53" s="73">
        <v>6</v>
      </c>
      <c r="M53" s="73">
        <v>7</v>
      </c>
      <c r="N53" s="73">
        <v>6</v>
      </c>
      <c r="O53" s="73">
        <v>6</v>
      </c>
      <c r="P53" s="73">
        <v>4</v>
      </c>
      <c r="Q53" s="73">
        <v>11</v>
      </c>
      <c r="R53" s="73">
        <v>11</v>
      </c>
      <c r="S53" s="33"/>
      <c r="T53" s="33" t="s">
        <v>623</v>
      </c>
      <c r="U53" t="str">
        <f>VLOOKUP(T53,GroupLabels!$E$2:$H$145,3,0)</f>
        <v>Jordan - Arabic</v>
      </c>
    </row>
    <row r="54" spans="1:21" x14ac:dyDescent="0.25">
      <c r="A54" t="s">
        <v>3141</v>
      </c>
      <c r="B54" s="73">
        <v>11</v>
      </c>
      <c r="C54" s="73">
        <v>10</v>
      </c>
      <c r="D54" s="73">
        <v>7</v>
      </c>
      <c r="E54" s="73">
        <v>12</v>
      </c>
      <c r="F54" s="73">
        <v>7</v>
      </c>
      <c r="G54" s="73">
        <v>4</v>
      </c>
      <c r="H54" s="73">
        <v>6</v>
      </c>
      <c r="I54" s="73">
        <v>4</v>
      </c>
      <c r="J54" s="73">
        <v>8</v>
      </c>
      <c r="K54" s="73">
        <v>14</v>
      </c>
      <c r="L54" s="73">
        <v>6</v>
      </c>
      <c r="M54" s="73">
        <v>7</v>
      </c>
      <c r="N54" s="73">
        <v>6</v>
      </c>
      <c r="O54" s="73">
        <v>6</v>
      </c>
      <c r="P54" s="73">
        <v>4</v>
      </c>
      <c r="Q54" s="73">
        <v>11</v>
      </c>
      <c r="R54" s="73">
        <v>11</v>
      </c>
      <c r="S54" s="33"/>
      <c r="T54" s="33" t="s">
        <v>624</v>
      </c>
      <c r="U54" t="str">
        <f>VLOOKUP(T54,GroupLabels!$E$2:$H$145,3,0)</f>
        <v>Kazakhstan - Kazakh</v>
      </c>
    </row>
    <row r="55" spans="1:21" x14ac:dyDescent="0.25">
      <c r="A55" t="s">
        <v>3213</v>
      </c>
      <c r="B55" s="73">
        <v>11</v>
      </c>
      <c r="C55" s="73">
        <v>10</v>
      </c>
      <c r="D55" s="73">
        <v>7</v>
      </c>
      <c r="E55" s="73">
        <v>12</v>
      </c>
      <c r="F55" s="73">
        <v>7</v>
      </c>
      <c r="G55" s="73">
        <v>4</v>
      </c>
      <c r="H55" s="73">
        <v>6</v>
      </c>
      <c r="I55" s="73">
        <v>4</v>
      </c>
      <c r="J55" s="73">
        <v>8</v>
      </c>
      <c r="K55" s="73">
        <v>14</v>
      </c>
      <c r="L55" s="73">
        <v>6</v>
      </c>
      <c r="M55" s="73">
        <v>7</v>
      </c>
      <c r="N55" s="73">
        <v>6</v>
      </c>
      <c r="O55" s="73">
        <v>6</v>
      </c>
      <c r="P55" s="73">
        <v>4</v>
      </c>
      <c r="Q55" s="73">
        <v>11</v>
      </c>
      <c r="R55" s="73">
        <v>11</v>
      </c>
      <c r="S55" s="33"/>
      <c r="T55" s="33" t="s">
        <v>625</v>
      </c>
      <c r="U55" t="str">
        <f>VLOOKUP(T55,GroupLabels!$E$2:$H$145,3,0)</f>
        <v>Kazakhstan - Russian</v>
      </c>
    </row>
    <row r="56" spans="1:21" x14ac:dyDescent="0.25">
      <c r="A56" t="s">
        <v>940</v>
      </c>
      <c r="B56" s="73">
        <v>11</v>
      </c>
      <c r="C56" s="73">
        <v>10</v>
      </c>
      <c r="D56" s="73">
        <v>7</v>
      </c>
      <c r="E56" s="73">
        <v>12</v>
      </c>
      <c r="F56" s="73">
        <v>7</v>
      </c>
      <c r="G56" s="73">
        <v>4</v>
      </c>
      <c r="H56" s="73">
        <v>6</v>
      </c>
      <c r="I56" s="73">
        <v>4</v>
      </c>
      <c r="J56" s="73">
        <v>8</v>
      </c>
      <c r="K56" s="73">
        <v>14</v>
      </c>
      <c r="L56" s="73">
        <v>6</v>
      </c>
      <c r="M56" s="73">
        <v>7</v>
      </c>
      <c r="N56" s="73">
        <v>6</v>
      </c>
      <c r="O56" s="73">
        <v>6</v>
      </c>
      <c r="P56" s="73">
        <v>4</v>
      </c>
      <c r="Q56" s="73">
        <v>11</v>
      </c>
      <c r="R56" s="73">
        <v>11</v>
      </c>
      <c r="S56" s="33"/>
      <c r="T56" s="33" t="s">
        <v>626</v>
      </c>
      <c r="U56" t="str">
        <f>VLOOKUP(T56,GroupLabels!$E$2:$H$145,3,0)</f>
        <v>Kenya - English</v>
      </c>
    </row>
    <row r="57" spans="1:21" x14ac:dyDescent="0.25">
      <c r="A57" t="s">
        <v>3154</v>
      </c>
      <c r="B57" s="73">
        <v>11</v>
      </c>
      <c r="C57" s="73">
        <v>10</v>
      </c>
      <c r="D57" s="73">
        <v>7</v>
      </c>
      <c r="E57" s="73">
        <v>12</v>
      </c>
      <c r="F57" s="73">
        <v>7</v>
      </c>
      <c r="G57" s="73">
        <v>4</v>
      </c>
      <c r="H57" s="73">
        <v>6</v>
      </c>
      <c r="I57" s="73">
        <v>4</v>
      </c>
      <c r="J57" s="73">
        <v>8</v>
      </c>
      <c r="K57" s="73">
        <v>14</v>
      </c>
      <c r="L57" s="73">
        <v>6</v>
      </c>
      <c r="M57" s="73">
        <v>7</v>
      </c>
      <c r="N57" s="73">
        <v>6</v>
      </c>
      <c r="O57" s="73">
        <v>6</v>
      </c>
      <c r="P57" s="73">
        <v>4</v>
      </c>
      <c r="Q57" s="73">
        <v>11</v>
      </c>
      <c r="R57" s="73">
        <v>11</v>
      </c>
      <c r="S57" s="33"/>
      <c r="T57" s="33" t="s">
        <v>627</v>
      </c>
      <c r="U57" t="str">
        <f>VLOOKUP(T57,GroupLabels!$E$2:$H$145,3,0)</f>
        <v>Korea - Korean</v>
      </c>
    </row>
    <row r="58" spans="1:21" x14ac:dyDescent="0.25">
      <c r="A58" t="s">
        <v>3236</v>
      </c>
      <c r="B58" s="73">
        <v>11</v>
      </c>
      <c r="C58" s="73">
        <v>10</v>
      </c>
      <c r="D58" s="73">
        <v>7</v>
      </c>
      <c r="E58" s="73">
        <v>12</v>
      </c>
      <c r="F58" s="73">
        <v>7</v>
      </c>
      <c r="G58" s="73">
        <v>4</v>
      </c>
      <c r="H58" s="73">
        <v>6</v>
      </c>
      <c r="I58" s="73">
        <v>4</v>
      </c>
      <c r="J58" s="73">
        <v>8</v>
      </c>
      <c r="K58" s="73">
        <v>14</v>
      </c>
      <c r="L58" s="73">
        <v>6</v>
      </c>
      <c r="M58" s="73">
        <v>7</v>
      </c>
      <c r="N58" s="73">
        <v>6</v>
      </c>
      <c r="O58" s="73">
        <v>6</v>
      </c>
      <c r="P58" s="73">
        <v>4</v>
      </c>
      <c r="Q58" s="73">
        <v>11</v>
      </c>
      <c r="R58" s="73">
        <v>11</v>
      </c>
      <c r="S58" s="33"/>
      <c r="T58" s="33" t="s">
        <v>628</v>
      </c>
      <c r="U58" t="str">
        <f>VLOOKUP(T58,GroupLabels!$E$2:$H$145,3,0)</f>
        <v>Kosovo - Albanian*</v>
      </c>
    </row>
    <row r="59" spans="1:21" x14ac:dyDescent="0.25">
      <c r="A59" t="s">
        <v>3159</v>
      </c>
      <c r="B59" s="73">
        <v>11</v>
      </c>
      <c r="C59" s="73">
        <v>10</v>
      </c>
      <c r="D59" s="73">
        <v>7</v>
      </c>
      <c r="E59" s="73">
        <v>12</v>
      </c>
      <c r="F59" s="73">
        <v>7</v>
      </c>
      <c r="G59" s="73">
        <v>4</v>
      </c>
      <c r="H59" s="73">
        <v>6</v>
      </c>
      <c r="I59" s="73">
        <v>4</v>
      </c>
      <c r="J59" s="73">
        <v>8</v>
      </c>
      <c r="K59" s="73">
        <v>14</v>
      </c>
      <c r="L59" s="73">
        <v>6</v>
      </c>
      <c r="M59" s="73">
        <v>7</v>
      </c>
      <c r="N59" s="73">
        <v>6</v>
      </c>
      <c r="O59" s="73">
        <v>6</v>
      </c>
      <c r="P59" s="73">
        <v>4</v>
      </c>
      <c r="Q59" s="73">
        <v>11</v>
      </c>
      <c r="R59" s="73">
        <v>11</v>
      </c>
      <c r="S59" s="33"/>
      <c r="T59" s="33" t="s">
        <v>632</v>
      </c>
      <c r="U59" t="str">
        <f>VLOOKUP(T59,GroupLabels!$E$2:$H$145,3,0)</f>
        <v>Kyrgyzstan - Kyrgyz / Kirghiz</v>
      </c>
    </row>
    <row r="60" spans="1:21" x14ac:dyDescent="0.25">
      <c r="A60" t="s">
        <v>3212</v>
      </c>
      <c r="B60" s="73">
        <v>11</v>
      </c>
      <c r="C60" s="73">
        <v>10</v>
      </c>
      <c r="D60" s="73">
        <v>7</v>
      </c>
      <c r="E60" s="73">
        <v>12</v>
      </c>
      <c r="F60" s="73">
        <v>7</v>
      </c>
      <c r="G60" s="73">
        <v>4</v>
      </c>
      <c r="H60" s="73">
        <v>6</v>
      </c>
      <c r="I60" s="73">
        <v>4</v>
      </c>
      <c r="J60" s="73">
        <v>8</v>
      </c>
      <c r="K60" s="73">
        <v>14</v>
      </c>
      <c r="L60" s="73">
        <v>6</v>
      </c>
      <c r="M60" s="73">
        <v>7</v>
      </c>
      <c r="N60" s="73">
        <v>6</v>
      </c>
      <c r="O60" s="73">
        <v>6</v>
      </c>
      <c r="P60" s="73">
        <v>4</v>
      </c>
      <c r="Q60" s="73">
        <v>11</v>
      </c>
      <c r="R60" s="73">
        <v>11</v>
      </c>
      <c r="S60" s="33"/>
      <c r="T60" s="33" t="s">
        <v>633</v>
      </c>
      <c r="U60" t="str">
        <f>VLOOKUP(T60,GroupLabels!$E$2:$H$145,3,0)</f>
        <v>Kyrgyzstan - Russian</v>
      </c>
    </row>
    <row r="61" spans="1:21" x14ac:dyDescent="0.25">
      <c r="A61" t="s">
        <v>3266</v>
      </c>
      <c r="B61" s="73" t="s">
        <v>3480</v>
      </c>
      <c r="C61" s="73" t="s">
        <v>3480</v>
      </c>
      <c r="D61" s="73" t="s">
        <v>3480</v>
      </c>
      <c r="E61" s="73" t="s">
        <v>3480</v>
      </c>
      <c r="F61" s="73" t="s">
        <v>3480</v>
      </c>
      <c r="G61" s="73" t="s">
        <v>3480</v>
      </c>
      <c r="H61" s="73" t="s">
        <v>3480</v>
      </c>
      <c r="I61" s="73" t="s">
        <v>3480</v>
      </c>
      <c r="J61" s="73" t="s">
        <v>3480</v>
      </c>
      <c r="K61" s="73" t="s">
        <v>3480</v>
      </c>
      <c r="L61" s="73" t="s">
        <v>3480</v>
      </c>
      <c r="M61" s="73" t="s">
        <v>3480</v>
      </c>
      <c r="N61" s="73" t="s">
        <v>3480</v>
      </c>
      <c r="O61" s="73" t="s">
        <v>3480</v>
      </c>
      <c r="P61" s="73" t="s">
        <v>3480</v>
      </c>
      <c r="Q61" s="73" t="s">
        <v>3480</v>
      </c>
      <c r="R61" s="73" t="s">
        <v>3480</v>
      </c>
      <c r="S61" s="33"/>
      <c r="T61" s="33" t="s">
        <v>634</v>
      </c>
      <c r="U61" t="str">
        <f>VLOOKUP(T61,GroupLabels!$E$2:$H$145,3,0)</f>
        <v>Kyrgyzstan - Uzbekistani</v>
      </c>
    </row>
    <row r="62" spans="1:21" x14ac:dyDescent="0.25">
      <c r="A62" t="s">
        <v>3167</v>
      </c>
      <c r="B62" s="73">
        <v>11</v>
      </c>
      <c r="C62" s="73">
        <v>10</v>
      </c>
      <c r="D62" s="73">
        <v>7</v>
      </c>
      <c r="E62" s="73">
        <v>12</v>
      </c>
      <c r="F62" s="73">
        <v>7</v>
      </c>
      <c r="G62" s="73">
        <v>4</v>
      </c>
      <c r="H62" s="73">
        <v>6</v>
      </c>
      <c r="I62" s="73" t="s">
        <v>3476</v>
      </c>
      <c r="J62" s="73">
        <v>8</v>
      </c>
      <c r="K62" s="73">
        <v>14</v>
      </c>
      <c r="L62" s="73">
        <v>6</v>
      </c>
      <c r="M62" s="73">
        <v>7</v>
      </c>
      <c r="N62" s="73">
        <v>6</v>
      </c>
      <c r="O62" s="73">
        <v>6</v>
      </c>
      <c r="P62" s="73">
        <v>4</v>
      </c>
      <c r="Q62" s="73">
        <v>11</v>
      </c>
      <c r="R62" s="73">
        <v>11</v>
      </c>
      <c r="S62" s="33"/>
      <c r="T62" s="33" t="s">
        <v>635</v>
      </c>
      <c r="U62" t="str">
        <f>VLOOKUP(T62,GroupLabels!$E$2:$H$145,3,0)</f>
        <v>Latvia - Latvian</v>
      </c>
    </row>
    <row r="63" spans="1:21" x14ac:dyDescent="0.25">
      <c r="A63" t="s">
        <v>3003</v>
      </c>
      <c r="B63" s="73">
        <v>11</v>
      </c>
      <c r="C63" s="73">
        <v>10</v>
      </c>
      <c r="D63" s="73">
        <v>7</v>
      </c>
      <c r="E63" s="73">
        <v>12</v>
      </c>
      <c r="F63" s="73">
        <v>7</v>
      </c>
      <c r="G63" s="73">
        <v>4</v>
      </c>
      <c r="H63" s="73">
        <v>6</v>
      </c>
      <c r="I63" s="73">
        <v>4</v>
      </c>
      <c r="J63" s="73">
        <v>8</v>
      </c>
      <c r="K63" s="73">
        <v>14</v>
      </c>
      <c r="L63" s="73">
        <v>6</v>
      </c>
      <c r="M63" s="73">
        <v>7</v>
      </c>
      <c r="N63" s="73">
        <v>6</v>
      </c>
      <c r="O63" s="73">
        <v>6</v>
      </c>
      <c r="P63" s="73">
        <v>4</v>
      </c>
      <c r="Q63" s="73">
        <v>11</v>
      </c>
      <c r="R63" s="73">
        <v>11</v>
      </c>
      <c r="S63" s="33"/>
      <c r="T63" s="33" t="s">
        <v>636</v>
      </c>
      <c r="U63" t="str">
        <f>VLOOKUP(T63,GroupLabels!$E$2:$H$145,3,0)</f>
        <v>Lebanon - English*</v>
      </c>
    </row>
    <row r="64" spans="1:21" x14ac:dyDescent="0.25">
      <c r="A64" t="s">
        <v>3084</v>
      </c>
      <c r="B64" s="73">
        <v>11</v>
      </c>
      <c r="C64" s="73">
        <v>10</v>
      </c>
      <c r="D64" s="73">
        <v>7</v>
      </c>
      <c r="E64" s="73">
        <v>12</v>
      </c>
      <c r="F64" s="73">
        <v>7</v>
      </c>
      <c r="G64" s="73">
        <v>4</v>
      </c>
      <c r="H64" s="73">
        <v>6</v>
      </c>
      <c r="I64" s="73">
        <v>4</v>
      </c>
      <c r="J64" s="73">
        <v>8</v>
      </c>
      <c r="K64" s="73">
        <v>14</v>
      </c>
      <c r="L64" s="73">
        <v>6</v>
      </c>
      <c r="M64" s="73">
        <v>7</v>
      </c>
      <c r="N64" s="73">
        <v>6</v>
      </c>
      <c r="O64" s="73">
        <v>6</v>
      </c>
      <c r="P64" s="73">
        <v>4</v>
      </c>
      <c r="Q64" s="73">
        <v>11</v>
      </c>
      <c r="R64" s="73">
        <v>11</v>
      </c>
      <c r="S64" s="33"/>
      <c r="T64" s="33" t="s">
        <v>637</v>
      </c>
      <c r="U64" t="str">
        <f>VLOOKUP(T64,GroupLabels!$E$2:$H$145,3,0)</f>
        <v>Lebanon - French*</v>
      </c>
    </row>
    <row r="65" spans="1:21" x14ac:dyDescent="0.25">
      <c r="A65" t="s">
        <v>3163</v>
      </c>
      <c r="B65" s="73">
        <v>11</v>
      </c>
      <c r="C65" s="73">
        <v>10</v>
      </c>
      <c r="D65" s="73">
        <v>7</v>
      </c>
      <c r="E65" s="73">
        <v>12</v>
      </c>
      <c r="F65" s="73">
        <v>7</v>
      </c>
      <c r="G65" s="73">
        <v>4</v>
      </c>
      <c r="H65" s="73">
        <v>6</v>
      </c>
      <c r="I65" s="73">
        <v>4</v>
      </c>
      <c r="J65" s="73">
        <v>8</v>
      </c>
      <c r="K65" s="73">
        <v>14</v>
      </c>
      <c r="L65" s="73">
        <v>6</v>
      </c>
      <c r="M65" s="73">
        <v>7</v>
      </c>
      <c r="N65" s="73">
        <v>6</v>
      </c>
      <c r="O65" s="73">
        <v>6</v>
      </c>
      <c r="P65" s="73">
        <v>4</v>
      </c>
      <c r="Q65" s="73">
        <v>11</v>
      </c>
      <c r="R65" s="73">
        <v>11</v>
      </c>
      <c r="S65" s="33"/>
      <c r="T65" s="33" t="s">
        <v>638</v>
      </c>
      <c r="U65" t="str">
        <f>VLOOKUP(T65,GroupLabels!$E$2:$H$145,3,0)</f>
        <v>Lithuania - Lithuanian</v>
      </c>
    </row>
    <row r="66" spans="1:21" x14ac:dyDescent="0.25">
      <c r="A66" t="s">
        <v>3004</v>
      </c>
      <c r="B66" s="73" t="s">
        <v>3480</v>
      </c>
      <c r="C66" s="73" t="s">
        <v>3480</v>
      </c>
      <c r="D66" s="73" t="s">
        <v>3480</v>
      </c>
      <c r="E66" s="73" t="s">
        <v>3480</v>
      </c>
      <c r="F66" s="73" t="s">
        <v>3480</v>
      </c>
      <c r="G66" s="73" t="s">
        <v>3480</v>
      </c>
      <c r="H66" s="73" t="s">
        <v>3480</v>
      </c>
      <c r="I66" s="73" t="s">
        <v>3480</v>
      </c>
      <c r="J66" s="73" t="s">
        <v>3480</v>
      </c>
      <c r="K66" s="73" t="s">
        <v>3480</v>
      </c>
      <c r="L66" s="73" t="s">
        <v>3480</v>
      </c>
      <c r="M66" s="73" t="s">
        <v>3480</v>
      </c>
      <c r="N66" s="73" t="s">
        <v>3480</v>
      </c>
      <c r="O66" s="73" t="s">
        <v>3480</v>
      </c>
      <c r="P66" s="73" t="s">
        <v>3480</v>
      </c>
      <c r="Q66" s="73" t="s">
        <v>3480</v>
      </c>
      <c r="R66" s="73" t="s">
        <v>3480</v>
      </c>
      <c r="S66" s="33"/>
      <c r="T66" s="33" t="s">
        <v>641</v>
      </c>
      <c r="U66" t="str">
        <f>VLOOKUP(T66,GroupLabels!$E$2:$H$145,3,0)</f>
        <v>Luxembourg - English</v>
      </c>
    </row>
    <row r="67" spans="1:21" x14ac:dyDescent="0.25">
      <c r="A67" t="s">
        <v>3085</v>
      </c>
      <c r="B67" s="73">
        <v>11</v>
      </c>
      <c r="C67" s="73">
        <v>10</v>
      </c>
      <c r="D67" s="73">
        <v>7</v>
      </c>
      <c r="E67" s="73">
        <v>12</v>
      </c>
      <c r="F67" s="73">
        <v>7</v>
      </c>
      <c r="G67" s="73">
        <v>4</v>
      </c>
      <c r="H67" s="73">
        <v>6</v>
      </c>
      <c r="I67" s="73">
        <v>4</v>
      </c>
      <c r="J67" s="73">
        <v>8</v>
      </c>
      <c r="K67" s="73">
        <v>14</v>
      </c>
      <c r="L67" s="73">
        <v>6</v>
      </c>
      <c r="M67" s="73">
        <v>7</v>
      </c>
      <c r="N67" s="73">
        <v>6</v>
      </c>
      <c r="O67" s="73">
        <v>6</v>
      </c>
      <c r="P67" s="73">
        <v>4</v>
      </c>
      <c r="Q67" s="73">
        <v>11</v>
      </c>
      <c r="R67" s="73">
        <v>11</v>
      </c>
      <c r="S67" s="33"/>
      <c r="T67" s="33" t="s">
        <v>642</v>
      </c>
      <c r="U67" t="str">
        <f>VLOOKUP(T67,GroupLabels!$E$2:$H$145,3,0)</f>
        <v>Luxembourg - French</v>
      </c>
    </row>
    <row r="68" spans="1:21" x14ac:dyDescent="0.25">
      <c r="A68" t="s">
        <v>3007</v>
      </c>
      <c r="B68" s="73">
        <v>11</v>
      </c>
      <c r="C68" s="73">
        <v>10</v>
      </c>
      <c r="D68" s="73">
        <v>7</v>
      </c>
      <c r="E68" s="73">
        <v>12</v>
      </c>
      <c r="F68" s="73">
        <v>7</v>
      </c>
      <c r="G68" s="73">
        <v>4</v>
      </c>
      <c r="H68" s="73">
        <v>6</v>
      </c>
      <c r="I68" s="73">
        <v>4</v>
      </c>
      <c r="J68" s="73">
        <v>8</v>
      </c>
      <c r="K68" s="73">
        <v>14</v>
      </c>
      <c r="L68" s="73">
        <v>6</v>
      </c>
      <c r="M68" s="73">
        <v>7</v>
      </c>
      <c r="N68" s="73">
        <v>6</v>
      </c>
      <c r="O68" s="73">
        <v>6</v>
      </c>
      <c r="P68" s="73">
        <v>4</v>
      </c>
      <c r="Q68" s="73">
        <v>11</v>
      </c>
      <c r="R68" s="73">
        <v>11</v>
      </c>
      <c r="S68" s="33"/>
      <c r="T68" s="33" t="s">
        <v>644</v>
      </c>
      <c r="U68" t="str">
        <f>VLOOKUP(T68,GroupLabels!$E$2:$H$145,3,0)</f>
        <v>Macao (China) - English</v>
      </c>
    </row>
    <row r="69" spans="1:21" x14ac:dyDescent="0.25">
      <c r="A69" t="s">
        <v>3200</v>
      </c>
      <c r="B69" s="73">
        <v>11</v>
      </c>
      <c r="C69" s="73" t="s">
        <v>581</v>
      </c>
      <c r="D69" s="73">
        <v>7</v>
      </c>
      <c r="E69" s="73">
        <v>12</v>
      </c>
      <c r="F69" s="73">
        <v>7</v>
      </c>
      <c r="G69" s="73">
        <v>4</v>
      </c>
      <c r="H69" s="73">
        <v>6</v>
      </c>
      <c r="I69" s="73">
        <v>4</v>
      </c>
      <c r="J69" s="73">
        <v>8</v>
      </c>
      <c r="K69" s="73">
        <v>14</v>
      </c>
      <c r="L69" s="73">
        <v>6</v>
      </c>
      <c r="M69" s="73">
        <v>7</v>
      </c>
      <c r="N69" s="73">
        <v>6</v>
      </c>
      <c r="O69" s="73">
        <v>6</v>
      </c>
      <c r="P69" s="73">
        <v>4</v>
      </c>
      <c r="Q69" s="73">
        <v>11</v>
      </c>
      <c r="R69" s="73">
        <v>11</v>
      </c>
      <c r="S69" s="33"/>
      <c r="T69" s="33" t="s">
        <v>645</v>
      </c>
      <c r="U69" t="str">
        <f>VLOOKUP(T69,GroupLabels!$E$2:$H$145,3,0)</f>
        <v>Macao (China) - Portuguese</v>
      </c>
    </row>
    <row r="70" spans="1:21" x14ac:dyDescent="0.25">
      <c r="A70" t="s">
        <v>3279</v>
      </c>
      <c r="B70" s="73">
        <v>11</v>
      </c>
      <c r="C70" s="73">
        <v>10</v>
      </c>
      <c r="D70" s="73">
        <v>7</v>
      </c>
      <c r="E70" s="73">
        <v>12</v>
      </c>
      <c r="F70" s="73">
        <v>7</v>
      </c>
      <c r="G70" s="73">
        <v>4</v>
      </c>
      <c r="H70" s="73">
        <v>6</v>
      </c>
      <c r="I70" s="73">
        <v>4</v>
      </c>
      <c r="J70" s="73">
        <v>8</v>
      </c>
      <c r="K70" s="73">
        <v>14</v>
      </c>
      <c r="L70" s="73">
        <v>6</v>
      </c>
      <c r="M70" s="73">
        <v>7</v>
      </c>
      <c r="N70" s="73">
        <v>6</v>
      </c>
      <c r="O70" s="73">
        <v>6</v>
      </c>
      <c r="P70" s="73">
        <v>4</v>
      </c>
      <c r="Q70" s="73">
        <v>11</v>
      </c>
      <c r="R70" s="73">
        <v>11</v>
      </c>
      <c r="S70" s="33"/>
      <c r="T70" s="33" t="s">
        <v>646</v>
      </c>
      <c r="U70" t="str">
        <f>VLOOKUP(T70,GroupLabels!$E$2:$H$145,3,0)</f>
        <v>Macao (China) - Chinese</v>
      </c>
    </row>
    <row r="71" spans="1:21" x14ac:dyDescent="0.25">
      <c r="A71" t="s">
        <v>3234</v>
      </c>
      <c r="B71" s="73">
        <v>11</v>
      </c>
      <c r="C71" s="73">
        <v>10</v>
      </c>
      <c r="D71" s="73">
        <v>7</v>
      </c>
      <c r="E71" s="73">
        <v>12</v>
      </c>
      <c r="F71" s="73">
        <v>7</v>
      </c>
      <c r="G71" s="73">
        <v>4</v>
      </c>
      <c r="H71" s="73">
        <v>6</v>
      </c>
      <c r="I71" s="73">
        <v>4</v>
      </c>
      <c r="J71" s="73">
        <v>8</v>
      </c>
      <c r="K71" s="73">
        <v>14</v>
      </c>
      <c r="L71" s="73">
        <v>6</v>
      </c>
      <c r="M71" s="73">
        <v>7</v>
      </c>
      <c r="N71" s="73">
        <v>6</v>
      </c>
      <c r="O71" s="73">
        <v>6</v>
      </c>
      <c r="P71" s="73">
        <v>4</v>
      </c>
      <c r="Q71" s="73">
        <v>11</v>
      </c>
      <c r="R71" s="73">
        <v>11</v>
      </c>
      <c r="S71" s="33"/>
      <c r="T71" s="33" t="s">
        <v>647</v>
      </c>
      <c r="U71" t="str">
        <f>VLOOKUP(T71,GroupLabels!$E$2:$H$145,3,0)</f>
        <v>Macedonia - Albanian</v>
      </c>
    </row>
    <row r="72" spans="1:21" x14ac:dyDescent="0.25">
      <c r="A72" t="s">
        <v>3172</v>
      </c>
      <c r="B72" s="73">
        <v>11</v>
      </c>
      <c r="C72" s="73">
        <v>10</v>
      </c>
      <c r="D72" s="73">
        <v>7</v>
      </c>
      <c r="E72" s="73">
        <v>12</v>
      </c>
      <c r="F72" s="73">
        <v>7</v>
      </c>
      <c r="G72" s="73">
        <v>4</v>
      </c>
      <c r="H72" s="73">
        <v>6</v>
      </c>
      <c r="I72" s="73">
        <v>4</v>
      </c>
      <c r="J72" s="73">
        <v>8</v>
      </c>
      <c r="K72" s="73">
        <v>14</v>
      </c>
      <c r="L72" s="73">
        <v>6</v>
      </c>
      <c r="M72" s="73">
        <v>7</v>
      </c>
      <c r="N72" s="73">
        <v>6</v>
      </c>
      <c r="O72" s="73">
        <v>6</v>
      </c>
      <c r="P72" s="73">
        <v>4</v>
      </c>
      <c r="Q72" s="73">
        <v>11</v>
      </c>
      <c r="R72" s="73">
        <v>11</v>
      </c>
      <c r="S72" s="33"/>
      <c r="T72" s="33" t="s">
        <v>648</v>
      </c>
      <c r="U72" t="str">
        <f>VLOOKUP(T72,GroupLabels!$E$2:$H$145,3,0)</f>
        <v>Macedonia - Macedonian</v>
      </c>
    </row>
    <row r="73" spans="1:21" x14ac:dyDescent="0.25">
      <c r="A73" t="s">
        <v>3013</v>
      </c>
      <c r="B73" s="73">
        <v>11</v>
      </c>
      <c r="C73" s="73">
        <v>10</v>
      </c>
      <c r="D73" s="73">
        <v>7</v>
      </c>
      <c r="E73" s="73">
        <v>12</v>
      </c>
      <c r="F73" s="73">
        <v>7</v>
      </c>
      <c r="G73" s="73">
        <v>4</v>
      </c>
      <c r="H73" s="73">
        <v>6</v>
      </c>
      <c r="I73" s="73">
        <v>4</v>
      </c>
      <c r="J73" s="73">
        <v>8</v>
      </c>
      <c r="K73" s="73">
        <v>14</v>
      </c>
      <c r="L73" s="73">
        <v>6</v>
      </c>
      <c r="M73" s="73">
        <v>7</v>
      </c>
      <c r="N73" s="73">
        <v>6</v>
      </c>
      <c r="O73" s="73">
        <v>6</v>
      </c>
      <c r="P73" s="73">
        <v>4</v>
      </c>
      <c r="Q73" s="73">
        <v>11</v>
      </c>
      <c r="R73" s="73">
        <v>11</v>
      </c>
      <c r="S73" s="33"/>
      <c r="T73" s="33" t="s">
        <v>649</v>
      </c>
      <c r="U73" t="str">
        <f>VLOOKUP(T73,GroupLabels!$E$2:$H$145,3,0)</f>
        <v>Malaysia - English</v>
      </c>
    </row>
    <row r="74" spans="1:21" x14ac:dyDescent="0.25">
      <c r="A74" t="s">
        <v>3179</v>
      </c>
      <c r="B74" s="73">
        <v>11</v>
      </c>
      <c r="C74" s="73">
        <v>10</v>
      </c>
      <c r="D74" s="73">
        <v>7</v>
      </c>
      <c r="E74" s="73">
        <v>12</v>
      </c>
      <c r="F74" s="73">
        <v>7</v>
      </c>
      <c r="G74" s="73">
        <v>4</v>
      </c>
      <c r="H74" s="73">
        <v>6</v>
      </c>
      <c r="I74" s="73">
        <v>4</v>
      </c>
      <c r="J74" s="73">
        <v>8</v>
      </c>
      <c r="K74" s="73">
        <v>14</v>
      </c>
      <c r="L74" s="73">
        <v>6</v>
      </c>
      <c r="M74" s="73">
        <v>7</v>
      </c>
      <c r="N74" s="73">
        <v>6</v>
      </c>
      <c r="O74" s="73">
        <v>6</v>
      </c>
      <c r="P74" s="73">
        <v>4</v>
      </c>
      <c r="Q74" s="73">
        <v>11</v>
      </c>
      <c r="R74" s="73">
        <v>11</v>
      </c>
      <c r="S74" s="33"/>
      <c r="T74" s="33" t="s">
        <v>650</v>
      </c>
      <c r="U74" t="str">
        <f>VLOOKUP(T74,GroupLabels!$E$2:$H$145,3,0)</f>
        <v>Malaysia - Malay</v>
      </c>
    </row>
    <row r="75" spans="1:21" x14ac:dyDescent="0.25">
      <c r="A75" t="s">
        <v>3009</v>
      </c>
      <c r="B75" s="73">
        <v>11</v>
      </c>
      <c r="C75" s="73">
        <v>10</v>
      </c>
      <c r="D75" s="73">
        <v>7</v>
      </c>
      <c r="E75" s="73">
        <v>12</v>
      </c>
      <c r="F75" s="73">
        <v>7</v>
      </c>
      <c r="G75" s="73">
        <v>4</v>
      </c>
      <c r="H75" s="73">
        <v>6</v>
      </c>
      <c r="I75" s="73">
        <v>4</v>
      </c>
      <c r="J75" s="73">
        <v>8</v>
      </c>
      <c r="K75" s="73">
        <v>14</v>
      </c>
      <c r="L75" s="73">
        <v>6</v>
      </c>
      <c r="M75" s="73">
        <v>7</v>
      </c>
      <c r="N75" s="73">
        <v>6</v>
      </c>
      <c r="O75" s="73">
        <v>6</v>
      </c>
      <c r="P75" s="73">
        <v>4</v>
      </c>
      <c r="Q75" s="73">
        <v>11</v>
      </c>
      <c r="R75" s="73">
        <v>11</v>
      </c>
      <c r="S75" s="33"/>
      <c r="T75" s="33" t="s">
        <v>651</v>
      </c>
      <c r="U75" t="str">
        <f>VLOOKUP(T75,GroupLabels!$E$2:$H$145,3,0)</f>
        <v>Malta - English</v>
      </c>
    </row>
    <row r="76" spans="1:21" x14ac:dyDescent="0.25">
      <c r="A76" t="s">
        <v>3053</v>
      </c>
      <c r="B76" s="73">
        <v>11</v>
      </c>
      <c r="C76" s="73">
        <v>10</v>
      </c>
      <c r="D76" s="73">
        <v>7</v>
      </c>
      <c r="E76" s="73">
        <v>12</v>
      </c>
      <c r="F76" s="73">
        <v>7</v>
      </c>
      <c r="G76" s="73">
        <v>4</v>
      </c>
      <c r="H76" s="73">
        <v>6</v>
      </c>
      <c r="I76" s="73">
        <v>4</v>
      </c>
      <c r="J76" s="73">
        <v>8</v>
      </c>
      <c r="K76" s="73">
        <v>14</v>
      </c>
      <c r="L76" s="73">
        <v>6</v>
      </c>
      <c r="M76" s="73">
        <v>7</v>
      </c>
      <c r="N76" s="73">
        <v>6</v>
      </c>
      <c r="O76" s="73">
        <v>6</v>
      </c>
      <c r="P76" s="73">
        <v>4</v>
      </c>
      <c r="Q76" s="73">
        <v>11</v>
      </c>
      <c r="R76" s="73">
        <v>11</v>
      </c>
      <c r="S76" s="33"/>
      <c r="T76" s="33" t="s">
        <v>653</v>
      </c>
      <c r="U76" t="str">
        <f>VLOOKUP(T76,GroupLabels!$E$2:$H$145,3,0)</f>
        <v>Mexico - Spanish</v>
      </c>
    </row>
    <row r="77" spans="1:21" x14ac:dyDescent="0.25">
      <c r="A77" t="s">
        <v>3206</v>
      </c>
      <c r="B77" s="73">
        <v>11</v>
      </c>
      <c r="C77" s="73">
        <v>10</v>
      </c>
      <c r="D77" s="73">
        <v>7</v>
      </c>
      <c r="E77" s="73">
        <v>12</v>
      </c>
      <c r="F77" s="73">
        <v>7</v>
      </c>
      <c r="G77" s="73">
        <v>4</v>
      </c>
      <c r="H77" s="73">
        <v>6</v>
      </c>
      <c r="I77" s="73">
        <v>4</v>
      </c>
      <c r="J77" s="73">
        <v>8</v>
      </c>
      <c r="K77" s="73">
        <v>14</v>
      </c>
      <c r="L77" s="73">
        <v>6</v>
      </c>
      <c r="M77" s="73">
        <v>7</v>
      </c>
      <c r="N77" s="73">
        <v>6</v>
      </c>
      <c r="O77" s="73">
        <v>6</v>
      </c>
      <c r="P77" s="73">
        <v>4</v>
      </c>
      <c r="Q77" s="73">
        <v>11</v>
      </c>
      <c r="R77" s="73">
        <v>11</v>
      </c>
      <c r="S77" s="33"/>
      <c r="T77" s="33" t="s">
        <v>654</v>
      </c>
      <c r="U77" t="str">
        <f>VLOOKUP(T77,GroupLabels!$E$2:$H$145,3,0)</f>
        <v>Moldova - Romanian</v>
      </c>
    </row>
    <row r="78" spans="1:21" x14ac:dyDescent="0.25">
      <c r="A78" t="s">
        <v>3215</v>
      </c>
      <c r="B78" s="73">
        <v>11</v>
      </c>
      <c r="C78" s="73">
        <v>10</v>
      </c>
      <c r="D78" s="73">
        <v>7</v>
      </c>
      <c r="E78" s="73">
        <v>12</v>
      </c>
      <c r="F78" s="73">
        <v>7</v>
      </c>
      <c r="G78" s="73">
        <v>4</v>
      </c>
      <c r="H78" s="73">
        <v>6</v>
      </c>
      <c r="I78" s="73">
        <v>4</v>
      </c>
      <c r="J78" s="73">
        <v>8</v>
      </c>
      <c r="K78" s="73">
        <v>14</v>
      </c>
      <c r="L78" s="73">
        <v>6</v>
      </c>
      <c r="M78" s="73">
        <v>7</v>
      </c>
      <c r="N78" s="73">
        <v>6</v>
      </c>
      <c r="O78" s="73">
        <v>6</v>
      </c>
      <c r="P78" s="73">
        <v>4</v>
      </c>
      <c r="Q78" s="73">
        <v>11</v>
      </c>
      <c r="R78" s="73">
        <v>11</v>
      </c>
      <c r="S78" s="33"/>
      <c r="T78" s="33" t="s">
        <v>655</v>
      </c>
      <c r="U78" t="str">
        <f>VLOOKUP(T78,GroupLabels!$E$2:$H$145,3,0)</f>
        <v>Moldova - Russian</v>
      </c>
    </row>
    <row r="79" spans="1:21" x14ac:dyDescent="0.25">
      <c r="A79" t="s">
        <v>3175</v>
      </c>
      <c r="B79" s="73">
        <v>11</v>
      </c>
      <c r="C79" s="73">
        <v>10</v>
      </c>
      <c r="D79" s="73">
        <v>7</v>
      </c>
      <c r="E79" s="73">
        <v>12</v>
      </c>
      <c r="F79" s="73">
        <v>7</v>
      </c>
      <c r="G79" s="73">
        <v>4</v>
      </c>
      <c r="H79" s="73">
        <v>6</v>
      </c>
      <c r="I79" s="73">
        <v>4</v>
      </c>
      <c r="J79" s="73">
        <v>8</v>
      </c>
      <c r="K79" s="73">
        <v>14</v>
      </c>
      <c r="L79" s="73">
        <v>6</v>
      </c>
      <c r="M79" s="73">
        <v>7</v>
      </c>
      <c r="N79" s="73">
        <v>6</v>
      </c>
      <c r="O79" s="73">
        <v>6</v>
      </c>
      <c r="P79" s="73">
        <v>4</v>
      </c>
      <c r="Q79" s="73">
        <v>11</v>
      </c>
      <c r="R79" s="73">
        <v>11</v>
      </c>
      <c r="S79" s="33"/>
      <c r="T79" s="33" t="s">
        <v>657</v>
      </c>
      <c r="U79" t="str">
        <f>VLOOKUP(T79,GroupLabels!$E$2:$H$145,3,0)</f>
        <v>Mongolia - Mongolian</v>
      </c>
    </row>
    <row r="80" spans="1:21" x14ac:dyDescent="0.25">
      <c r="A80" t="s">
        <v>2941</v>
      </c>
      <c r="B80" s="73">
        <v>11</v>
      </c>
      <c r="C80" s="73">
        <v>10</v>
      </c>
      <c r="D80" s="73">
        <v>7</v>
      </c>
      <c r="E80" s="73">
        <v>12</v>
      </c>
      <c r="F80" s="73">
        <v>7</v>
      </c>
      <c r="G80" s="73">
        <v>4</v>
      </c>
      <c r="H80" s="73">
        <v>6</v>
      </c>
      <c r="I80" s="73">
        <v>4</v>
      </c>
      <c r="J80" s="73">
        <v>8</v>
      </c>
      <c r="K80" s="73">
        <v>14</v>
      </c>
      <c r="L80" s="73">
        <v>6</v>
      </c>
      <c r="M80" s="73">
        <v>7</v>
      </c>
      <c r="N80" s="73">
        <v>6</v>
      </c>
      <c r="O80" s="73">
        <v>6</v>
      </c>
      <c r="P80" s="73">
        <v>4</v>
      </c>
      <c r="Q80" s="73">
        <v>11</v>
      </c>
      <c r="R80" s="73">
        <v>11</v>
      </c>
      <c r="S80" s="33"/>
      <c r="T80" s="33" t="s">
        <v>659</v>
      </c>
      <c r="U80" t="str">
        <f>VLOOKUP(T80,GroupLabels!$E$2:$H$145,3,0)</f>
        <v>Montenegro - Montenegrin</v>
      </c>
    </row>
    <row r="81" spans="1:21" x14ac:dyDescent="0.25">
      <c r="A81" t="s">
        <v>2906</v>
      </c>
      <c r="B81" s="73">
        <v>11</v>
      </c>
      <c r="C81" s="73">
        <v>10</v>
      </c>
      <c r="D81" s="73">
        <v>7</v>
      </c>
      <c r="E81" s="73">
        <v>12</v>
      </c>
      <c r="F81" s="73">
        <v>7</v>
      </c>
      <c r="G81" s="73">
        <v>4</v>
      </c>
      <c r="H81" s="73">
        <v>6</v>
      </c>
      <c r="I81" s="73">
        <v>4</v>
      </c>
      <c r="J81" s="73">
        <v>8</v>
      </c>
      <c r="K81" s="73">
        <v>14</v>
      </c>
      <c r="L81" s="73">
        <v>6</v>
      </c>
      <c r="M81" s="73">
        <v>7</v>
      </c>
      <c r="N81" s="73">
        <v>6</v>
      </c>
      <c r="O81" s="73">
        <v>6</v>
      </c>
      <c r="P81" s="73">
        <v>4</v>
      </c>
      <c r="Q81" s="73">
        <v>11</v>
      </c>
      <c r="R81" s="73">
        <v>11</v>
      </c>
      <c r="S81" s="33"/>
      <c r="T81" s="33" t="s">
        <v>660</v>
      </c>
      <c r="U81" t="str">
        <f>VLOOKUP(T81,GroupLabels!$E$2:$H$145,3,0)</f>
        <v>Morocco - Arabic</v>
      </c>
    </row>
    <row r="82" spans="1:21" x14ac:dyDescent="0.25">
      <c r="A82" t="s">
        <v>3187</v>
      </c>
      <c r="B82" s="73">
        <v>11</v>
      </c>
      <c r="C82" s="73">
        <v>10</v>
      </c>
      <c r="D82" s="73">
        <v>7</v>
      </c>
      <c r="E82" s="73">
        <v>12</v>
      </c>
      <c r="F82" s="73">
        <v>7</v>
      </c>
      <c r="G82" s="73">
        <v>4</v>
      </c>
      <c r="H82" s="73">
        <v>6</v>
      </c>
      <c r="I82" s="73">
        <v>4</v>
      </c>
      <c r="J82" s="73">
        <v>8</v>
      </c>
      <c r="K82" s="73">
        <v>14</v>
      </c>
      <c r="L82" s="73">
        <v>6</v>
      </c>
      <c r="M82" s="73">
        <v>7</v>
      </c>
      <c r="N82" s="73">
        <v>6</v>
      </c>
      <c r="O82" s="73">
        <v>6</v>
      </c>
      <c r="P82" s="73">
        <v>4</v>
      </c>
      <c r="Q82" s="73">
        <v>11</v>
      </c>
      <c r="R82" s="73">
        <v>11</v>
      </c>
      <c r="S82" s="33"/>
      <c r="T82" s="33" t="s">
        <v>661</v>
      </c>
      <c r="U82" t="str">
        <f>VLOOKUP(T82,GroupLabels!$E$2:$H$145,3,0)</f>
        <v>Netherlands - Dutch</v>
      </c>
    </row>
    <row r="83" spans="1:21" x14ac:dyDescent="0.25">
      <c r="A83" t="s">
        <v>3016</v>
      </c>
      <c r="B83" s="73">
        <v>11</v>
      </c>
      <c r="C83" s="73">
        <v>10</v>
      </c>
      <c r="D83" s="73">
        <v>7</v>
      </c>
      <c r="E83" s="73">
        <v>12</v>
      </c>
      <c r="F83" s="73">
        <v>7</v>
      </c>
      <c r="G83" s="73">
        <v>4</v>
      </c>
      <c r="H83" s="73">
        <v>6</v>
      </c>
      <c r="I83" s="73">
        <v>4</v>
      </c>
      <c r="J83" s="73">
        <v>8</v>
      </c>
      <c r="K83" s="73">
        <v>14</v>
      </c>
      <c r="L83" s="73">
        <v>6</v>
      </c>
      <c r="M83" s="73">
        <v>7</v>
      </c>
      <c r="N83" s="73">
        <v>6</v>
      </c>
      <c r="O83" s="73">
        <v>6</v>
      </c>
      <c r="P83" s="73">
        <v>4</v>
      </c>
      <c r="Q83" s="73">
        <v>11</v>
      </c>
      <c r="R83" s="73">
        <v>11</v>
      </c>
      <c r="S83" s="33"/>
      <c r="T83" s="33" t="s">
        <v>662</v>
      </c>
      <c r="U83" t="str">
        <f>VLOOKUP(T83,GroupLabels!$E$2:$H$145,3,0)</f>
        <v>New Zealand - English</v>
      </c>
    </row>
    <row r="84" spans="1:21" x14ac:dyDescent="0.25">
      <c r="A84" t="s">
        <v>760</v>
      </c>
      <c r="B84" s="73" t="s">
        <v>3476</v>
      </c>
      <c r="C84" s="73">
        <v>10</v>
      </c>
      <c r="D84" s="73" t="s">
        <v>3476</v>
      </c>
      <c r="E84" s="73">
        <v>12</v>
      </c>
      <c r="F84" s="73">
        <v>7</v>
      </c>
      <c r="G84" s="73">
        <v>4</v>
      </c>
      <c r="H84" s="73">
        <v>6</v>
      </c>
      <c r="I84" s="73" t="s">
        <v>3476</v>
      </c>
      <c r="J84" s="73">
        <v>8</v>
      </c>
      <c r="K84" s="73">
        <v>14</v>
      </c>
      <c r="L84" s="73">
        <v>6</v>
      </c>
      <c r="M84" s="73">
        <v>7</v>
      </c>
      <c r="N84" s="73">
        <v>6</v>
      </c>
      <c r="O84" s="73" t="s">
        <v>3476</v>
      </c>
      <c r="P84" s="73">
        <v>4</v>
      </c>
      <c r="Q84" s="73" t="s">
        <v>3476</v>
      </c>
      <c r="R84" s="73" t="s">
        <v>3476</v>
      </c>
      <c r="S84" s="33"/>
      <c r="T84" s="33" t="s">
        <v>663</v>
      </c>
      <c r="U84" t="str">
        <f>VLOOKUP(T84,GroupLabels!$E$2:$H$145,3,0)</f>
        <v>Norway - Norwegian Bokmål</v>
      </c>
    </row>
    <row r="85" spans="1:21" x14ac:dyDescent="0.25">
      <c r="A85" t="s">
        <v>2909</v>
      </c>
      <c r="B85" s="73">
        <v>11</v>
      </c>
      <c r="C85" s="73">
        <v>10</v>
      </c>
      <c r="D85" s="73">
        <v>7</v>
      </c>
      <c r="E85" s="73">
        <v>12</v>
      </c>
      <c r="F85" s="73">
        <v>7</v>
      </c>
      <c r="G85" s="73">
        <v>4</v>
      </c>
      <c r="H85" s="73">
        <v>6</v>
      </c>
      <c r="I85" s="73">
        <v>4</v>
      </c>
      <c r="J85" s="73">
        <v>8</v>
      </c>
      <c r="K85" s="73">
        <v>14</v>
      </c>
      <c r="L85" s="73">
        <v>6</v>
      </c>
      <c r="M85" s="73">
        <v>7</v>
      </c>
      <c r="N85" s="73">
        <v>6</v>
      </c>
      <c r="O85" s="73">
        <v>6</v>
      </c>
      <c r="P85" s="73">
        <v>4</v>
      </c>
      <c r="Q85" s="73">
        <v>11</v>
      </c>
      <c r="R85" s="73">
        <v>11</v>
      </c>
      <c r="S85" s="33"/>
      <c r="T85" s="33" t="s">
        <v>665</v>
      </c>
      <c r="U85" t="str">
        <f>VLOOKUP(T85,GroupLabels!$E$2:$H$145,3,0)</f>
        <v>Palestinian Authority - Arabic*</v>
      </c>
    </row>
    <row r="86" spans="1:21" x14ac:dyDescent="0.25">
      <c r="A86" t="s">
        <v>3019</v>
      </c>
      <c r="B86" s="73" t="s">
        <v>3480</v>
      </c>
      <c r="C86" s="73" t="s">
        <v>3480</v>
      </c>
      <c r="D86" s="73" t="s">
        <v>3480</v>
      </c>
      <c r="E86" s="73" t="s">
        <v>3480</v>
      </c>
      <c r="F86" s="73" t="s">
        <v>3480</v>
      </c>
      <c r="G86" s="73" t="s">
        <v>3480</v>
      </c>
      <c r="H86" s="73" t="s">
        <v>3480</v>
      </c>
      <c r="I86" s="73" t="s">
        <v>3480</v>
      </c>
      <c r="J86" s="73" t="s">
        <v>3480</v>
      </c>
      <c r="K86" s="73" t="s">
        <v>3480</v>
      </c>
      <c r="L86" s="73" t="s">
        <v>3480</v>
      </c>
      <c r="M86" s="73" t="s">
        <v>3480</v>
      </c>
      <c r="N86" s="73" t="s">
        <v>3480</v>
      </c>
      <c r="O86" s="73" t="s">
        <v>3480</v>
      </c>
      <c r="P86" s="73" t="s">
        <v>3480</v>
      </c>
      <c r="Q86" s="73" t="s">
        <v>3480</v>
      </c>
      <c r="R86" s="73" t="s">
        <v>3480</v>
      </c>
      <c r="S86" s="33"/>
      <c r="T86" s="33" t="s">
        <v>666</v>
      </c>
      <c r="U86" t="str">
        <f>VLOOKUP(T86,GroupLabels!$E$2:$H$145,3,0)</f>
        <v>Palestinian Authority - English*</v>
      </c>
    </row>
    <row r="87" spans="1:21" x14ac:dyDescent="0.25">
      <c r="A87" t="s">
        <v>3059</v>
      </c>
      <c r="B87" s="73">
        <v>11</v>
      </c>
      <c r="C87" s="73">
        <v>10</v>
      </c>
      <c r="D87" s="73">
        <v>7</v>
      </c>
      <c r="E87" s="73">
        <v>12</v>
      </c>
      <c r="F87" s="73">
        <v>7</v>
      </c>
      <c r="G87" s="73">
        <v>4</v>
      </c>
      <c r="H87" s="73">
        <v>6</v>
      </c>
      <c r="I87" s="73">
        <v>4</v>
      </c>
      <c r="J87" s="73">
        <v>8</v>
      </c>
      <c r="K87" s="73">
        <v>14</v>
      </c>
      <c r="L87" s="73">
        <v>6</v>
      </c>
      <c r="M87" s="73">
        <v>7</v>
      </c>
      <c r="N87" s="73">
        <v>6</v>
      </c>
      <c r="O87" s="73">
        <v>6</v>
      </c>
      <c r="P87" s="73">
        <v>4</v>
      </c>
      <c r="Q87" s="73">
        <v>11</v>
      </c>
      <c r="R87" s="73">
        <v>11</v>
      </c>
      <c r="S87" s="33"/>
      <c r="T87" s="33" t="s">
        <v>667</v>
      </c>
      <c r="U87" t="str">
        <f>VLOOKUP(T87,GroupLabels!$E$2:$H$145,3,0)</f>
        <v>Paraguay - Spanish</v>
      </c>
    </row>
    <row r="88" spans="1:21" x14ac:dyDescent="0.25">
      <c r="A88" t="s">
        <v>3056</v>
      </c>
      <c r="B88" s="73">
        <v>11</v>
      </c>
      <c r="C88" s="73">
        <v>10</v>
      </c>
      <c r="D88" s="73">
        <v>7</v>
      </c>
      <c r="E88" s="73">
        <v>12</v>
      </c>
      <c r="F88" s="73">
        <v>7</v>
      </c>
      <c r="G88" s="73">
        <v>4</v>
      </c>
      <c r="H88" s="73">
        <v>6</v>
      </c>
      <c r="I88" s="73">
        <v>4</v>
      </c>
      <c r="J88" s="73">
        <v>8</v>
      </c>
      <c r="K88" s="73">
        <v>14</v>
      </c>
      <c r="L88" s="73">
        <v>6</v>
      </c>
      <c r="M88" s="73">
        <v>7</v>
      </c>
      <c r="N88" s="73">
        <v>6</v>
      </c>
      <c r="O88" s="73">
        <v>6</v>
      </c>
      <c r="P88" s="73">
        <v>4</v>
      </c>
      <c r="Q88" s="73">
        <v>11</v>
      </c>
      <c r="R88" s="73">
        <v>11</v>
      </c>
      <c r="S88" s="33"/>
      <c r="T88" s="33" t="s">
        <v>668</v>
      </c>
      <c r="U88" t="str">
        <f>VLOOKUP(T88,GroupLabels!$E$2:$H$145,3,0)</f>
        <v>Peru - Spanish</v>
      </c>
    </row>
    <row r="89" spans="1:21" x14ac:dyDescent="0.25">
      <c r="A89" t="s">
        <v>3018</v>
      </c>
      <c r="B89" s="73">
        <v>11</v>
      </c>
      <c r="C89" s="73">
        <v>10</v>
      </c>
      <c r="D89" s="73">
        <v>7</v>
      </c>
      <c r="E89" s="73">
        <v>12</v>
      </c>
      <c r="F89" s="73">
        <v>7</v>
      </c>
      <c r="G89" s="73">
        <v>4</v>
      </c>
      <c r="H89" s="73">
        <v>6</v>
      </c>
      <c r="I89" s="73">
        <v>4</v>
      </c>
      <c r="J89" s="73">
        <v>8</v>
      </c>
      <c r="K89" s="73">
        <v>14</v>
      </c>
      <c r="L89" s="73">
        <v>6</v>
      </c>
      <c r="M89" s="73">
        <v>7</v>
      </c>
      <c r="N89" s="73">
        <v>6</v>
      </c>
      <c r="O89" s="73">
        <v>6</v>
      </c>
      <c r="P89" s="73">
        <v>4</v>
      </c>
      <c r="Q89" s="73">
        <v>11</v>
      </c>
      <c r="R89" s="73">
        <v>11</v>
      </c>
      <c r="S89" s="33"/>
      <c r="T89" s="33" t="s">
        <v>669</v>
      </c>
      <c r="U89" t="str">
        <f>VLOOKUP(T89,GroupLabels!$E$2:$H$145,3,0)</f>
        <v>Philippines - English</v>
      </c>
    </row>
    <row r="90" spans="1:21" x14ac:dyDescent="0.25">
      <c r="A90" t="s">
        <v>3194</v>
      </c>
      <c r="B90" s="73">
        <v>11</v>
      </c>
      <c r="C90" s="73">
        <v>10</v>
      </c>
      <c r="D90" s="73">
        <v>7</v>
      </c>
      <c r="E90" s="73">
        <v>12</v>
      </c>
      <c r="F90" s="73">
        <v>7</v>
      </c>
      <c r="G90" s="73">
        <v>4</v>
      </c>
      <c r="H90" s="73">
        <v>6</v>
      </c>
      <c r="I90" s="73">
        <v>4</v>
      </c>
      <c r="J90" s="73">
        <v>8</v>
      </c>
      <c r="K90" s="73">
        <v>14</v>
      </c>
      <c r="L90" s="73">
        <v>6</v>
      </c>
      <c r="M90" s="73">
        <v>7</v>
      </c>
      <c r="N90" s="73">
        <v>6</v>
      </c>
      <c r="O90" s="73">
        <v>6</v>
      </c>
      <c r="P90" s="73">
        <v>4</v>
      </c>
      <c r="Q90" s="73">
        <v>11</v>
      </c>
      <c r="R90" s="73">
        <v>11</v>
      </c>
      <c r="S90" s="33"/>
      <c r="T90" s="33" t="s">
        <v>670</v>
      </c>
      <c r="U90" t="str">
        <f>VLOOKUP(T90,GroupLabels!$E$2:$H$145,3,0)</f>
        <v>Poland - Polish</v>
      </c>
    </row>
    <row r="91" spans="1:21" x14ac:dyDescent="0.25">
      <c r="A91" t="s">
        <v>3202</v>
      </c>
      <c r="B91" s="73">
        <v>11</v>
      </c>
      <c r="C91" s="73">
        <v>10</v>
      </c>
      <c r="D91" s="73">
        <v>7</v>
      </c>
      <c r="E91" s="73">
        <v>12</v>
      </c>
      <c r="F91" s="73">
        <v>7</v>
      </c>
      <c r="G91" s="73">
        <v>4</v>
      </c>
      <c r="H91" s="73">
        <v>6</v>
      </c>
      <c r="I91" s="73">
        <v>4</v>
      </c>
      <c r="J91" s="73">
        <v>8</v>
      </c>
      <c r="K91" s="73">
        <v>14</v>
      </c>
      <c r="L91" s="73">
        <v>6</v>
      </c>
      <c r="M91" s="73">
        <v>7</v>
      </c>
      <c r="N91" s="73">
        <v>6</v>
      </c>
      <c r="O91" s="73">
        <v>6</v>
      </c>
      <c r="P91" s="73">
        <v>4</v>
      </c>
      <c r="Q91" s="73">
        <v>11</v>
      </c>
      <c r="R91" s="73">
        <v>11</v>
      </c>
      <c r="S91" s="33"/>
      <c r="T91" s="33" t="s">
        <v>671</v>
      </c>
      <c r="U91" t="str">
        <f>VLOOKUP(T91,GroupLabels!$E$2:$H$145,3,0)</f>
        <v>Portugal - Portuguese</v>
      </c>
    </row>
    <row r="92" spans="1:21" x14ac:dyDescent="0.25">
      <c r="A92" t="s">
        <v>2912</v>
      </c>
      <c r="B92" s="73">
        <v>11</v>
      </c>
      <c r="C92" s="73">
        <v>10</v>
      </c>
      <c r="D92" s="73">
        <v>7</v>
      </c>
      <c r="E92" s="73">
        <v>12</v>
      </c>
      <c r="F92" s="73">
        <v>7</v>
      </c>
      <c r="G92" s="73">
        <v>4</v>
      </c>
      <c r="H92" s="73">
        <v>6</v>
      </c>
      <c r="I92" s="73">
        <v>4</v>
      </c>
      <c r="J92" s="73">
        <v>8</v>
      </c>
      <c r="K92" s="73">
        <v>14</v>
      </c>
      <c r="L92" s="73">
        <v>6</v>
      </c>
      <c r="M92" s="73">
        <v>7</v>
      </c>
      <c r="N92" s="73">
        <v>6</v>
      </c>
      <c r="O92" s="73">
        <v>6</v>
      </c>
      <c r="P92" s="73">
        <v>4</v>
      </c>
      <c r="Q92" s="73">
        <v>11</v>
      </c>
      <c r="R92" s="73">
        <v>11</v>
      </c>
      <c r="S92" s="33"/>
      <c r="T92" s="33" t="s">
        <v>672</v>
      </c>
      <c r="U92" t="str">
        <f>VLOOKUP(T92,GroupLabels!$E$2:$H$145,3,0)</f>
        <v>Qatar - Arabic</v>
      </c>
    </row>
    <row r="93" spans="1:21" x14ac:dyDescent="0.25">
      <c r="A93" t="s">
        <v>3020</v>
      </c>
      <c r="B93" s="73">
        <v>11</v>
      </c>
      <c r="C93" s="73">
        <v>10</v>
      </c>
      <c r="D93" s="73">
        <v>7</v>
      </c>
      <c r="E93" s="73">
        <v>12</v>
      </c>
      <c r="F93" s="73">
        <v>7</v>
      </c>
      <c r="G93" s="73">
        <v>4</v>
      </c>
      <c r="H93" s="73">
        <v>6</v>
      </c>
      <c r="I93" s="73">
        <v>4</v>
      </c>
      <c r="J93" s="73">
        <v>8</v>
      </c>
      <c r="K93" s="73">
        <v>14</v>
      </c>
      <c r="L93" s="73">
        <v>6</v>
      </c>
      <c r="M93" s="73">
        <v>7</v>
      </c>
      <c r="N93" s="73">
        <v>6</v>
      </c>
      <c r="O93" s="73">
        <v>6</v>
      </c>
      <c r="P93" s="73">
        <v>4</v>
      </c>
      <c r="Q93" s="73">
        <v>11</v>
      </c>
      <c r="R93" s="73">
        <v>11</v>
      </c>
      <c r="S93" s="33"/>
      <c r="T93" s="33" t="s">
        <v>673</v>
      </c>
      <c r="U93" t="str">
        <f>VLOOKUP(T93,GroupLabels!$E$2:$H$145,3,0)</f>
        <v>Qatar - English</v>
      </c>
    </row>
    <row r="94" spans="1:21" x14ac:dyDescent="0.25">
      <c r="A94" t="s">
        <v>3207</v>
      </c>
      <c r="B94" s="73">
        <v>11</v>
      </c>
      <c r="C94" s="73">
        <v>10</v>
      </c>
      <c r="D94" s="73">
        <v>7</v>
      </c>
      <c r="E94" s="73">
        <v>12</v>
      </c>
      <c r="F94" s="73">
        <v>7</v>
      </c>
      <c r="G94" s="73">
        <v>4</v>
      </c>
      <c r="H94" s="73">
        <v>6</v>
      </c>
      <c r="I94" s="73">
        <v>4</v>
      </c>
      <c r="J94" s="73">
        <v>8</v>
      </c>
      <c r="K94" s="73">
        <v>14</v>
      </c>
      <c r="L94" s="73">
        <v>6</v>
      </c>
      <c r="M94" s="73">
        <v>7</v>
      </c>
      <c r="N94" s="73">
        <v>6</v>
      </c>
      <c r="O94" s="73">
        <v>6</v>
      </c>
      <c r="P94" s="73">
        <v>4</v>
      </c>
      <c r="Q94" s="73">
        <v>11</v>
      </c>
      <c r="R94" s="73">
        <v>11</v>
      </c>
      <c r="S94" s="33"/>
      <c r="T94" s="33" t="s">
        <v>675</v>
      </c>
      <c r="U94" t="str">
        <f>VLOOKUP(T94,GroupLabels!$E$2:$H$145,3,0)</f>
        <v>Romania - Romanian</v>
      </c>
    </row>
    <row r="95" spans="1:21" x14ac:dyDescent="0.25">
      <c r="A95" t="s">
        <v>2915</v>
      </c>
      <c r="B95" s="73">
        <v>11</v>
      </c>
      <c r="C95" s="73">
        <v>10</v>
      </c>
      <c r="D95" s="73">
        <v>7</v>
      </c>
      <c r="E95" s="73">
        <v>12</v>
      </c>
      <c r="F95" s="73">
        <v>7</v>
      </c>
      <c r="G95" s="73">
        <v>4</v>
      </c>
      <c r="H95" s="73">
        <v>6</v>
      </c>
      <c r="I95" s="73">
        <v>4</v>
      </c>
      <c r="J95" s="73">
        <v>8</v>
      </c>
      <c r="K95" s="73">
        <v>14</v>
      </c>
      <c r="L95" s="73">
        <v>6</v>
      </c>
      <c r="M95" s="73">
        <v>7</v>
      </c>
      <c r="N95" s="73">
        <v>6</v>
      </c>
      <c r="O95" s="73">
        <v>6</v>
      </c>
      <c r="P95" s="73">
        <v>4</v>
      </c>
      <c r="Q95" s="73">
        <v>11</v>
      </c>
      <c r="R95" s="73">
        <v>11</v>
      </c>
      <c r="S95" s="33"/>
      <c r="T95" s="33" t="s">
        <v>677</v>
      </c>
      <c r="U95" t="str">
        <f>VLOOKUP(T95,GroupLabels!$E$2:$H$145,3,0)</f>
        <v>Saudi Arabia - Arabic</v>
      </c>
    </row>
    <row r="96" spans="1:21" x14ac:dyDescent="0.25">
      <c r="A96" t="s">
        <v>3023</v>
      </c>
      <c r="B96" s="73">
        <v>11</v>
      </c>
      <c r="C96" s="73">
        <v>10</v>
      </c>
      <c r="D96" s="73">
        <v>7</v>
      </c>
      <c r="E96" s="73">
        <v>12</v>
      </c>
      <c r="F96" s="73">
        <v>7</v>
      </c>
      <c r="G96" s="73">
        <v>4</v>
      </c>
      <c r="H96" s="73">
        <v>6</v>
      </c>
      <c r="I96" s="73">
        <v>4</v>
      </c>
      <c r="J96" s="73">
        <v>8</v>
      </c>
      <c r="K96" s="73">
        <v>14</v>
      </c>
      <c r="L96" s="73">
        <v>6</v>
      </c>
      <c r="M96" s="73">
        <v>7</v>
      </c>
      <c r="N96" s="73">
        <v>6</v>
      </c>
      <c r="O96" s="73">
        <v>6</v>
      </c>
      <c r="P96" s="73">
        <v>4</v>
      </c>
      <c r="Q96" s="73">
        <v>11</v>
      </c>
      <c r="R96" s="73">
        <v>11</v>
      </c>
      <c r="S96" s="33"/>
      <c r="T96" s="33" t="s">
        <v>678</v>
      </c>
      <c r="U96" t="str">
        <f>VLOOKUP(T96,GroupLabels!$E$2:$H$145,3,0)</f>
        <v>Saudi Arabia - English</v>
      </c>
    </row>
    <row r="97" spans="1:21" x14ac:dyDescent="0.25">
      <c r="A97" t="s">
        <v>3241</v>
      </c>
      <c r="B97" s="73">
        <v>11</v>
      </c>
      <c r="C97" s="73">
        <v>10</v>
      </c>
      <c r="D97" s="73">
        <v>7</v>
      </c>
      <c r="E97" s="73">
        <v>12</v>
      </c>
      <c r="F97" s="73">
        <v>7</v>
      </c>
      <c r="G97" s="73">
        <v>4</v>
      </c>
      <c r="H97" s="73">
        <v>6</v>
      </c>
      <c r="I97" s="73">
        <v>4</v>
      </c>
      <c r="J97" s="73">
        <v>8</v>
      </c>
      <c r="K97" s="73">
        <v>14</v>
      </c>
      <c r="L97" s="73">
        <v>6</v>
      </c>
      <c r="M97" s="73">
        <v>7</v>
      </c>
      <c r="N97" s="73">
        <v>6</v>
      </c>
      <c r="O97" s="73">
        <v>6</v>
      </c>
      <c r="P97" s="73">
        <v>4</v>
      </c>
      <c r="Q97" s="73">
        <v>11</v>
      </c>
      <c r="R97" s="73">
        <v>11</v>
      </c>
      <c r="S97" s="33"/>
      <c r="T97" s="33" t="s">
        <v>679</v>
      </c>
      <c r="U97" t="str">
        <f>VLOOKUP(T97,GroupLabels!$E$2:$H$145,3,0)</f>
        <v>Serbia - Serbian</v>
      </c>
    </row>
    <row r="98" spans="1:21" x14ac:dyDescent="0.25">
      <c r="A98" t="s">
        <v>3025</v>
      </c>
      <c r="B98" s="73">
        <v>11</v>
      </c>
      <c r="C98" s="73">
        <v>10</v>
      </c>
      <c r="D98" s="73" t="s">
        <v>3476</v>
      </c>
      <c r="E98" s="73">
        <v>12</v>
      </c>
      <c r="F98" s="73">
        <v>7</v>
      </c>
      <c r="G98" s="73">
        <v>4</v>
      </c>
      <c r="H98" s="73">
        <v>6</v>
      </c>
      <c r="I98" s="73">
        <v>4</v>
      </c>
      <c r="J98" s="73" t="s">
        <v>3476</v>
      </c>
      <c r="K98" s="73">
        <v>14</v>
      </c>
      <c r="L98" s="73">
        <v>6</v>
      </c>
      <c r="M98" s="73">
        <v>7</v>
      </c>
      <c r="N98" s="73">
        <v>6</v>
      </c>
      <c r="O98" s="73">
        <v>6</v>
      </c>
      <c r="P98" s="73">
        <v>4</v>
      </c>
      <c r="Q98" s="73">
        <v>11</v>
      </c>
      <c r="R98" s="73">
        <v>11</v>
      </c>
      <c r="S98" s="33"/>
      <c r="T98" s="33" t="s">
        <v>680</v>
      </c>
      <c r="U98" t="str">
        <f>VLOOKUP(T98,GroupLabels!$E$2:$H$145,3,0)</f>
        <v>Singapore - English</v>
      </c>
    </row>
    <row r="99" spans="1:21" x14ac:dyDescent="0.25">
      <c r="A99" t="s">
        <v>3222</v>
      </c>
      <c r="B99" s="73">
        <v>11</v>
      </c>
      <c r="C99" s="73">
        <v>10</v>
      </c>
      <c r="D99" s="73">
        <v>7</v>
      </c>
      <c r="E99" s="73">
        <v>12</v>
      </c>
      <c r="F99" s="73">
        <v>7</v>
      </c>
      <c r="G99" s="73">
        <v>4</v>
      </c>
      <c r="H99" s="73">
        <v>6</v>
      </c>
      <c r="I99" s="73">
        <v>4</v>
      </c>
      <c r="J99" s="73">
        <v>8</v>
      </c>
      <c r="K99" s="73">
        <v>14</v>
      </c>
      <c r="L99" s="73">
        <v>6</v>
      </c>
      <c r="M99" s="73">
        <v>7</v>
      </c>
      <c r="N99" s="73">
        <v>6</v>
      </c>
      <c r="O99" s="73">
        <v>6</v>
      </c>
      <c r="P99" s="73">
        <v>4</v>
      </c>
      <c r="Q99" s="73">
        <v>11</v>
      </c>
      <c r="R99" s="73">
        <v>11</v>
      </c>
      <c r="S99" s="33"/>
      <c r="T99" s="33" t="s">
        <v>682</v>
      </c>
      <c r="U99" t="str">
        <f>VLOOKUP(T99,GroupLabels!$E$2:$H$145,3,0)</f>
        <v>Slovak Republic - Slovak</v>
      </c>
    </row>
    <row r="100" spans="1:21" x14ac:dyDescent="0.25">
      <c r="A100" t="s">
        <v>3227</v>
      </c>
      <c r="B100" s="73">
        <v>11</v>
      </c>
      <c r="C100" s="73">
        <v>10</v>
      </c>
      <c r="D100" s="73">
        <v>7</v>
      </c>
      <c r="E100" s="73">
        <v>12</v>
      </c>
      <c r="F100" s="73">
        <v>7</v>
      </c>
      <c r="G100" s="73">
        <v>4</v>
      </c>
      <c r="H100" s="73">
        <v>6</v>
      </c>
      <c r="I100" s="73">
        <v>4</v>
      </c>
      <c r="J100" s="73">
        <v>8</v>
      </c>
      <c r="K100" s="73">
        <v>14</v>
      </c>
      <c r="L100" s="73">
        <v>6</v>
      </c>
      <c r="M100" s="73">
        <v>7</v>
      </c>
      <c r="N100" s="73">
        <v>6</v>
      </c>
      <c r="O100" s="73">
        <v>6</v>
      </c>
      <c r="P100" s="73">
        <v>4</v>
      </c>
      <c r="Q100" s="73">
        <v>11</v>
      </c>
      <c r="R100" s="73">
        <v>11</v>
      </c>
      <c r="S100" s="33"/>
      <c r="T100" s="33" t="s">
        <v>683</v>
      </c>
      <c r="U100" t="str">
        <f>VLOOKUP(T100,GroupLabels!$E$2:$H$145,3,0)</f>
        <v>Slovenia - Slovenian</v>
      </c>
    </row>
    <row r="101" spans="1:21" x14ac:dyDescent="0.25">
      <c r="A101" t="s">
        <v>3072</v>
      </c>
      <c r="B101" s="73">
        <v>11</v>
      </c>
      <c r="C101" s="73">
        <v>10</v>
      </c>
      <c r="D101" s="73">
        <v>7</v>
      </c>
      <c r="E101" s="73">
        <v>12</v>
      </c>
      <c r="F101" s="73">
        <v>7</v>
      </c>
      <c r="G101" s="73">
        <v>4</v>
      </c>
      <c r="H101" s="73">
        <v>6</v>
      </c>
      <c r="I101" s="73">
        <v>4</v>
      </c>
      <c r="J101" s="73">
        <v>8</v>
      </c>
      <c r="K101" s="73">
        <v>14</v>
      </c>
      <c r="L101" s="73">
        <v>6</v>
      </c>
      <c r="M101" s="73">
        <v>7</v>
      </c>
      <c r="N101" s="73">
        <v>6</v>
      </c>
      <c r="O101" s="73">
        <v>6</v>
      </c>
      <c r="P101" s="73">
        <v>4</v>
      </c>
      <c r="Q101" s="73">
        <v>11</v>
      </c>
      <c r="R101" s="73">
        <v>11</v>
      </c>
      <c r="S101" s="33"/>
      <c r="T101" s="33" t="s">
        <v>684</v>
      </c>
      <c r="U101" t="str">
        <f>VLOOKUP(T101,GroupLabels!$E$2:$H$145,3,0)</f>
        <v>Spain - Basque</v>
      </c>
    </row>
    <row r="102" spans="1:21" x14ac:dyDescent="0.25">
      <c r="A102" t="s">
        <v>2932</v>
      </c>
      <c r="B102" s="73">
        <v>11</v>
      </c>
      <c r="C102" s="73">
        <v>10</v>
      </c>
      <c r="D102" s="73">
        <v>7</v>
      </c>
      <c r="E102" s="73">
        <v>12</v>
      </c>
      <c r="F102" s="73">
        <v>7</v>
      </c>
      <c r="G102" s="73">
        <v>4</v>
      </c>
      <c r="H102" s="73">
        <v>6</v>
      </c>
      <c r="I102" s="73">
        <v>4</v>
      </c>
      <c r="J102" s="73">
        <v>8</v>
      </c>
      <c r="K102" s="73">
        <v>14</v>
      </c>
      <c r="L102" s="73">
        <v>6</v>
      </c>
      <c r="M102" s="73">
        <v>7</v>
      </c>
      <c r="N102" s="73">
        <v>6</v>
      </c>
      <c r="O102" s="73">
        <v>6</v>
      </c>
      <c r="P102" s="73">
        <v>4</v>
      </c>
      <c r="Q102" s="73">
        <v>11</v>
      </c>
      <c r="R102" s="73">
        <v>11</v>
      </c>
      <c r="S102" s="33"/>
      <c r="T102" s="33" t="s">
        <v>685</v>
      </c>
      <c r="U102" t="str">
        <f>VLOOKUP(T102,GroupLabels!$E$2:$H$145,3,0)</f>
        <v>Spain - Catalan</v>
      </c>
    </row>
    <row r="103" spans="1:21" x14ac:dyDescent="0.25">
      <c r="A103" t="s">
        <v>3091</v>
      </c>
      <c r="B103" s="73">
        <v>11</v>
      </c>
      <c r="C103" s="73">
        <v>10</v>
      </c>
      <c r="D103" s="73">
        <v>7</v>
      </c>
      <c r="E103" s="73">
        <v>12</v>
      </c>
      <c r="F103" s="73">
        <v>7</v>
      </c>
      <c r="G103" s="73">
        <v>4</v>
      </c>
      <c r="H103" s="73">
        <v>6</v>
      </c>
      <c r="I103" s="73">
        <v>4</v>
      </c>
      <c r="J103" s="73">
        <v>8</v>
      </c>
      <c r="K103" s="73">
        <v>14</v>
      </c>
      <c r="L103" s="73">
        <v>6</v>
      </c>
      <c r="M103" s="73">
        <v>7</v>
      </c>
      <c r="N103" s="73">
        <v>6</v>
      </c>
      <c r="O103" s="73">
        <v>6</v>
      </c>
      <c r="P103" s="73">
        <v>4</v>
      </c>
      <c r="Q103" s="73">
        <v>11</v>
      </c>
      <c r="R103" s="73">
        <v>11</v>
      </c>
      <c r="S103" s="33"/>
      <c r="T103" s="33" t="s">
        <v>686</v>
      </c>
      <c r="U103" t="str">
        <f>VLOOKUP(T103,GroupLabels!$E$2:$H$145,3,0)</f>
        <v>Spain - Galician</v>
      </c>
    </row>
    <row r="104" spans="1:21" x14ac:dyDescent="0.25">
      <c r="A104" t="s">
        <v>3047</v>
      </c>
      <c r="B104" s="73">
        <v>11</v>
      </c>
      <c r="C104" s="73">
        <v>10</v>
      </c>
      <c r="D104" s="73">
        <v>7</v>
      </c>
      <c r="E104" s="73">
        <v>12</v>
      </c>
      <c r="F104" s="73">
        <v>7</v>
      </c>
      <c r="G104" s="73">
        <v>4</v>
      </c>
      <c r="H104" s="73">
        <v>6</v>
      </c>
      <c r="I104" s="73">
        <v>4</v>
      </c>
      <c r="J104" s="73">
        <v>8</v>
      </c>
      <c r="K104" s="73">
        <v>14</v>
      </c>
      <c r="L104" s="73">
        <v>6</v>
      </c>
      <c r="M104" s="73">
        <v>7</v>
      </c>
      <c r="N104" s="73">
        <v>6</v>
      </c>
      <c r="O104" s="73">
        <v>6</v>
      </c>
      <c r="P104" s="73">
        <v>4</v>
      </c>
      <c r="Q104" s="73">
        <v>11</v>
      </c>
      <c r="R104" s="73">
        <v>11</v>
      </c>
      <c r="S104" s="33"/>
      <c r="T104" s="33" t="s">
        <v>687</v>
      </c>
      <c r="U104" t="str">
        <f>VLOOKUP(T104,GroupLabels!$E$2:$H$145,3,0)</f>
        <v>Spain - Spanish</v>
      </c>
    </row>
    <row r="105" spans="1:21" x14ac:dyDescent="0.25">
      <c r="A105" t="s">
        <v>2933</v>
      </c>
      <c r="B105" s="73">
        <v>11</v>
      </c>
      <c r="C105" s="73">
        <v>10</v>
      </c>
      <c r="D105" s="73">
        <v>7</v>
      </c>
      <c r="E105" s="73">
        <v>12</v>
      </c>
      <c r="F105" s="73">
        <v>7</v>
      </c>
      <c r="G105" s="73">
        <v>4</v>
      </c>
      <c r="H105" s="73">
        <v>6</v>
      </c>
      <c r="I105" s="73">
        <v>4</v>
      </c>
      <c r="J105" s="73">
        <v>8</v>
      </c>
      <c r="K105" s="73">
        <v>14</v>
      </c>
      <c r="L105" s="73">
        <v>6</v>
      </c>
      <c r="M105" s="73">
        <v>7</v>
      </c>
      <c r="N105" s="73">
        <v>6</v>
      </c>
      <c r="O105" s="73">
        <v>6</v>
      </c>
      <c r="P105" s="73">
        <v>4</v>
      </c>
      <c r="Q105" s="73">
        <v>11</v>
      </c>
      <c r="R105" s="73">
        <v>11</v>
      </c>
      <c r="S105" s="33"/>
      <c r="T105" s="33" t="s">
        <v>688</v>
      </c>
      <c r="U105" t="str">
        <f>VLOOKUP(T105,GroupLabels!$E$2:$H$145,3,0)</f>
        <v>Spain - Valencian</v>
      </c>
    </row>
    <row r="106" spans="1:21" x14ac:dyDescent="0.25">
      <c r="A106" t="s">
        <v>762</v>
      </c>
      <c r="B106" s="73">
        <v>11</v>
      </c>
      <c r="C106" s="73" t="s">
        <v>3476</v>
      </c>
      <c r="D106" s="73" t="s">
        <v>3476</v>
      </c>
      <c r="E106" s="73" t="s">
        <v>3476</v>
      </c>
      <c r="F106" s="73">
        <v>7</v>
      </c>
      <c r="G106" s="73">
        <v>4</v>
      </c>
      <c r="H106" s="73">
        <v>6</v>
      </c>
      <c r="I106" s="73" t="s">
        <v>3476</v>
      </c>
      <c r="J106" s="73">
        <v>8</v>
      </c>
      <c r="K106" s="73" t="s">
        <v>3476</v>
      </c>
      <c r="L106" s="73">
        <v>6</v>
      </c>
      <c r="M106" s="73">
        <v>7</v>
      </c>
      <c r="N106" s="73">
        <v>6</v>
      </c>
      <c r="O106" s="73" t="s">
        <v>3476</v>
      </c>
      <c r="P106" s="73">
        <v>4</v>
      </c>
      <c r="Q106" s="73">
        <v>11</v>
      </c>
      <c r="R106" s="73">
        <v>11</v>
      </c>
      <c r="S106" s="33"/>
      <c r="T106" s="33" t="s">
        <v>689</v>
      </c>
      <c r="U106" t="str">
        <f>VLOOKUP(T106,GroupLabels!$E$2:$H$145,3,0)</f>
        <v>Sweden - Swedish</v>
      </c>
    </row>
    <row r="107" spans="1:21" x14ac:dyDescent="0.25">
      <c r="A107" t="s">
        <v>3081</v>
      </c>
      <c r="B107" s="73">
        <v>11</v>
      </c>
      <c r="C107" s="73">
        <v>10</v>
      </c>
      <c r="D107" s="73">
        <v>7</v>
      </c>
      <c r="E107" s="73">
        <v>12</v>
      </c>
      <c r="F107" s="73">
        <v>7</v>
      </c>
      <c r="G107" s="73">
        <v>4</v>
      </c>
      <c r="H107" s="73">
        <v>6</v>
      </c>
      <c r="I107" s="73">
        <v>4</v>
      </c>
      <c r="J107" s="73">
        <v>8</v>
      </c>
      <c r="K107" s="73">
        <v>14</v>
      </c>
      <c r="L107" s="73">
        <v>6</v>
      </c>
      <c r="M107" s="73">
        <v>7</v>
      </c>
      <c r="N107" s="73">
        <v>6</v>
      </c>
      <c r="O107" s="73">
        <v>6</v>
      </c>
      <c r="P107" s="73">
        <v>4</v>
      </c>
      <c r="Q107" s="73">
        <v>11</v>
      </c>
      <c r="R107" s="73">
        <v>11</v>
      </c>
      <c r="S107" s="33"/>
      <c r="T107" s="33" t="s">
        <v>690</v>
      </c>
      <c r="U107" t="str">
        <f>VLOOKUP(T107,GroupLabels!$E$2:$H$145,3,0)</f>
        <v>Switzerland - French</v>
      </c>
    </row>
    <row r="108" spans="1:21" x14ac:dyDescent="0.25">
      <c r="A108" t="s">
        <v>2964</v>
      </c>
      <c r="B108" s="73">
        <v>11</v>
      </c>
      <c r="C108" s="73">
        <v>10</v>
      </c>
      <c r="D108" s="73">
        <v>7</v>
      </c>
      <c r="E108" s="73">
        <v>12</v>
      </c>
      <c r="F108" s="73">
        <v>7</v>
      </c>
      <c r="G108" s="73">
        <v>4</v>
      </c>
      <c r="H108" s="73">
        <v>6</v>
      </c>
      <c r="I108" s="73">
        <v>4</v>
      </c>
      <c r="J108" s="73">
        <v>8</v>
      </c>
      <c r="K108" s="73">
        <v>14</v>
      </c>
      <c r="L108" s="73">
        <v>6</v>
      </c>
      <c r="M108" s="73">
        <v>7</v>
      </c>
      <c r="N108" s="73">
        <v>6</v>
      </c>
      <c r="O108" s="73">
        <v>6</v>
      </c>
      <c r="P108" s="73">
        <v>4</v>
      </c>
      <c r="Q108" s="73">
        <v>11</v>
      </c>
      <c r="R108" s="73">
        <v>11</v>
      </c>
      <c r="S108" s="33"/>
      <c r="T108" s="33" t="s">
        <v>691</v>
      </c>
      <c r="U108" t="str">
        <f>VLOOKUP(T108,GroupLabels!$E$2:$H$145,3,0)</f>
        <v>Switzerland - German</v>
      </c>
    </row>
    <row r="109" spans="1:21" x14ac:dyDescent="0.25">
      <c r="A109" t="s">
        <v>3125</v>
      </c>
      <c r="B109" s="73">
        <v>11</v>
      </c>
      <c r="C109" s="73">
        <v>10</v>
      </c>
      <c r="D109" s="73">
        <v>7</v>
      </c>
      <c r="E109" s="73">
        <v>12</v>
      </c>
      <c r="F109" s="73">
        <v>7</v>
      </c>
      <c r="G109" s="73">
        <v>4</v>
      </c>
      <c r="H109" s="73">
        <v>6</v>
      </c>
      <c r="I109" s="73">
        <v>4</v>
      </c>
      <c r="J109" s="73">
        <v>8</v>
      </c>
      <c r="K109" s="73">
        <v>14</v>
      </c>
      <c r="L109" s="73">
        <v>6</v>
      </c>
      <c r="M109" s="73">
        <v>7</v>
      </c>
      <c r="N109" s="73">
        <v>6</v>
      </c>
      <c r="O109" s="73">
        <v>6</v>
      </c>
      <c r="P109" s="73">
        <v>4</v>
      </c>
      <c r="Q109" s="73">
        <v>11</v>
      </c>
      <c r="R109" s="73">
        <v>11</v>
      </c>
      <c r="S109" s="33"/>
      <c r="T109" s="33" t="s">
        <v>692</v>
      </c>
      <c r="U109" t="str">
        <f>VLOOKUP(T109,GroupLabels!$E$2:$H$145,3,0)</f>
        <v>Switzerland - Italian</v>
      </c>
    </row>
    <row r="110" spans="1:21" x14ac:dyDescent="0.25">
      <c r="A110" t="s">
        <v>3282</v>
      </c>
      <c r="B110" s="73">
        <v>11</v>
      </c>
      <c r="C110" s="73">
        <v>10</v>
      </c>
      <c r="D110" s="73">
        <v>7</v>
      </c>
      <c r="E110" s="73">
        <v>12</v>
      </c>
      <c r="F110" s="73">
        <v>7</v>
      </c>
      <c r="G110" s="73">
        <v>4</v>
      </c>
      <c r="H110" s="73">
        <v>6</v>
      </c>
      <c r="I110" s="73">
        <v>4</v>
      </c>
      <c r="J110" s="73">
        <v>8</v>
      </c>
      <c r="K110" s="73">
        <v>14</v>
      </c>
      <c r="L110" s="73">
        <v>6</v>
      </c>
      <c r="M110" s="73">
        <v>7</v>
      </c>
      <c r="N110" s="73">
        <v>6</v>
      </c>
      <c r="O110" s="73">
        <v>6</v>
      </c>
      <c r="P110" s="73">
        <v>4</v>
      </c>
      <c r="Q110" s="73">
        <v>11</v>
      </c>
      <c r="R110" s="73">
        <v>11</v>
      </c>
      <c r="S110" s="33"/>
      <c r="T110" s="33" t="s">
        <v>693</v>
      </c>
      <c r="U110" t="str">
        <f>VLOOKUP(T110,GroupLabels!$E$2:$H$145,3,0)</f>
        <v>Chinese Taipei - Chinese</v>
      </c>
    </row>
    <row r="111" spans="1:21" x14ac:dyDescent="0.25">
      <c r="A111" t="s">
        <v>3252</v>
      </c>
      <c r="B111" s="73">
        <v>11</v>
      </c>
      <c r="C111" s="73">
        <v>10</v>
      </c>
      <c r="D111" s="73">
        <v>7</v>
      </c>
      <c r="E111" s="73">
        <v>12</v>
      </c>
      <c r="F111" s="73">
        <v>7</v>
      </c>
      <c r="G111" s="73">
        <v>4</v>
      </c>
      <c r="H111" s="73">
        <v>6</v>
      </c>
      <c r="I111" s="73">
        <v>4</v>
      </c>
      <c r="J111" s="73">
        <v>8</v>
      </c>
      <c r="K111" s="73">
        <v>14</v>
      </c>
      <c r="L111" s="73">
        <v>6</v>
      </c>
      <c r="M111" s="73">
        <v>7</v>
      </c>
      <c r="N111" s="73">
        <v>6</v>
      </c>
      <c r="O111" s="73">
        <v>6</v>
      </c>
      <c r="P111" s="73">
        <v>4</v>
      </c>
      <c r="Q111" s="73">
        <v>11</v>
      </c>
      <c r="R111" s="73">
        <v>11</v>
      </c>
      <c r="S111" s="33"/>
      <c r="T111" s="33" t="s">
        <v>694</v>
      </c>
      <c r="U111" t="str">
        <f>VLOOKUP(T111,GroupLabels!$E$2:$H$145,3,0)</f>
        <v>Thailand - Thai</v>
      </c>
    </row>
    <row r="112" spans="1:21" x14ac:dyDescent="0.25">
      <c r="A112" t="s">
        <v>3257</v>
      </c>
      <c r="B112" s="73">
        <v>11</v>
      </c>
      <c r="C112" s="73">
        <v>10</v>
      </c>
      <c r="D112" s="73">
        <v>7</v>
      </c>
      <c r="E112" s="73">
        <v>12</v>
      </c>
      <c r="F112" s="73">
        <v>7</v>
      </c>
      <c r="G112" s="73">
        <v>4</v>
      </c>
      <c r="H112" s="73">
        <v>6</v>
      </c>
      <c r="I112" s="73">
        <v>4</v>
      </c>
      <c r="J112" s="73">
        <v>8</v>
      </c>
      <c r="K112" s="73">
        <v>14</v>
      </c>
      <c r="L112" s="73">
        <v>6</v>
      </c>
      <c r="M112" s="73">
        <v>7</v>
      </c>
      <c r="N112" s="73">
        <v>6</v>
      </c>
      <c r="O112" s="73">
        <v>6</v>
      </c>
      <c r="P112" s="73">
        <v>4</v>
      </c>
      <c r="Q112" s="73">
        <v>11</v>
      </c>
      <c r="R112" s="73">
        <v>11</v>
      </c>
      <c r="S112" s="33"/>
      <c r="T112" s="33" t="s">
        <v>695</v>
      </c>
      <c r="U112" t="str">
        <f>VLOOKUP(T112,GroupLabels!$E$2:$H$145,3,0)</f>
        <v>Turkey - Turkish</v>
      </c>
    </row>
    <row r="113" spans="1:21" x14ac:dyDescent="0.25">
      <c r="A113" t="s">
        <v>3262</v>
      </c>
      <c r="B113" s="73">
        <v>11</v>
      </c>
      <c r="C113" s="73">
        <v>10</v>
      </c>
      <c r="D113" s="73">
        <v>7</v>
      </c>
      <c r="E113" s="73">
        <v>12</v>
      </c>
      <c r="F113" s="73">
        <v>7</v>
      </c>
      <c r="G113" s="73">
        <v>4</v>
      </c>
      <c r="H113" s="73">
        <v>6</v>
      </c>
      <c r="I113" s="73">
        <v>4</v>
      </c>
      <c r="J113" s="73">
        <v>8</v>
      </c>
      <c r="K113" s="73">
        <v>14</v>
      </c>
      <c r="L113" s="73">
        <v>6</v>
      </c>
      <c r="M113" s="73">
        <v>7</v>
      </c>
      <c r="N113" s="73">
        <v>6</v>
      </c>
      <c r="O113" s="73">
        <v>6</v>
      </c>
      <c r="P113" s="73">
        <v>4</v>
      </c>
      <c r="Q113" s="73">
        <v>11</v>
      </c>
      <c r="R113" s="73">
        <v>11</v>
      </c>
      <c r="S113" s="33"/>
      <c r="T113" s="33" t="s">
        <v>696</v>
      </c>
      <c r="U113" t="str">
        <f>VLOOKUP(T113,GroupLabels!$E$2:$H$145,3,0)</f>
        <v>Ukrainian regions (17 of 27) - Ukrainian*</v>
      </c>
    </row>
    <row r="114" spans="1:21" x14ac:dyDescent="0.25">
      <c r="A114" t="s">
        <v>2895</v>
      </c>
      <c r="B114" s="73">
        <v>11</v>
      </c>
      <c r="C114" s="73">
        <v>10</v>
      </c>
      <c r="D114" s="73">
        <v>7</v>
      </c>
      <c r="E114" s="73">
        <v>12</v>
      </c>
      <c r="F114" s="73">
        <v>7</v>
      </c>
      <c r="G114" s="73">
        <v>4</v>
      </c>
      <c r="H114" s="73">
        <v>6</v>
      </c>
      <c r="I114" s="73">
        <v>4</v>
      </c>
      <c r="J114" s="73">
        <v>8</v>
      </c>
      <c r="K114" s="73">
        <v>14</v>
      </c>
      <c r="L114" s="73">
        <v>6</v>
      </c>
      <c r="M114" s="73">
        <v>7</v>
      </c>
      <c r="N114" s="73">
        <v>6</v>
      </c>
      <c r="O114" s="73">
        <v>6</v>
      </c>
      <c r="P114" s="73">
        <v>4</v>
      </c>
      <c r="Q114" s="73">
        <v>11</v>
      </c>
      <c r="R114" s="73">
        <v>11</v>
      </c>
      <c r="S114" s="33"/>
      <c r="T114" s="33" t="s">
        <v>697</v>
      </c>
      <c r="U114" t="str">
        <f>VLOOKUP(T114,GroupLabels!$E$2:$H$145,3,0)</f>
        <v>United Arab Emirates - Arabic</v>
      </c>
    </row>
    <row r="115" spans="1:21" x14ac:dyDescent="0.25">
      <c r="A115" t="s">
        <v>2979</v>
      </c>
      <c r="B115" s="73">
        <v>11</v>
      </c>
      <c r="C115" s="73">
        <v>10</v>
      </c>
      <c r="D115" s="73">
        <v>7</v>
      </c>
      <c r="E115" s="73">
        <v>12</v>
      </c>
      <c r="F115" s="73">
        <v>7</v>
      </c>
      <c r="G115" s="73">
        <v>4</v>
      </c>
      <c r="H115" s="73">
        <v>6</v>
      </c>
      <c r="I115" s="73">
        <v>4</v>
      </c>
      <c r="J115" s="73">
        <v>8</v>
      </c>
      <c r="K115" s="73">
        <v>14</v>
      </c>
      <c r="L115" s="73">
        <v>6</v>
      </c>
      <c r="M115" s="73">
        <v>7</v>
      </c>
      <c r="N115" s="73">
        <v>6</v>
      </c>
      <c r="O115" s="73">
        <v>6</v>
      </c>
      <c r="P115" s="73">
        <v>4</v>
      </c>
      <c r="Q115" s="73">
        <v>11</v>
      </c>
      <c r="R115" s="73">
        <v>11</v>
      </c>
      <c r="S115" s="33"/>
      <c r="T115" s="33" t="s">
        <v>698</v>
      </c>
      <c r="U115" t="str">
        <f>VLOOKUP(T115,GroupLabels!$E$2:$H$145,3,0)</f>
        <v>United Arab Emirates - English</v>
      </c>
    </row>
    <row r="116" spans="1:21" x14ac:dyDescent="0.25">
      <c r="A116" t="s">
        <v>2990</v>
      </c>
      <c r="B116" s="73">
        <v>11</v>
      </c>
      <c r="C116" s="73">
        <v>10</v>
      </c>
      <c r="D116" s="73">
        <v>7</v>
      </c>
      <c r="E116" s="73">
        <v>12</v>
      </c>
      <c r="F116" s="73">
        <v>7</v>
      </c>
      <c r="G116" s="73">
        <v>4</v>
      </c>
      <c r="H116" s="73">
        <v>6</v>
      </c>
      <c r="I116" s="73">
        <v>4</v>
      </c>
      <c r="J116" s="73">
        <v>8</v>
      </c>
      <c r="K116" s="73">
        <v>14</v>
      </c>
      <c r="L116" s="73">
        <v>6</v>
      </c>
      <c r="M116" s="73">
        <v>7</v>
      </c>
      <c r="N116" s="73">
        <v>6</v>
      </c>
      <c r="O116" s="73">
        <v>6</v>
      </c>
      <c r="P116" s="73">
        <v>4</v>
      </c>
      <c r="Q116" s="73">
        <v>11</v>
      </c>
      <c r="R116" s="73">
        <v>11</v>
      </c>
      <c r="S116" s="33"/>
      <c r="T116" s="33" t="s">
        <v>700</v>
      </c>
      <c r="U116" t="str">
        <f>VLOOKUP(T116,GroupLabels!$E$2:$H$145,3,0)</f>
        <v>United Kingdom ex Scotland - English</v>
      </c>
    </row>
    <row r="117" spans="1:21" x14ac:dyDescent="0.25">
      <c r="A117" t="s">
        <v>2989</v>
      </c>
      <c r="B117" s="73">
        <v>11</v>
      </c>
      <c r="C117" s="73">
        <v>10</v>
      </c>
      <c r="D117" s="73">
        <v>7</v>
      </c>
      <c r="E117" s="73">
        <v>12</v>
      </c>
      <c r="F117" s="73">
        <v>7</v>
      </c>
      <c r="G117" s="73">
        <v>4</v>
      </c>
      <c r="H117" s="73">
        <v>6</v>
      </c>
      <c r="I117" s="73">
        <v>4</v>
      </c>
      <c r="J117" s="73">
        <v>8</v>
      </c>
      <c r="K117" s="73">
        <v>14</v>
      </c>
      <c r="L117" s="73">
        <v>6</v>
      </c>
      <c r="M117" s="73">
        <v>7</v>
      </c>
      <c r="N117" s="73">
        <v>6</v>
      </c>
      <c r="O117" s="73">
        <v>6</v>
      </c>
      <c r="P117" s="73">
        <v>4</v>
      </c>
      <c r="Q117" s="73">
        <v>11</v>
      </c>
      <c r="R117" s="73">
        <v>11</v>
      </c>
      <c r="S117" s="33"/>
      <c r="T117" s="33" t="s">
        <v>701</v>
      </c>
      <c r="U117" t="str">
        <f>VLOOKUP(T117,GroupLabels!$E$2:$H$145,3,0)</f>
        <v>United Kingdom Scotland only - English</v>
      </c>
    </row>
    <row r="118" spans="1:21" x14ac:dyDescent="0.25">
      <c r="A118" t="s">
        <v>3065</v>
      </c>
      <c r="B118" s="73">
        <v>11</v>
      </c>
      <c r="C118" s="73">
        <v>10</v>
      </c>
      <c r="D118" s="73">
        <v>7</v>
      </c>
      <c r="E118" s="73">
        <v>12</v>
      </c>
      <c r="F118" s="73">
        <v>7</v>
      </c>
      <c r="G118" s="73">
        <v>4</v>
      </c>
      <c r="H118" s="73">
        <v>6</v>
      </c>
      <c r="I118" s="73">
        <v>4</v>
      </c>
      <c r="J118" s="73">
        <v>8</v>
      </c>
      <c r="K118" s="73">
        <v>14</v>
      </c>
      <c r="L118" s="73">
        <v>6</v>
      </c>
      <c r="M118" s="73">
        <v>7</v>
      </c>
      <c r="N118" s="73">
        <v>6</v>
      </c>
      <c r="O118" s="73">
        <v>6</v>
      </c>
      <c r="P118" s="73">
        <v>4</v>
      </c>
      <c r="Q118" s="73">
        <v>11</v>
      </c>
      <c r="R118" s="73">
        <v>11</v>
      </c>
      <c r="S118" s="33"/>
      <c r="T118" s="33" t="s">
        <v>703</v>
      </c>
      <c r="U118" t="str">
        <f>VLOOKUP(T118,GroupLabels!$E$2:$H$145,3,0)</f>
        <v>Uruguay - Spanish</v>
      </c>
    </row>
    <row r="119" spans="1:21" x14ac:dyDescent="0.25">
      <c r="A119" t="s">
        <v>3133</v>
      </c>
      <c r="B119" s="73">
        <v>11</v>
      </c>
      <c r="C119" s="73">
        <v>10</v>
      </c>
      <c r="D119" s="73">
        <v>7</v>
      </c>
      <c r="E119" s="73">
        <v>12</v>
      </c>
      <c r="F119" s="73">
        <v>7</v>
      </c>
      <c r="G119" s="73">
        <v>4</v>
      </c>
      <c r="H119" s="73">
        <v>6</v>
      </c>
      <c r="I119" s="73">
        <v>4</v>
      </c>
      <c r="J119" s="73">
        <v>8</v>
      </c>
      <c r="K119" s="73">
        <v>14</v>
      </c>
      <c r="L119" s="73">
        <v>6</v>
      </c>
      <c r="M119" s="73">
        <v>7</v>
      </c>
      <c r="N119" s="73">
        <v>6</v>
      </c>
      <c r="O119" s="73">
        <v>6</v>
      </c>
      <c r="P119" s="73">
        <v>4</v>
      </c>
      <c r="Q119" s="73">
        <v>11</v>
      </c>
      <c r="R119" s="73">
        <v>11</v>
      </c>
      <c r="S119" s="33"/>
      <c r="T119" s="33" t="s">
        <v>704</v>
      </c>
      <c r="U119" t="str">
        <f>VLOOKUP(T119,GroupLabels!$E$2:$H$145,3,0)</f>
        <v>Uzbekistan - Karakalpak</v>
      </c>
    </row>
    <row r="120" spans="1:21" x14ac:dyDescent="0.25">
      <c r="A120" t="s">
        <v>3219</v>
      </c>
      <c r="B120" s="73">
        <v>11</v>
      </c>
      <c r="C120" s="73">
        <v>10</v>
      </c>
      <c r="D120" s="73">
        <v>7</v>
      </c>
      <c r="E120" s="73">
        <v>12</v>
      </c>
      <c r="F120" s="73">
        <v>7</v>
      </c>
      <c r="G120" s="73">
        <v>4</v>
      </c>
      <c r="H120" s="73">
        <v>6</v>
      </c>
      <c r="I120" s="73">
        <v>4</v>
      </c>
      <c r="J120" s="73">
        <v>8</v>
      </c>
      <c r="K120" s="73">
        <v>14</v>
      </c>
      <c r="L120" s="73">
        <v>6</v>
      </c>
      <c r="M120" s="73">
        <v>7</v>
      </c>
      <c r="N120" s="73">
        <v>6</v>
      </c>
      <c r="O120" s="73">
        <v>6</v>
      </c>
      <c r="P120" s="73">
        <v>4</v>
      </c>
      <c r="Q120" s="73">
        <v>11</v>
      </c>
      <c r="R120" s="73">
        <v>11</v>
      </c>
      <c r="S120" s="33"/>
      <c r="T120" s="33" t="s">
        <v>705</v>
      </c>
      <c r="U120" t="str">
        <f>VLOOKUP(T120,GroupLabels!$E$2:$H$145,3,0)</f>
        <v>Uzbekistan - Russian</v>
      </c>
    </row>
    <row r="121" spans="1:21" x14ac:dyDescent="0.25">
      <c r="A121" t="s">
        <v>3267</v>
      </c>
      <c r="B121" s="73">
        <v>11</v>
      </c>
      <c r="C121" s="73">
        <v>10</v>
      </c>
      <c r="D121" s="73">
        <v>7</v>
      </c>
      <c r="E121" s="73">
        <v>12</v>
      </c>
      <c r="F121" s="73">
        <v>7</v>
      </c>
      <c r="G121" s="73">
        <v>4</v>
      </c>
      <c r="H121" s="73">
        <v>6</v>
      </c>
      <c r="I121" s="73">
        <v>4</v>
      </c>
      <c r="J121" s="73">
        <v>8</v>
      </c>
      <c r="K121" s="73">
        <v>14</v>
      </c>
      <c r="L121" s="73">
        <v>6</v>
      </c>
      <c r="M121" s="73">
        <v>7</v>
      </c>
      <c r="N121" s="73">
        <v>6</v>
      </c>
      <c r="O121" s="73">
        <v>6</v>
      </c>
      <c r="P121" s="73">
        <v>4</v>
      </c>
      <c r="Q121" s="73">
        <v>11</v>
      </c>
      <c r="R121" s="73">
        <v>11</v>
      </c>
      <c r="S121" s="33"/>
      <c r="T121" s="33" t="s">
        <v>706</v>
      </c>
      <c r="U121" t="str">
        <f>VLOOKUP(T121,GroupLabels!$E$2:$H$145,3,0)</f>
        <v>Uzbekistan - Uzbekistani</v>
      </c>
    </row>
    <row r="122" spans="1:21" x14ac:dyDescent="0.25">
      <c r="A122" s="3" t="s">
        <v>3272</v>
      </c>
      <c r="B122" s="75">
        <v>11</v>
      </c>
      <c r="C122" s="75">
        <v>10</v>
      </c>
      <c r="D122" s="75">
        <v>7</v>
      </c>
      <c r="E122" s="75">
        <v>12</v>
      </c>
      <c r="F122" s="75">
        <v>7</v>
      </c>
      <c r="G122" s="75">
        <v>4</v>
      </c>
      <c r="H122" s="75">
        <v>6</v>
      </c>
      <c r="I122" s="75">
        <v>4</v>
      </c>
      <c r="J122" s="75">
        <v>8</v>
      </c>
      <c r="K122" s="75">
        <v>14</v>
      </c>
      <c r="L122" s="75">
        <v>6</v>
      </c>
      <c r="M122" s="75">
        <v>7</v>
      </c>
      <c r="N122" s="75">
        <v>6</v>
      </c>
      <c r="O122" s="75">
        <v>6</v>
      </c>
      <c r="P122" s="75">
        <v>4</v>
      </c>
      <c r="Q122" s="75">
        <v>11</v>
      </c>
      <c r="R122" s="75">
        <v>11</v>
      </c>
      <c r="S122" s="33"/>
      <c r="T122" s="40" t="s">
        <v>707</v>
      </c>
      <c r="U122" t="str">
        <f>VLOOKUP(T122,GroupLabels!$E$2:$H$145,3,0)</f>
        <v>Viet Nam - Vietnamese</v>
      </c>
    </row>
    <row r="124" spans="1:21" x14ac:dyDescent="0.25">
      <c r="A124" s="33" t="s">
        <v>3477</v>
      </c>
    </row>
    <row r="125" spans="1:21" x14ac:dyDescent="0.25">
      <c r="A125" s="33" t="s">
        <v>3481</v>
      </c>
    </row>
    <row r="126" spans="1:21" x14ac:dyDescent="0.25">
      <c r="A126" s="33" t="s">
        <v>3482</v>
      </c>
    </row>
  </sheetData>
  <sheetProtection formatColumns="0" formatRows="0"/>
  <sortState xmlns:xlrd2="http://schemas.microsoft.com/office/spreadsheetml/2017/richdata2" ref="A7:U122">
    <sortCondition ref="A7:A122"/>
  </sortState>
  <hyperlinks>
    <hyperlink ref="A1" location="TOC!A1" display="Table of Contents" xr:uid="{00985C6B-CAA2-42A3-B121-6E5DF437B67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05"/>
  <dimension ref="A1:U126"/>
  <sheetViews>
    <sheetView workbookViewId="0">
      <pane ySplit="6" topLeftCell="A63" activePane="bottomLeft" state="frozen"/>
      <selection pane="bottomLeft"/>
    </sheetView>
  </sheetViews>
  <sheetFormatPr defaultColWidth="8.7109375" defaultRowHeight="15" x14ac:dyDescent="0.25"/>
  <cols>
    <col min="1" max="1" width="39" customWidth="1"/>
    <col min="20" max="20" width="5.28515625" hidden="1" customWidth="1"/>
    <col min="21" max="21" width="0" hidden="1"/>
  </cols>
  <sheetData>
    <row r="1" spans="1:21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106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101" t="s">
        <v>160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x14ac:dyDescent="0.25">
      <c r="A4" s="34" t="s">
        <v>161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x14ac:dyDescent="0.25">
      <c r="A5" s="91"/>
      <c r="B5" s="99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x14ac:dyDescent="0.25">
      <c r="A6" s="92" t="s">
        <v>566</v>
      </c>
      <c r="B6" s="92" t="s">
        <v>348</v>
      </c>
      <c r="C6" s="92" t="s">
        <v>349</v>
      </c>
      <c r="D6" s="92" t="s">
        <v>350</v>
      </c>
      <c r="E6" s="92" t="s">
        <v>351</v>
      </c>
      <c r="F6" s="92" t="s">
        <v>352</v>
      </c>
      <c r="G6" s="92" t="s">
        <v>353</v>
      </c>
      <c r="H6" s="92" t="s">
        <v>354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x14ac:dyDescent="0.25">
      <c r="A7" t="s">
        <v>3232</v>
      </c>
      <c r="B7" s="73">
        <v>10</v>
      </c>
      <c r="C7" s="73">
        <v>10</v>
      </c>
      <c r="D7" s="73">
        <v>6</v>
      </c>
      <c r="E7" s="73">
        <v>4</v>
      </c>
      <c r="F7" s="73">
        <v>5</v>
      </c>
      <c r="G7" s="73">
        <v>6</v>
      </c>
      <c r="H7" s="73">
        <v>4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 t="s">
        <v>567</v>
      </c>
      <c r="U7" t="str">
        <f>VLOOKUP(T7,GroupLabels!$E$2:$H$145,3,0)</f>
        <v>Albania - Albanian</v>
      </c>
    </row>
    <row r="8" spans="1:21" x14ac:dyDescent="0.25">
      <c r="A8" t="s">
        <v>3113</v>
      </c>
      <c r="B8" s="73">
        <v>10</v>
      </c>
      <c r="C8" s="73">
        <v>10</v>
      </c>
      <c r="D8" s="73">
        <v>6</v>
      </c>
      <c r="E8" s="73">
        <v>4</v>
      </c>
      <c r="F8" s="73">
        <v>5</v>
      </c>
      <c r="G8" s="73">
        <v>6</v>
      </c>
      <c r="H8" s="73">
        <v>4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 t="s">
        <v>569</v>
      </c>
      <c r="U8" t="str">
        <f>VLOOKUP(T8,GroupLabels!$E$2:$H$145,3,0)</f>
        <v>Armenia - Armenian</v>
      </c>
    </row>
    <row r="9" spans="1:21" x14ac:dyDescent="0.25">
      <c r="A9" t="s">
        <v>2982</v>
      </c>
      <c r="B9" s="73">
        <v>10</v>
      </c>
      <c r="C9" s="73">
        <v>10</v>
      </c>
      <c r="D9" s="73">
        <v>6</v>
      </c>
      <c r="E9" s="73">
        <v>4</v>
      </c>
      <c r="F9" s="73">
        <v>5</v>
      </c>
      <c r="G9" s="73">
        <v>6</v>
      </c>
      <c r="H9" s="73">
        <v>4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 t="s">
        <v>570</v>
      </c>
      <c r="U9" t="str">
        <f>VLOOKUP(T9,GroupLabels!$E$2:$H$145,3,0)</f>
        <v>Australia - English</v>
      </c>
    </row>
    <row r="10" spans="1:21" x14ac:dyDescent="0.25">
      <c r="A10" t="s">
        <v>2960</v>
      </c>
      <c r="B10" s="73">
        <v>10</v>
      </c>
      <c r="C10" s="73">
        <v>10</v>
      </c>
      <c r="D10" s="73">
        <v>6</v>
      </c>
      <c r="E10" s="73">
        <v>4</v>
      </c>
      <c r="F10" s="73">
        <v>5</v>
      </c>
      <c r="G10" s="73">
        <v>6</v>
      </c>
      <c r="H10" s="73">
        <v>4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 t="s">
        <v>571</v>
      </c>
      <c r="U10" t="str">
        <f>VLOOKUP(T10,GroupLabels!$E$2:$H$145,3,0)</f>
        <v>Austria - German</v>
      </c>
    </row>
    <row r="11" spans="1:21" x14ac:dyDescent="0.25">
      <c r="A11" t="s">
        <v>2923</v>
      </c>
      <c r="B11" s="73">
        <v>10</v>
      </c>
      <c r="C11" s="73">
        <v>10</v>
      </c>
      <c r="D11" s="73">
        <v>6</v>
      </c>
      <c r="E11" s="73">
        <v>4</v>
      </c>
      <c r="F11" s="73">
        <v>5</v>
      </c>
      <c r="G11" s="73">
        <v>6</v>
      </c>
      <c r="H11" s="73">
        <v>4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 t="s">
        <v>572</v>
      </c>
      <c r="U11" t="str">
        <f>VLOOKUP(T11,GroupLabels!$E$2:$H$145,3,0)</f>
        <v>Azerbaijan - Azerbaijani</v>
      </c>
    </row>
    <row r="12" spans="1:21" x14ac:dyDescent="0.25">
      <c r="A12" t="s">
        <v>3277</v>
      </c>
      <c r="B12" s="73">
        <v>10</v>
      </c>
      <c r="C12" s="73">
        <v>10</v>
      </c>
      <c r="D12" s="73">
        <v>6</v>
      </c>
      <c r="E12" s="73">
        <v>4</v>
      </c>
      <c r="F12" s="73">
        <v>5</v>
      </c>
      <c r="G12" s="73">
        <v>6</v>
      </c>
      <c r="H12" s="73">
        <v>4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 t="s">
        <v>579</v>
      </c>
      <c r="U12" t="str">
        <f>VLOOKUP(T12,GroupLabels!$E$2:$H$145,3,0)</f>
        <v>B-S-J-G (China) - Chinese*</v>
      </c>
    </row>
    <row r="13" spans="1:21" x14ac:dyDescent="0.25">
      <c r="A13" t="s">
        <v>3185</v>
      </c>
      <c r="B13" s="73">
        <v>10</v>
      </c>
      <c r="C13" s="73">
        <v>10</v>
      </c>
      <c r="D13" s="73">
        <v>6</v>
      </c>
      <c r="E13" s="73">
        <v>4</v>
      </c>
      <c r="F13" s="73">
        <v>5</v>
      </c>
      <c r="G13" s="73">
        <v>6</v>
      </c>
      <c r="H13" s="73">
        <v>4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 t="s">
        <v>574</v>
      </c>
      <c r="U13" t="str">
        <f>VLOOKUP(T13,GroupLabels!$E$2:$H$145,3,0)</f>
        <v>Belgium (Flemish Community) - Dutch</v>
      </c>
    </row>
    <row r="14" spans="1:21" x14ac:dyDescent="0.25">
      <c r="A14" t="s">
        <v>3479</v>
      </c>
      <c r="B14" s="73">
        <v>10</v>
      </c>
      <c r="C14" s="73">
        <v>10</v>
      </c>
      <c r="D14" s="73">
        <v>6</v>
      </c>
      <c r="E14" s="73">
        <v>4</v>
      </c>
      <c r="F14" s="73">
        <v>5</v>
      </c>
      <c r="G14" s="73">
        <v>6</v>
      </c>
      <c r="H14" s="73">
        <v>4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 t="s">
        <v>575</v>
      </c>
      <c r="U14" t="str">
        <f>VLOOKUP(T14,GroupLabels!$E$2:$H$145,3,0)</f>
        <v>Belgium (French Community) - French</v>
      </c>
    </row>
    <row r="15" spans="1:21" x14ac:dyDescent="0.25">
      <c r="A15" t="s">
        <v>3199</v>
      </c>
      <c r="B15" s="73">
        <v>10</v>
      </c>
      <c r="C15" s="73">
        <v>10</v>
      </c>
      <c r="D15" s="73">
        <v>6</v>
      </c>
      <c r="E15" s="73">
        <v>4</v>
      </c>
      <c r="F15" s="73">
        <v>5</v>
      </c>
      <c r="G15" s="73">
        <v>6</v>
      </c>
      <c r="H15" s="73">
        <v>4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 t="s">
        <v>577</v>
      </c>
      <c r="U15" t="str">
        <f>VLOOKUP(T15,GroupLabels!$E$2:$H$145,3,0)</f>
        <v>Brazil - Portuguese</v>
      </c>
    </row>
    <row r="16" spans="1:21" x14ac:dyDescent="0.25">
      <c r="A16" t="s">
        <v>2985</v>
      </c>
      <c r="B16" s="73">
        <v>10</v>
      </c>
      <c r="C16" s="73">
        <v>10</v>
      </c>
      <c r="D16" s="73">
        <v>6</v>
      </c>
      <c r="E16" s="73">
        <v>4</v>
      </c>
      <c r="F16" s="73">
        <v>5</v>
      </c>
      <c r="G16" s="73">
        <v>6</v>
      </c>
      <c r="H16" s="73">
        <v>4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 t="s">
        <v>578</v>
      </c>
      <c r="U16" t="str">
        <f>VLOOKUP(T16,GroupLabels!$E$2:$H$145,3,0)</f>
        <v>Brunei Darussalam - English</v>
      </c>
    </row>
    <row r="17" spans="1:21" x14ac:dyDescent="0.25">
      <c r="A17" t="s">
        <v>2928</v>
      </c>
      <c r="B17" s="73">
        <v>10</v>
      </c>
      <c r="C17" s="73">
        <v>10</v>
      </c>
      <c r="D17" s="73">
        <v>6</v>
      </c>
      <c r="E17" s="73">
        <v>4</v>
      </c>
      <c r="F17" s="73">
        <v>5</v>
      </c>
      <c r="G17" s="73">
        <v>6</v>
      </c>
      <c r="H17" s="73">
        <v>4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 t="s">
        <v>580</v>
      </c>
      <c r="U17" t="str">
        <f>VLOOKUP(T17,GroupLabels!$E$2:$H$145,3,0)</f>
        <v>Bulgaria - Bulgarian</v>
      </c>
    </row>
    <row r="18" spans="1:21" x14ac:dyDescent="0.25">
      <c r="A18" t="s">
        <v>769</v>
      </c>
      <c r="B18" s="73">
        <v>10</v>
      </c>
      <c r="C18" s="73">
        <v>10</v>
      </c>
      <c r="D18" s="73">
        <v>6</v>
      </c>
      <c r="E18" s="73">
        <v>4</v>
      </c>
      <c r="F18" s="73">
        <v>5</v>
      </c>
      <c r="G18" s="73">
        <v>6</v>
      </c>
      <c r="H18" s="73">
        <v>4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 t="s">
        <v>583</v>
      </c>
      <c r="U18" t="str">
        <f>VLOOKUP(T18,GroupLabels!$E$2:$H$145,3,0)</f>
        <v>Canada - English</v>
      </c>
    </row>
    <row r="19" spans="1:21" x14ac:dyDescent="0.25">
      <c r="A19" t="s">
        <v>770</v>
      </c>
      <c r="B19" s="73">
        <v>10</v>
      </c>
      <c r="C19" s="73">
        <v>10</v>
      </c>
      <c r="D19" s="73">
        <v>6</v>
      </c>
      <c r="E19" s="73">
        <v>4</v>
      </c>
      <c r="F19" s="73">
        <v>5</v>
      </c>
      <c r="G19" s="73">
        <v>6</v>
      </c>
      <c r="H19" s="73">
        <v>4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 t="s">
        <v>584</v>
      </c>
      <c r="U19" t="str">
        <f>VLOOKUP(T19,GroupLabels!$E$2:$H$145,3,0)</f>
        <v>Canada - French</v>
      </c>
    </row>
    <row r="20" spans="1:21" x14ac:dyDescent="0.25">
      <c r="A20" t="s">
        <v>3040</v>
      </c>
      <c r="B20" s="73">
        <v>10</v>
      </c>
      <c r="C20" s="73">
        <v>10</v>
      </c>
      <c r="D20" s="73">
        <v>6</v>
      </c>
      <c r="E20" s="73">
        <v>4</v>
      </c>
      <c r="F20" s="73">
        <v>5</v>
      </c>
      <c r="G20" s="73">
        <v>6</v>
      </c>
      <c r="H20" s="73">
        <v>4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 t="s">
        <v>586</v>
      </c>
      <c r="U20" t="str">
        <f>VLOOKUP(T20,GroupLabels!$E$2:$H$145,3,0)</f>
        <v>Colombia - Spanish</v>
      </c>
    </row>
    <row r="21" spans="1:21" x14ac:dyDescent="0.25">
      <c r="A21" t="s">
        <v>763</v>
      </c>
      <c r="B21" s="73">
        <v>10</v>
      </c>
      <c r="C21" s="73">
        <v>10</v>
      </c>
      <c r="D21" s="73">
        <v>6</v>
      </c>
      <c r="E21" s="73">
        <v>4</v>
      </c>
      <c r="F21" s="73">
        <v>5</v>
      </c>
      <c r="G21" s="73">
        <v>6</v>
      </c>
      <c r="H21" s="73">
        <v>4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 t="s">
        <v>587</v>
      </c>
      <c r="U21" t="str">
        <f>VLOOKUP(T21,GroupLabels!$E$2:$H$145,3,0)</f>
        <v>Costa Rica - Spanish</v>
      </c>
    </row>
    <row r="22" spans="1:21" x14ac:dyDescent="0.25">
      <c r="A22" t="s">
        <v>3098</v>
      </c>
      <c r="B22" s="73">
        <v>10</v>
      </c>
      <c r="C22" s="73">
        <v>10</v>
      </c>
      <c r="D22" s="73">
        <v>6</v>
      </c>
      <c r="E22" s="73">
        <v>4</v>
      </c>
      <c r="F22" s="73">
        <v>5</v>
      </c>
      <c r="G22" s="73">
        <v>6</v>
      </c>
      <c r="H22" s="73">
        <v>4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 t="s">
        <v>588</v>
      </c>
      <c r="U22" t="str">
        <f>VLOOKUP(T22,GroupLabels!$E$2:$H$145,3,0)</f>
        <v>Croatia - Croatian</v>
      </c>
    </row>
    <row r="23" spans="1:21" x14ac:dyDescent="0.25">
      <c r="A23" t="s">
        <v>2988</v>
      </c>
      <c r="B23" s="73">
        <v>10</v>
      </c>
      <c r="C23" s="73">
        <v>10</v>
      </c>
      <c r="D23" s="73">
        <v>6</v>
      </c>
      <c r="E23" s="73">
        <v>4</v>
      </c>
      <c r="F23" s="73">
        <v>5</v>
      </c>
      <c r="G23" s="73">
        <v>6</v>
      </c>
      <c r="H23" s="73">
        <v>4</v>
      </c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 t="s">
        <v>589</v>
      </c>
      <c r="U23" t="str">
        <f>VLOOKUP(T23,GroupLabels!$E$2:$H$145,3,0)</f>
        <v>Cyprus - English*</v>
      </c>
    </row>
    <row r="24" spans="1:21" x14ac:dyDescent="0.25">
      <c r="A24" t="s">
        <v>2974</v>
      </c>
      <c r="B24" s="73">
        <v>10</v>
      </c>
      <c r="C24" s="73">
        <v>10</v>
      </c>
      <c r="D24" s="73">
        <v>6</v>
      </c>
      <c r="E24" s="73">
        <v>4</v>
      </c>
      <c r="F24" s="73">
        <v>5</v>
      </c>
      <c r="G24" s="73">
        <v>6</v>
      </c>
      <c r="H24" s="73">
        <v>4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 t="s">
        <v>590</v>
      </c>
      <c r="U24" t="str">
        <f>VLOOKUP(T24,GroupLabels!$E$2:$H$145,3,0)</f>
        <v>Cyprus - Modern Greek*</v>
      </c>
    </row>
    <row r="25" spans="1:21" x14ac:dyDescent="0.25">
      <c r="A25" t="s">
        <v>2946</v>
      </c>
      <c r="B25" s="73">
        <v>10</v>
      </c>
      <c r="C25" s="73">
        <v>10</v>
      </c>
      <c r="D25" s="73">
        <v>6</v>
      </c>
      <c r="E25" s="73">
        <v>4</v>
      </c>
      <c r="F25" s="73">
        <v>5</v>
      </c>
      <c r="G25" s="73">
        <v>6</v>
      </c>
      <c r="H25" s="73">
        <v>4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 t="s">
        <v>591</v>
      </c>
      <c r="U25" t="str">
        <f>VLOOKUP(T25,GroupLabels!$E$2:$H$145,3,0)</f>
        <v>Czechia - Czech</v>
      </c>
    </row>
    <row r="26" spans="1:21" x14ac:dyDescent="0.25">
      <c r="A26" t="s">
        <v>765</v>
      </c>
      <c r="B26" s="73">
        <v>10</v>
      </c>
      <c r="C26" s="73">
        <v>10</v>
      </c>
      <c r="D26" s="73">
        <v>6</v>
      </c>
      <c r="E26" s="73">
        <v>4</v>
      </c>
      <c r="F26" s="73">
        <v>5</v>
      </c>
      <c r="G26" s="73">
        <v>6</v>
      </c>
      <c r="H26" s="73">
        <v>4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 t="s">
        <v>592</v>
      </c>
      <c r="U26" t="str">
        <f>VLOOKUP(T26,GroupLabels!$E$2:$H$145,3,0)</f>
        <v>Denmark - Danish</v>
      </c>
    </row>
    <row r="27" spans="1:21" x14ac:dyDescent="0.25">
      <c r="A27" t="s">
        <v>766</v>
      </c>
      <c r="B27" s="73">
        <v>10</v>
      </c>
      <c r="C27" s="73">
        <v>10</v>
      </c>
      <c r="D27" s="73">
        <v>6</v>
      </c>
      <c r="E27" s="73">
        <v>4</v>
      </c>
      <c r="F27" s="73">
        <v>5</v>
      </c>
      <c r="G27" s="73">
        <v>6</v>
      </c>
      <c r="H27" s="73">
        <v>4</v>
      </c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 t="s">
        <v>593</v>
      </c>
      <c r="U27" t="str">
        <f>VLOOKUP(T27,GroupLabels!$E$2:$H$145,3,0)</f>
        <v>Denmark - Faroese</v>
      </c>
    </row>
    <row r="28" spans="1:21" x14ac:dyDescent="0.25">
      <c r="A28" t="s">
        <v>3044</v>
      </c>
      <c r="B28" s="73">
        <v>10</v>
      </c>
      <c r="C28" s="73">
        <v>10</v>
      </c>
      <c r="D28" s="73">
        <v>6</v>
      </c>
      <c r="E28" s="73">
        <v>4</v>
      </c>
      <c r="F28" s="73">
        <v>5</v>
      </c>
      <c r="G28" s="73">
        <v>6</v>
      </c>
      <c r="H28" s="73">
        <v>4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 t="s">
        <v>594</v>
      </c>
      <c r="U28" t="str">
        <f>VLOOKUP(T28,GroupLabels!$E$2:$H$145,3,0)</f>
        <v>Dominican Republic - Spanish</v>
      </c>
    </row>
    <row r="29" spans="1:21" x14ac:dyDescent="0.25">
      <c r="A29" t="s">
        <v>3046</v>
      </c>
      <c r="B29" s="73">
        <v>10</v>
      </c>
      <c r="C29" s="73">
        <v>10</v>
      </c>
      <c r="D29" s="73">
        <v>6</v>
      </c>
      <c r="E29" s="73">
        <v>4</v>
      </c>
      <c r="F29" s="73">
        <v>5</v>
      </c>
      <c r="G29" s="73">
        <v>6</v>
      </c>
      <c r="H29" s="73">
        <v>4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 t="s">
        <v>597</v>
      </c>
      <c r="U29" t="str">
        <f>VLOOKUP(T29,GroupLabels!$E$2:$H$145,3,0)</f>
        <v>Ecuador - Spanish</v>
      </c>
    </row>
    <row r="30" spans="1:21" x14ac:dyDescent="0.25">
      <c r="A30" t="s">
        <v>3062</v>
      </c>
      <c r="B30" s="73">
        <v>10</v>
      </c>
      <c r="C30" s="73">
        <v>10</v>
      </c>
      <c r="D30" s="73">
        <v>6</v>
      </c>
      <c r="E30" s="73">
        <v>4</v>
      </c>
      <c r="F30" s="73">
        <v>5</v>
      </c>
      <c r="G30" s="73">
        <v>6</v>
      </c>
      <c r="H30" s="73">
        <v>4</v>
      </c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 t="s">
        <v>598</v>
      </c>
      <c r="U30" t="str">
        <f>VLOOKUP(T30,GroupLabels!$E$2:$H$145,3,0)</f>
        <v>El Salvador - Spanish</v>
      </c>
    </row>
    <row r="31" spans="1:21" x14ac:dyDescent="0.25">
      <c r="A31" t="s">
        <v>3069</v>
      </c>
      <c r="B31" s="73">
        <v>10</v>
      </c>
      <c r="C31" s="73">
        <v>10</v>
      </c>
      <c r="D31" s="73">
        <v>6</v>
      </c>
      <c r="E31" s="73">
        <v>4</v>
      </c>
      <c r="F31" s="73">
        <v>5</v>
      </c>
      <c r="G31" s="73">
        <v>6</v>
      </c>
      <c r="H31" s="73">
        <v>4</v>
      </c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 t="s">
        <v>599</v>
      </c>
      <c r="U31" t="str">
        <f>VLOOKUP(T31,GroupLabels!$E$2:$H$145,3,0)</f>
        <v>Estonia - Estonian</v>
      </c>
    </row>
    <row r="32" spans="1:21" x14ac:dyDescent="0.25">
      <c r="A32" t="s">
        <v>3076</v>
      </c>
      <c r="B32" s="73">
        <v>10</v>
      </c>
      <c r="C32" s="73">
        <v>10</v>
      </c>
      <c r="D32" s="73">
        <v>6</v>
      </c>
      <c r="E32" s="73">
        <v>4</v>
      </c>
      <c r="F32" s="73">
        <v>5</v>
      </c>
      <c r="G32" s="73">
        <v>6</v>
      </c>
      <c r="H32" s="73">
        <v>4</v>
      </c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 t="s">
        <v>601</v>
      </c>
      <c r="U32" t="str">
        <f>VLOOKUP(T32,GroupLabels!$E$2:$H$145,3,0)</f>
        <v>Finland - Finnish</v>
      </c>
    </row>
    <row r="33" spans="1:21" x14ac:dyDescent="0.25">
      <c r="A33" t="s">
        <v>3244</v>
      </c>
      <c r="B33" s="73">
        <v>10</v>
      </c>
      <c r="C33" s="73">
        <v>10</v>
      </c>
      <c r="D33" s="73">
        <v>6</v>
      </c>
      <c r="E33" s="73">
        <v>4</v>
      </c>
      <c r="F33" s="73">
        <v>5</v>
      </c>
      <c r="G33" s="73">
        <v>6</v>
      </c>
      <c r="H33" s="73">
        <v>4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 t="s">
        <v>602</v>
      </c>
      <c r="U33" t="str">
        <f>VLOOKUP(T33,GroupLabels!$E$2:$H$145,3,0)</f>
        <v>Finland - Swedish</v>
      </c>
    </row>
    <row r="34" spans="1:21" x14ac:dyDescent="0.25">
      <c r="A34" t="s">
        <v>3083</v>
      </c>
      <c r="B34" s="73">
        <v>10</v>
      </c>
      <c r="C34" s="73">
        <v>10</v>
      </c>
      <c r="D34" s="73">
        <v>6</v>
      </c>
      <c r="E34" s="73">
        <v>4</v>
      </c>
      <c r="F34" s="73">
        <v>5</v>
      </c>
      <c r="G34" s="73">
        <v>6</v>
      </c>
      <c r="H34" s="73">
        <v>4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 t="s">
        <v>603</v>
      </c>
      <c r="U34" t="str">
        <f>VLOOKUP(T34,GroupLabels!$E$2:$H$145,3,0)</f>
        <v>France - French</v>
      </c>
    </row>
    <row r="35" spans="1:21" x14ac:dyDescent="0.25">
      <c r="A35" t="s">
        <v>2920</v>
      </c>
      <c r="B35" s="73">
        <v>10</v>
      </c>
      <c r="C35" s="73">
        <v>10</v>
      </c>
      <c r="D35" s="73">
        <v>6</v>
      </c>
      <c r="E35" s="73">
        <v>4</v>
      </c>
      <c r="F35" s="73">
        <v>5</v>
      </c>
      <c r="G35" s="73">
        <v>6</v>
      </c>
      <c r="H35" s="73">
        <v>4</v>
      </c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 t="s">
        <v>604</v>
      </c>
      <c r="U35" t="str">
        <f>VLOOKUP(T35,GroupLabels!$E$2:$H$145,3,0)</f>
        <v>Georgia - Azerbaijani</v>
      </c>
    </row>
    <row r="36" spans="1:21" x14ac:dyDescent="0.25">
      <c r="A36" t="s">
        <v>3136</v>
      </c>
      <c r="B36" s="73">
        <v>10</v>
      </c>
      <c r="C36" s="73">
        <v>10</v>
      </c>
      <c r="D36" s="73">
        <v>6</v>
      </c>
      <c r="E36" s="73">
        <v>4</v>
      </c>
      <c r="F36" s="73">
        <v>5</v>
      </c>
      <c r="G36" s="73">
        <v>6</v>
      </c>
      <c r="H36" s="73">
        <v>4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 t="s">
        <v>605</v>
      </c>
      <c r="U36" t="str">
        <f>VLOOKUP(T36,GroupLabels!$E$2:$H$145,3,0)</f>
        <v>Georgia - Georgian</v>
      </c>
    </row>
    <row r="37" spans="1:21" x14ac:dyDescent="0.25">
      <c r="A37" t="s">
        <v>3211</v>
      </c>
      <c r="B37" s="73">
        <v>10</v>
      </c>
      <c r="C37" s="73">
        <v>10</v>
      </c>
      <c r="D37" s="73">
        <v>6</v>
      </c>
      <c r="E37" s="73">
        <v>4</v>
      </c>
      <c r="F37" s="73">
        <v>5</v>
      </c>
      <c r="G37" s="73">
        <v>6</v>
      </c>
      <c r="H37" s="73">
        <v>4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 t="s">
        <v>606</v>
      </c>
      <c r="U37" t="str">
        <f>VLOOKUP(T37,GroupLabels!$E$2:$H$145,3,0)</f>
        <v>Georgia - Russian</v>
      </c>
    </row>
    <row r="38" spans="1:21" x14ac:dyDescent="0.25">
      <c r="A38" t="s">
        <v>767</v>
      </c>
      <c r="B38" s="73">
        <v>10</v>
      </c>
      <c r="C38" s="73">
        <v>10</v>
      </c>
      <c r="D38" s="73">
        <v>6</v>
      </c>
      <c r="E38" s="73">
        <v>4</v>
      </c>
      <c r="F38" s="73">
        <v>5</v>
      </c>
      <c r="G38" s="73" t="s">
        <v>3476</v>
      </c>
      <c r="H38" s="73">
        <v>4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 t="s">
        <v>607</v>
      </c>
      <c r="U38" t="str">
        <f>VLOOKUP(T38,GroupLabels!$E$2:$H$145,3,0)</f>
        <v>Germany - German</v>
      </c>
    </row>
    <row r="39" spans="1:21" x14ac:dyDescent="0.25">
      <c r="A39" t="s">
        <v>2976</v>
      </c>
      <c r="B39" s="73">
        <v>10</v>
      </c>
      <c r="C39" s="73">
        <v>10</v>
      </c>
      <c r="D39" s="73">
        <v>6</v>
      </c>
      <c r="E39" s="73">
        <v>4</v>
      </c>
      <c r="F39" s="73">
        <v>5</v>
      </c>
      <c r="G39" s="73">
        <v>6</v>
      </c>
      <c r="H39" s="73">
        <v>4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 t="s">
        <v>608</v>
      </c>
      <c r="U39" t="str">
        <f>VLOOKUP(T39,GroupLabels!$E$2:$H$145,3,0)</f>
        <v>Greece - Modern Greek</v>
      </c>
    </row>
    <row r="40" spans="1:21" x14ac:dyDescent="0.25">
      <c r="A40" t="s">
        <v>3050</v>
      </c>
      <c r="B40" s="73">
        <v>10</v>
      </c>
      <c r="C40" s="73">
        <v>10</v>
      </c>
      <c r="D40" s="73">
        <v>6</v>
      </c>
      <c r="E40" s="73">
        <v>4</v>
      </c>
      <c r="F40" s="73">
        <v>5</v>
      </c>
      <c r="G40" s="73">
        <v>6</v>
      </c>
      <c r="H40" s="73">
        <v>4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 t="s">
        <v>609</v>
      </c>
      <c r="U40" t="str">
        <f>VLOOKUP(T40,GroupLabels!$E$2:$H$145,3,0)</f>
        <v>Guatemala - Spanish</v>
      </c>
    </row>
    <row r="41" spans="1:21" x14ac:dyDescent="0.25">
      <c r="A41" t="s">
        <v>3278</v>
      </c>
      <c r="B41" s="73">
        <v>10</v>
      </c>
      <c r="C41" s="73">
        <v>10</v>
      </c>
      <c r="D41" s="73">
        <v>6</v>
      </c>
      <c r="E41" s="73">
        <v>4</v>
      </c>
      <c r="F41" s="73">
        <v>5</v>
      </c>
      <c r="G41" s="73">
        <v>6</v>
      </c>
      <c r="H41" s="73">
        <v>4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 t="s">
        <v>610</v>
      </c>
      <c r="U41" t="str">
        <f>VLOOKUP(T41,GroupLabels!$E$2:$H$145,3,0)</f>
        <v>Hong Kong (China) - Chinese</v>
      </c>
    </row>
    <row r="42" spans="1:21" x14ac:dyDescent="0.25">
      <c r="A42" t="s">
        <v>2993</v>
      </c>
      <c r="B42" s="73">
        <v>10</v>
      </c>
      <c r="C42" s="73">
        <v>10</v>
      </c>
      <c r="D42" s="73">
        <v>6</v>
      </c>
      <c r="E42" s="73">
        <v>4</v>
      </c>
      <c r="F42" s="73">
        <v>5</v>
      </c>
      <c r="G42" s="73">
        <v>6</v>
      </c>
      <c r="H42" s="73">
        <v>4</v>
      </c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 t="s">
        <v>611</v>
      </c>
      <c r="U42" t="str">
        <f>VLOOKUP(T42,GroupLabels!$E$2:$H$145,3,0)</f>
        <v>Hong Kong (China) - English</v>
      </c>
    </row>
    <row r="43" spans="1:21" x14ac:dyDescent="0.25">
      <c r="A43" t="s">
        <v>3103</v>
      </c>
      <c r="B43" s="73">
        <v>10</v>
      </c>
      <c r="C43" s="73">
        <v>10</v>
      </c>
      <c r="D43" s="73">
        <v>6</v>
      </c>
      <c r="E43" s="73">
        <v>4</v>
      </c>
      <c r="F43" s="73">
        <v>5</v>
      </c>
      <c r="G43" s="73">
        <v>6</v>
      </c>
      <c r="H43" s="73">
        <v>4</v>
      </c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 t="s">
        <v>612</v>
      </c>
      <c r="U43" t="str">
        <f>VLOOKUP(T43,GroupLabels!$E$2:$H$145,3,0)</f>
        <v>Hungary - Hungarian</v>
      </c>
    </row>
    <row r="44" spans="1:21" x14ac:dyDescent="0.25">
      <c r="A44" t="s">
        <v>3122</v>
      </c>
      <c r="B44" s="73">
        <v>10</v>
      </c>
      <c r="C44" s="73">
        <v>10</v>
      </c>
      <c r="D44" s="73">
        <v>6</v>
      </c>
      <c r="E44" s="73">
        <v>4</v>
      </c>
      <c r="F44" s="73">
        <v>5</v>
      </c>
      <c r="G44" s="73">
        <v>6</v>
      </c>
      <c r="H44" s="73">
        <v>4</v>
      </c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 t="s">
        <v>613</v>
      </c>
      <c r="U44" t="str">
        <f>VLOOKUP(T44,GroupLabels!$E$2:$H$145,3,0)</f>
        <v>Iceland - Icelandic</v>
      </c>
    </row>
    <row r="45" spans="1:21" x14ac:dyDescent="0.25">
      <c r="A45" t="s">
        <v>3118</v>
      </c>
      <c r="B45" s="73">
        <v>10</v>
      </c>
      <c r="C45" s="73">
        <v>10</v>
      </c>
      <c r="D45" s="73">
        <v>6</v>
      </c>
      <c r="E45" s="73">
        <v>4</v>
      </c>
      <c r="F45" s="73">
        <v>5</v>
      </c>
      <c r="G45" s="73">
        <v>6</v>
      </c>
      <c r="H45" s="73">
        <v>4</v>
      </c>
      <c r="I45" s="33"/>
      <c r="J45" s="73"/>
      <c r="K45" s="73"/>
      <c r="L45" s="73"/>
      <c r="M45" s="73"/>
      <c r="N45" s="73"/>
      <c r="O45" s="73"/>
      <c r="P45" s="73"/>
      <c r="Q45" s="33"/>
      <c r="R45" s="33"/>
      <c r="S45" s="33"/>
      <c r="T45" s="33" t="s">
        <v>614</v>
      </c>
      <c r="U45" t="str">
        <f>VLOOKUP(T45,GroupLabels!$E$2:$H$145,3,0)</f>
        <v>Indonesia - Indonesian</v>
      </c>
    </row>
    <row r="46" spans="1:21" x14ac:dyDescent="0.25">
      <c r="A46" t="s">
        <v>2995</v>
      </c>
      <c r="B46" s="73">
        <v>10</v>
      </c>
      <c r="C46" s="73">
        <v>10</v>
      </c>
      <c r="D46" s="73">
        <v>6</v>
      </c>
      <c r="E46" s="73">
        <v>4</v>
      </c>
      <c r="F46" s="73">
        <v>5</v>
      </c>
      <c r="G46" s="73">
        <v>7</v>
      </c>
      <c r="H46" s="73">
        <v>4</v>
      </c>
      <c r="I46" s="33"/>
      <c r="J46" s="73"/>
      <c r="K46" s="73"/>
      <c r="L46" s="73"/>
      <c r="M46" s="73"/>
      <c r="N46" s="73"/>
      <c r="O46" s="73"/>
      <c r="P46" s="73"/>
      <c r="Q46" s="33"/>
      <c r="R46" s="33"/>
      <c r="S46" s="33"/>
      <c r="T46" s="33" t="s">
        <v>615</v>
      </c>
      <c r="U46" t="str">
        <f>VLOOKUP(T46,GroupLabels!$E$2:$H$145,3,0)</f>
        <v>Ireland - English</v>
      </c>
    </row>
    <row r="47" spans="1:21" x14ac:dyDescent="0.25">
      <c r="A47" t="s">
        <v>3088</v>
      </c>
      <c r="B47" s="73">
        <v>10</v>
      </c>
      <c r="C47" s="73">
        <v>10</v>
      </c>
      <c r="D47" s="73">
        <v>6</v>
      </c>
      <c r="E47" s="73">
        <v>4</v>
      </c>
      <c r="F47" s="73">
        <v>5</v>
      </c>
      <c r="G47" s="73">
        <v>7</v>
      </c>
      <c r="H47" s="73">
        <v>4</v>
      </c>
      <c r="I47" s="33"/>
      <c r="J47" s="73"/>
      <c r="K47" s="73"/>
      <c r="L47" s="73"/>
      <c r="M47" s="73"/>
      <c r="N47" s="73"/>
      <c r="O47" s="73"/>
      <c r="P47" s="73"/>
      <c r="Q47" s="33"/>
      <c r="R47" s="33"/>
      <c r="S47" s="33"/>
      <c r="T47" s="33" t="s">
        <v>616</v>
      </c>
      <c r="U47" t="str">
        <f>VLOOKUP(T47,GroupLabels!$E$2:$H$145,3,0)</f>
        <v>Ireland - Irish Gaeilge</v>
      </c>
    </row>
    <row r="48" spans="1:21" x14ac:dyDescent="0.25">
      <c r="A48" t="s">
        <v>2467</v>
      </c>
      <c r="B48" s="73" t="s">
        <v>3476</v>
      </c>
      <c r="C48" s="73" t="s">
        <v>3476</v>
      </c>
      <c r="D48" s="73">
        <v>6</v>
      </c>
      <c r="E48" s="73">
        <v>4</v>
      </c>
      <c r="F48" s="73">
        <v>5</v>
      </c>
      <c r="G48" s="73" t="s">
        <v>3476</v>
      </c>
      <c r="H48" s="73">
        <v>4</v>
      </c>
      <c r="I48" s="33"/>
      <c r="J48" s="73"/>
      <c r="K48" s="73"/>
      <c r="L48" s="73"/>
      <c r="M48" s="73"/>
      <c r="N48" s="73"/>
      <c r="O48" s="73"/>
      <c r="P48" s="73"/>
      <c r="Q48" s="33"/>
      <c r="R48" s="33"/>
      <c r="S48" s="33"/>
      <c r="T48" s="33" t="s">
        <v>618</v>
      </c>
      <c r="U48" t="str">
        <f>VLOOKUP(T48,GroupLabels!$E$2:$H$145,3,0)</f>
        <v>Israel - Haredi*</v>
      </c>
    </row>
    <row r="49" spans="1:21" x14ac:dyDescent="0.25">
      <c r="A49" t="s">
        <v>3094</v>
      </c>
      <c r="B49" s="73">
        <v>10</v>
      </c>
      <c r="C49" s="73">
        <v>10</v>
      </c>
      <c r="D49" s="73">
        <v>6</v>
      </c>
      <c r="E49" s="73">
        <v>4</v>
      </c>
      <c r="F49" s="73">
        <v>5</v>
      </c>
      <c r="G49" s="73">
        <v>6</v>
      </c>
      <c r="H49" s="73">
        <v>4</v>
      </c>
      <c r="I49" s="33"/>
      <c r="J49" s="73"/>
      <c r="K49" s="73"/>
      <c r="L49" s="73"/>
      <c r="M49" s="73"/>
      <c r="N49" s="73"/>
      <c r="O49" s="73"/>
      <c r="P49" s="73"/>
      <c r="Q49" s="33"/>
      <c r="R49" s="33"/>
      <c r="S49" s="33"/>
      <c r="T49" s="33" t="s">
        <v>619</v>
      </c>
      <c r="U49" t="str">
        <f>VLOOKUP(T49,GroupLabels!$E$2:$H$145,3,0)</f>
        <v>Israel - Hebrew*</v>
      </c>
    </row>
    <row r="50" spans="1:21" x14ac:dyDescent="0.25">
      <c r="A50" t="s">
        <v>2967</v>
      </c>
      <c r="B50" s="73">
        <v>10</v>
      </c>
      <c r="C50" s="73">
        <v>10</v>
      </c>
      <c r="D50" s="73">
        <v>6</v>
      </c>
      <c r="E50" s="73">
        <v>4</v>
      </c>
      <c r="F50" s="73">
        <v>5</v>
      </c>
      <c r="G50" s="73">
        <v>6</v>
      </c>
      <c r="H50" s="73">
        <v>4</v>
      </c>
      <c r="I50" s="33"/>
      <c r="J50" s="73"/>
      <c r="K50" s="73"/>
      <c r="L50" s="73"/>
      <c r="M50" s="73"/>
      <c r="N50" s="73"/>
      <c r="O50" s="73"/>
      <c r="P50" s="73"/>
      <c r="Q50" s="33"/>
      <c r="R50" s="33"/>
      <c r="S50" s="33"/>
      <c r="T50" s="33" t="s">
        <v>620</v>
      </c>
      <c r="U50" t="str">
        <f>VLOOKUP(T50,GroupLabels!$E$2:$H$145,3,0)</f>
        <v>Italy - German</v>
      </c>
    </row>
    <row r="51" spans="1:21" x14ac:dyDescent="0.25">
      <c r="A51" t="s">
        <v>3126</v>
      </c>
      <c r="B51" s="73">
        <v>10</v>
      </c>
      <c r="C51" s="73">
        <v>10</v>
      </c>
      <c r="D51" s="73">
        <v>6</v>
      </c>
      <c r="E51" s="73">
        <v>4</v>
      </c>
      <c r="F51" s="73">
        <v>5</v>
      </c>
      <c r="G51" s="73">
        <v>6</v>
      </c>
      <c r="H51" s="73">
        <v>4</v>
      </c>
      <c r="I51" s="33"/>
      <c r="J51" s="73"/>
      <c r="K51" s="73"/>
      <c r="L51" s="73"/>
      <c r="M51" s="73"/>
      <c r="N51" s="73"/>
      <c r="O51" s="73"/>
      <c r="P51" s="73"/>
      <c r="Q51" s="33"/>
      <c r="R51" s="33"/>
      <c r="S51" s="33"/>
      <c r="T51" s="33" t="s">
        <v>621</v>
      </c>
      <c r="U51" t="str">
        <f>VLOOKUP(T51,GroupLabels!$E$2:$H$145,3,0)</f>
        <v>Italy - Italian</v>
      </c>
    </row>
    <row r="52" spans="1:21" x14ac:dyDescent="0.25">
      <c r="A52" t="s">
        <v>768</v>
      </c>
      <c r="B52" s="73">
        <v>10</v>
      </c>
      <c r="C52" s="73">
        <v>10</v>
      </c>
      <c r="D52" s="73" t="s">
        <v>3476</v>
      </c>
      <c r="E52" s="73">
        <v>4</v>
      </c>
      <c r="F52" s="73">
        <v>5</v>
      </c>
      <c r="G52" s="73" t="s">
        <v>3476</v>
      </c>
      <c r="H52" s="73">
        <v>4</v>
      </c>
      <c r="I52" s="33"/>
      <c r="J52" s="73"/>
      <c r="K52" s="73"/>
      <c r="L52" s="73"/>
      <c r="M52" s="73"/>
      <c r="N52" s="73"/>
      <c r="O52" s="73"/>
      <c r="P52" s="73"/>
      <c r="Q52" s="33"/>
      <c r="R52" s="33"/>
      <c r="S52" s="33"/>
      <c r="T52" s="33" t="s">
        <v>622</v>
      </c>
      <c r="U52" t="str">
        <f>VLOOKUP(T52,GroupLabels!$E$2:$H$145,3,0)</f>
        <v>Japan - Japanese</v>
      </c>
    </row>
    <row r="53" spans="1:21" x14ac:dyDescent="0.25">
      <c r="A53" t="s">
        <v>2903</v>
      </c>
      <c r="B53" s="73">
        <v>10</v>
      </c>
      <c r="C53" s="73">
        <v>10</v>
      </c>
      <c r="D53" s="73">
        <v>6</v>
      </c>
      <c r="E53" s="73">
        <v>4</v>
      </c>
      <c r="F53" s="73">
        <v>5</v>
      </c>
      <c r="G53" s="73">
        <v>6</v>
      </c>
      <c r="H53" s="73">
        <v>4</v>
      </c>
      <c r="I53" s="33"/>
      <c r="J53" s="73"/>
      <c r="K53" s="73"/>
      <c r="L53" s="73"/>
      <c r="M53" s="73"/>
      <c r="N53" s="73"/>
      <c r="O53" s="73"/>
      <c r="P53" s="73"/>
      <c r="Q53" s="33"/>
      <c r="R53" s="33"/>
      <c r="S53" s="33"/>
      <c r="T53" s="33" t="s">
        <v>623</v>
      </c>
      <c r="U53" t="str">
        <f>VLOOKUP(T53,GroupLabels!$E$2:$H$145,3,0)</f>
        <v>Jordan - Arabic</v>
      </c>
    </row>
    <row r="54" spans="1:21" x14ac:dyDescent="0.25">
      <c r="A54" t="s">
        <v>3141</v>
      </c>
      <c r="B54" s="73">
        <v>10</v>
      </c>
      <c r="C54" s="73">
        <v>10</v>
      </c>
      <c r="D54" s="73">
        <v>6</v>
      </c>
      <c r="E54" s="73">
        <v>4</v>
      </c>
      <c r="F54" s="73">
        <v>5</v>
      </c>
      <c r="G54" s="73">
        <v>6</v>
      </c>
      <c r="H54" s="73">
        <v>4</v>
      </c>
      <c r="I54" s="33"/>
      <c r="J54" s="73"/>
      <c r="K54" s="73"/>
      <c r="L54" s="73"/>
      <c r="M54" s="73"/>
      <c r="N54" s="73"/>
      <c r="O54" s="73"/>
      <c r="P54" s="73"/>
      <c r="Q54" s="33"/>
      <c r="R54" s="33"/>
      <c r="S54" s="33"/>
      <c r="T54" s="33" t="s">
        <v>624</v>
      </c>
      <c r="U54" t="str">
        <f>VLOOKUP(T54,GroupLabels!$E$2:$H$145,3,0)</f>
        <v>Kazakhstan - Kazakh</v>
      </c>
    </row>
    <row r="55" spans="1:21" x14ac:dyDescent="0.25">
      <c r="A55" t="s">
        <v>3213</v>
      </c>
      <c r="B55" s="73">
        <v>10</v>
      </c>
      <c r="C55" s="73">
        <v>10</v>
      </c>
      <c r="D55" s="73">
        <v>6</v>
      </c>
      <c r="E55" s="73">
        <v>4</v>
      </c>
      <c r="F55" s="73">
        <v>5</v>
      </c>
      <c r="G55" s="73">
        <v>6</v>
      </c>
      <c r="H55" s="73">
        <v>4</v>
      </c>
      <c r="I55" s="33"/>
      <c r="J55" s="73"/>
      <c r="K55" s="73"/>
      <c r="L55" s="73"/>
      <c r="M55" s="73"/>
      <c r="N55" s="73"/>
      <c r="O55" s="73"/>
      <c r="P55" s="73"/>
      <c r="Q55" s="33"/>
      <c r="R55" s="33"/>
      <c r="S55" s="33"/>
      <c r="T55" s="33" t="s">
        <v>625</v>
      </c>
      <c r="U55" t="str">
        <f>VLOOKUP(T55,GroupLabels!$E$2:$H$145,3,0)</f>
        <v>Kazakhstan - Russian</v>
      </c>
    </row>
    <row r="56" spans="1:21" x14ac:dyDescent="0.25">
      <c r="A56" t="s">
        <v>940</v>
      </c>
      <c r="B56" s="73">
        <v>10</v>
      </c>
      <c r="C56" s="73">
        <v>10</v>
      </c>
      <c r="D56" s="73">
        <v>6</v>
      </c>
      <c r="E56" s="73">
        <v>4</v>
      </c>
      <c r="F56" s="73">
        <v>5</v>
      </c>
      <c r="G56" s="73">
        <v>6</v>
      </c>
      <c r="H56" s="73">
        <v>4</v>
      </c>
      <c r="I56" s="33"/>
      <c r="J56" s="73"/>
      <c r="K56" s="73"/>
      <c r="L56" s="73"/>
      <c r="M56" s="73"/>
      <c r="N56" s="73"/>
      <c r="O56" s="73"/>
      <c r="P56" s="73"/>
      <c r="Q56" s="33"/>
      <c r="R56" s="33"/>
      <c r="S56" s="33"/>
      <c r="T56" s="33" t="s">
        <v>626</v>
      </c>
      <c r="U56" t="str">
        <f>VLOOKUP(T56,GroupLabels!$E$2:$H$145,3,0)</f>
        <v>Kenya - English</v>
      </c>
    </row>
    <row r="57" spans="1:21" x14ac:dyDescent="0.25">
      <c r="A57" t="s">
        <v>3154</v>
      </c>
      <c r="B57" s="73">
        <v>10</v>
      </c>
      <c r="C57" s="73">
        <v>10</v>
      </c>
      <c r="D57" s="73">
        <v>6</v>
      </c>
      <c r="E57" s="73">
        <v>4</v>
      </c>
      <c r="F57" s="73">
        <v>5</v>
      </c>
      <c r="G57" s="73">
        <v>6</v>
      </c>
      <c r="H57" s="73">
        <v>4</v>
      </c>
      <c r="I57" s="33"/>
      <c r="J57" s="73"/>
      <c r="K57" s="73"/>
      <c r="L57" s="73"/>
      <c r="M57" s="73"/>
      <c r="N57" s="73"/>
      <c r="O57" s="73"/>
      <c r="P57" s="73"/>
      <c r="Q57" s="33"/>
      <c r="R57" s="33"/>
      <c r="S57" s="33"/>
      <c r="T57" s="33" t="s">
        <v>627</v>
      </c>
      <c r="U57" t="str">
        <f>VLOOKUP(T57,GroupLabels!$E$2:$H$145,3,0)</f>
        <v>Korea - Korean</v>
      </c>
    </row>
    <row r="58" spans="1:21" x14ac:dyDescent="0.25">
      <c r="A58" t="s">
        <v>3236</v>
      </c>
      <c r="B58" s="73">
        <v>10</v>
      </c>
      <c r="C58" s="73">
        <v>10</v>
      </c>
      <c r="D58" s="73">
        <v>6</v>
      </c>
      <c r="E58" s="73">
        <v>4</v>
      </c>
      <c r="F58" s="73">
        <v>5</v>
      </c>
      <c r="G58" s="73">
        <v>6</v>
      </c>
      <c r="H58" s="73">
        <v>4</v>
      </c>
      <c r="I58" s="33"/>
      <c r="J58" s="73"/>
      <c r="K58" s="73"/>
      <c r="L58" s="73"/>
      <c r="M58" s="73"/>
      <c r="N58" s="73"/>
      <c r="O58" s="73"/>
      <c r="P58" s="73"/>
      <c r="Q58" s="33"/>
      <c r="R58" s="33"/>
      <c r="S58" s="33"/>
      <c r="T58" s="33" t="s">
        <v>628</v>
      </c>
      <c r="U58" t="str">
        <f>VLOOKUP(T58,GroupLabels!$E$2:$H$145,3,0)</f>
        <v>Kosovo - Albanian*</v>
      </c>
    </row>
    <row r="59" spans="1:21" x14ac:dyDescent="0.25">
      <c r="A59" t="s">
        <v>3159</v>
      </c>
      <c r="B59" s="73">
        <v>10</v>
      </c>
      <c r="C59" s="73">
        <v>10</v>
      </c>
      <c r="D59" s="73">
        <v>6</v>
      </c>
      <c r="E59" s="73">
        <v>4</v>
      </c>
      <c r="F59" s="73">
        <v>5</v>
      </c>
      <c r="G59" s="73">
        <v>6</v>
      </c>
      <c r="H59" s="73">
        <v>4</v>
      </c>
      <c r="I59" s="33"/>
      <c r="J59" s="73"/>
      <c r="K59" s="73"/>
      <c r="L59" s="73"/>
      <c r="M59" s="73"/>
      <c r="N59" s="73"/>
      <c r="O59" s="73"/>
      <c r="P59" s="73"/>
      <c r="Q59" s="33"/>
      <c r="R59" s="33"/>
      <c r="S59" s="33"/>
      <c r="T59" s="33" t="s">
        <v>632</v>
      </c>
      <c r="U59" t="str">
        <f>VLOOKUP(T59,GroupLabels!$E$2:$H$145,3,0)</f>
        <v>Kyrgyzstan - Kyrgyz / Kirghiz</v>
      </c>
    </row>
    <row r="60" spans="1:21" x14ac:dyDescent="0.25">
      <c r="A60" t="s">
        <v>3212</v>
      </c>
      <c r="B60" s="73">
        <v>10</v>
      </c>
      <c r="C60" s="73">
        <v>10</v>
      </c>
      <c r="D60" s="73">
        <v>6</v>
      </c>
      <c r="E60" s="73">
        <v>4</v>
      </c>
      <c r="F60" s="73">
        <v>5</v>
      </c>
      <c r="G60" s="73">
        <v>6</v>
      </c>
      <c r="H60" s="73">
        <v>4</v>
      </c>
      <c r="I60" s="33"/>
      <c r="J60" s="73"/>
      <c r="K60" s="73"/>
      <c r="L60" s="73"/>
      <c r="M60" s="73"/>
      <c r="N60" s="73"/>
      <c r="O60" s="73"/>
      <c r="P60" s="73"/>
      <c r="Q60" s="33"/>
      <c r="R60" s="33"/>
      <c r="S60" s="33"/>
      <c r="T60" s="33" t="s">
        <v>633</v>
      </c>
      <c r="U60" t="str">
        <f>VLOOKUP(T60,GroupLabels!$E$2:$H$145,3,0)</f>
        <v>Kyrgyzstan - Russian</v>
      </c>
    </row>
    <row r="61" spans="1:21" x14ac:dyDescent="0.25">
      <c r="A61" t="s">
        <v>3266</v>
      </c>
      <c r="B61" s="73" t="s">
        <v>3480</v>
      </c>
      <c r="C61" s="73" t="s">
        <v>3480</v>
      </c>
      <c r="D61" s="73" t="s">
        <v>3480</v>
      </c>
      <c r="E61" s="73" t="s">
        <v>3480</v>
      </c>
      <c r="F61" s="73" t="s">
        <v>3480</v>
      </c>
      <c r="G61" s="73" t="s">
        <v>3480</v>
      </c>
      <c r="H61" s="73" t="s">
        <v>3480</v>
      </c>
      <c r="I61" s="33"/>
      <c r="J61" s="73"/>
      <c r="K61" s="73"/>
      <c r="L61" s="73"/>
      <c r="M61" s="73"/>
      <c r="N61" s="73"/>
      <c r="O61" s="73"/>
      <c r="P61" s="73"/>
      <c r="Q61" s="33"/>
      <c r="R61" s="33"/>
      <c r="S61" s="33"/>
      <c r="T61" s="33" t="s">
        <v>634</v>
      </c>
      <c r="U61" t="str">
        <f>VLOOKUP(T61,GroupLabels!$E$2:$H$145,3,0)</f>
        <v>Kyrgyzstan - Uzbekistani</v>
      </c>
    </row>
    <row r="62" spans="1:21" x14ac:dyDescent="0.25">
      <c r="A62" t="s">
        <v>3167</v>
      </c>
      <c r="B62" s="73">
        <v>10</v>
      </c>
      <c r="C62" s="73">
        <v>10</v>
      </c>
      <c r="D62" s="73">
        <v>6</v>
      </c>
      <c r="E62" s="73">
        <v>4</v>
      </c>
      <c r="F62" s="73">
        <v>5</v>
      </c>
      <c r="G62" s="73">
        <v>6</v>
      </c>
      <c r="H62" s="73">
        <v>4</v>
      </c>
      <c r="I62" s="33"/>
      <c r="J62" s="73"/>
      <c r="K62" s="73"/>
      <c r="L62" s="73"/>
      <c r="M62" s="73"/>
      <c r="N62" s="73"/>
      <c r="O62" s="73"/>
      <c r="P62" s="73"/>
      <c r="Q62" s="33"/>
      <c r="R62" s="33"/>
      <c r="S62" s="33"/>
      <c r="T62" s="33" t="s">
        <v>635</v>
      </c>
      <c r="U62" t="str">
        <f>VLOOKUP(T62,GroupLabels!$E$2:$H$145,3,0)</f>
        <v>Latvia - Latvian</v>
      </c>
    </row>
    <row r="63" spans="1:21" x14ac:dyDescent="0.25">
      <c r="A63" t="s">
        <v>3003</v>
      </c>
      <c r="B63" s="73">
        <v>10</v>
      </c>
      <c r="C63" s="73">
        <v>10</v>
      </c>
      <c r="D63" s="73">
        <v>6</v>
      </c>
      <c r="E63" s="73">
        <v>4</v>
      </c>
      <c r="F63" s="73">
        <v>5</v>
      </c>
      <c r="G63" s="73">
        <v>6</v>
      </c>
      <c r="H63" s="73">
        <v>4</v>
      </c>
      <c r="I63" s="33"/>
      <c r="J63" s="73"/>
      <c r="K63" s="73"/>
      <c r="L63" s="73"/>
      <c r="M63" s="73"/>
      <c r="N63" s="73"/>
      <c r="O63" s="73"/>
      <c r="P63" s="73"/>
      <c r="Q63" s="33"/>
      <c r="R63" s="33"/>
      <c r="S63" s="33"/>
      <c r="T63" s="33" t="s">
        <v>636</v>
      </c>
      <c r="U63" t="str">
        <f>VLOOKUP(T63,GroupLabels!$E$2:$H$145,3,0)</f>
        <v>Lebanon - English*</v>
      </c>
    </row>
    <row r="64" spans="1:21" x14ac:dyDescent="0.25">
      <c r="A64" t="s">
        <v>3084</v>
      </c>
      <c r="B64" s="73">
        <v>10</v>
      </c>
      <c r="C64" s="73">
        <v>10</v>
      </c>
      <c r="D64" s="73">
        <v>6</v>
      </c>
      <c r="E64" s="73">
        <v>4</v>
      </c>
      <c r="F64" s="73">
        <v>5</v>
      </c>
      <c r="G64" s="73">
        <v>6</v>
      </c>
      <c r="H64" s="73">
        <v>4</v>
      </c>
      <c r="I64" s="33"/>
      <c r="J64" s="73"/>
      <c r="K64" s="73"/>
      <c r="L64" s="73"/>
      <c r="M64" s="73"/>
      <c r="N64" s="73"/>
      <c r="O64" s="73"/>
      <c r="P64" s="73"/>
      <c r="Q64" s="33"/>
      <c r="R64" s="33"/>
      <c r="S64" s="33"/>
      <c r="T64" s="33" t="s">
        <v>637</v>
      </c>
      <c r="U64" t="str">
        <f>VLOOKUP(T64,GroupLabels!$E$2:$H$145,3,0)</f>
        <v>Lebanon - French*</v>
      </c>
    </row>
    <row r="65" spans="1:21" x14ac:dyDescent="0.25">
      <c r="A65" t="s">
        <v>3163</v>
      </c>
      <c r="B65" s="73">
        <v>10</v>
      </c>
      <c r="C65" s="73">
        <v>10</v>
      </c>
      <c r="D65" s="73">
        <v>6</v>
      </c>
      <c r="E65" s="73">
        <v>4</v>
      </c>
      <c r="F65" s="73">
        <v>5</v>
      </c>
      <c r="G65" s="73">
        <v>6</v>
      </c>
      <c r="H65" s="73">
        <v>4</v>
      </c>
      <c r="I65" s="33"/>
      <c r="J65" s="73"/>
      <c r="K65" s="73"/>
      <c r="L65" s="73"/>
      <c r="M65" s="73"/>
      <c r="N65" s="73"/>
      <c r="O65" s="73"/>
      <c r="P65" s="73"/>
      <c r="Q65" s="33"/>
      <c r="R65" s="33"/>
      <c r="S65" s="33"/>
      <c r="T65" s="33" t="s">
        <v>638</v>
      </c>
      <c r="U65" t="str">
        <f>VLOOKUP(T65,GroupLabels!$E$2:$H$145,3,0)</f>
        <v>Lithuania - Lithuanian</v>
      </c>
    </row>
    <row r="66" spans="1:21" x14ac:dyDescent="0.25">
      <c r="A66" t="s">
        <v>3004</v>
      </c>
      <c r="B66" s="73" t="s">
        <v>3480</v>
      </c>
      <c r="C66" s="73" t="s">
        <v>3480</v>
      </c>
      <c r="D66" s="73" t="s">
        <v>3480</v>
      </c>
      <c r="E66" s="73" t="s">
        <v>3480</v>
      </c>
      <c r="F66" s="73" t="s">
        <v>3480</v>
      </c>
      <c r="G66" s="73" t="s">
        <v>3480</v>
      </c>
      <c r="H66" s="73" t="s">
        <v>3480</v>
      </c>
      <c r="I66" s="33"/>
      <c r="J66" s="73"/>
      <c r="K66" s="73"/>
      <c r="L66" s="73"/>
      <c r="M66" s="73"/>
      <c r="N66" s="73"/>
      <c r="O66" s="73"/>
      <c r="P66" s="73"/>
      <c r="Q66" s="33"/>
      <c r="R66" s="33"/>
      <c r="S66" s="33"/>
      <c r="T66" s="33" t="s">
        <v>641</v>
      </c>
      <c r="U66" t="str">
        <f>VLOOKUP(T66,GroupLabels!$E$2:$H$145,3,0)</f>
        <v>Luxembourg - English</v>
      </c>
    </row>
    <row r="67" spans="1:21" x14ac:dyDescent="0.25">
      <c r="A67" t="s">
        <v>3085</v>
      </c>
      <c r="B67" s="73">
        <v>10</v>
      </c>
      <c r="C67" s="73">
        <v>10</v>
      </c>
      <c r="D67" s="73">
        <v>6</v>
      </c>
      <c r="E67" s="73">
        <v>4</v>
      </c>
      <c r="F67" s="73">
        <v>5</v>
      </c>
      <c r="G67" s="73">
        <v>6</v>
      </c>
      <c r="H67" s="73">
        <v>4</v>
      </c>
      <c r="I67" s="33"/>
      <c r="J67" s="73"/>
      <c r="K67" s="73"/>
      <c r="L67" s="73"/>
      <c r="M67" s="73"/>
      <c r="N67" s="73"/>
      <c r="O67" s="73"/>
      <c r="P67" s="73"/>
      <c r="Q67" s="33"/>
      <c r="R67" s="33"/>
      <c r="S67" s="33"/>
      <c r="T67" s="33" t="s">
        <v>642</v>
      </c>
      <c r="U67" t="str">
        <f>VLOOKUP(T67,GroupLabels!$E$2:$H$145,3,0)</f>
        <v>Luxembourg - French</v>
      </c>
    </row>
    <row r="68" spans="1:21" x14ac:dyDescent="0.25">
      <c r="A68" t="s">
        <v>3007</v>
      </c>
      <c r="B68" s="73">
        <v>10</v>
      </c>
      <c r="C68" s="73">
        <v>10</v>
      </c>
      <c r="D68" s="73">
        <v>6</v>
      </c>
      <c r="E68" s="73">
        <v>4</v>
      </c>
      <c r="F68" s="73">
        <v>5</v>
      </c>
      <c r="G68" s="73">
        <v>6</v>
      </c>
      <c r="H68" s="73">
        <v>4</v>
      </c>
      <c r="I68" s="33"/>
      <c r="J68" s="73"/>
      <c r="K68" s="73"/>
      <c r="L68" s="73"/>
      <c r="M68" s="73"/>
      <c r="N68" s="73"/>
      <c r="O68" s="73"/>
      <c r="P68" s="73"/>
      <c r="Q68" s="33"/>
      <c r="R68" s="33"/>
      <c r="S68" s="33"/>
      <c r="T68" s="33" t="s">
        <v>644</v>
      </c>
      <c r="U68" t="str">
        <f>VLOOKUP(T68,GroupLabels!$E$2:$H$145,3,0)</f>
        <v>Macao (China) - English</v>
      </c>
    </row>
    <row r="69" spans="1:21" x14ac:dyDescent="0.25">
      <c r="A69" t="s">
        <v>3200</v>
      </c>
      <c r="B69" s="73">
        <v>10</v>
      </c>
      <c r="C69" s="73">
        <v>10</v>
      </c>
      <c r="D69" s="73">
        <v>5</v>
      </c>
      <c r="E69" s="73">
        <v>4</v>
      </c>
      <c r="F69" s="73">
        <v>5</v>
      </c>
      <c r="G69" s="73">
        <v>6</v>
      </c>
      <c r="H69" s="73">
        <v>4</v>
      </c>
      <c r="I69" s="33"/>
      <c r="J69" s="73"/>
      <c r="K69" s="73"/>
      <c r="L69" s="73"/>
      <c r="M69" s="73"/>
      <c r="N69" s="73"/>
      <c r="O69" s="73"/>
      <c r="P69" s="73"/>
      <c r="Q69" s="33"/>
      <c r="R69" s="33"/>
      <c r="S69" s="33"/>
      <c r="T69" s="33" t="s">
        <v>645</v>
      </c>
      <c r="U69" t="str">
        <f>VLOOKUP(T69,GroupLabels!$E$2:$H$145,3,0)</f>
        <v>Macao (China) - Portuguese</v>
      </c>
    </row>
    <row r="70" spans="1:21" x14ac:dyDescent="0.25">
      <c r="A70" t="s">
        <v>3279</v>
      </c>
      <c r="B70" s="73">
        <v>10</v>
      </c>
      <c r="C70" s="73">
        <v>10</v>
      </c>
      <c r="D70" s="73">
        <v>6</v>
      </c>
      <c r="E70" s="73">
        <v>4</v>
      </c>
      <c r="F70" s="73">
        <v>5</v>
      </c>
      <c r="G70" s="73">
        <v>6</v>
      </c>
      <c r="H70" s="73">
        <v>4</v>
      </c>
      <c r="I70" s="33"/>
      <c r="J70" s="73"/>
      <c r="K70" s="73"/>
      <c r="L70" s="73"/>
      <c r="M70" s="73"/>
      <c r="N70" s="73"/>
      <c r="O70" s="73"/>
      <c r="P70" s="73"/>
      <c r="Q70" s="33"/>
      <c r="R70" s="33"/>
      <c r="S70" s="33"/>
      <c r="T70" s="33" t="s">
        <v>646</v>
      </c>
      <c r="U70" t="str">
        <f>VLOOKUP(T70,GroupLabels!$E$2:$H$145,3,0)</f>
        <v>Macao (China) - Chinese</v>
      </c>
    </row>
    <row r="71" spans="1:21" x14ac:dyDescent="0.25">
      <c r="A71" t="s">
        <v>3234</v>
      </c>
      <c r="B71" s="73">
        <v>10</v>
      </c>
      <c r="C71" s="73">
        <v>10</v>
      </c>
      <c r="D71" s="73">
        <v>6</v>
      </c>
      <c r="E71" s="73">
        <v>4</v>
      </c>
      <c r="F71" s="73">
        <v>5</v>
      </c>
      <c r="G71" s="73">
        <v>6</v>
      </c>
      <c r="H71" s="73">
        <v>4</v>
      </c>
      <c r="I71" s="33"/>
      <c r="J71" s="73"/>
      <c r="K71" s="73"/>
      <c r="L71" s="73"/>
      <c r="M71" s="73"/>
      <c r="N71" s="73"/>
      <c r="O71" s="73"/>
      <c r="P71" s="73"/>
      <c r="Q71" s="33"/>
      <c r="R71" s="33"/>
      <c r="S71" s="33"/>
      <c r="T71" s="33" t="s">
        <v>647</v>
      </c>
      <c r="U71" t="str">
        <f>VLOOKUP(T71,GroupLabels!$E$2:$H$145,3,0)</f>
        <v>Macedonia - Albanian</v>
      </c>
    </row>
    <row r="72" spans="1:21" x14ac:dyDescent="0.25">
      <c r="A72" t="s">
        <v>3172</v>
      </c>
      <c r="B72" s="73">
        <v>10</v>
      </c>
      <c r="C72" s="73">
        <v>10</v>
      </c>
      <c r="D72" s="73">
        <v>6</v>
      </c>
      <c r="E72" s="73">
        <v>4</v>
      </c>
      <c r="F72" s="73">
        <v>5</v>
      </c>
      <c r="G72" s="73">
        <v>6</v>
      </c>
      <c r="H72" s="73">
        <v>4</v>
      </c>
      <c r="I72" s="33"/>
      <c r="J72" s="73"/>
      <c r="K72" s="73"/>
      <c r="L72" s="73"/>
      <c r="M72" s="73"/>
      <c r="N72" s="73"/>
      <c r="O72" s="73"/>
      <c r="P72" s="73"/>
      <c r="Q72" s="33"/>
      <c r="R72" s="33"/>
      <c r="S72" s="33"/>
      <c r="T72" s="33" t="s">
        <v>648</v>
      </c>
      <c r="U72" t="str">
        <f>VLOOKUP(T72,GroupLabels!$E$2:$H$145,3,0)</f>
        <v>Macedonia - Macedonian</v>
      </c>
    </row>
    <row r="73" spans="1:21" x14ac:dyDescent="0.25">
      <c r="A73" t="s">
        <v>3013</v>
      </c>
      <c r="B73" s="73">
        <v>10</v>
      </c>
      <c r="C73" s="73">
        <v>10</v>
      </c>
      <c r="D73" s="73">
        <v>6</v>
      </c>
      <c r="E73" s="73">
        <v>4</v>
      </c>
      <c r="F73" s="73">
        <v>5</v>
      </c>
      <c r="G73" s="73">
        <v>6</v>
      </c>
      <c r="H73" s="73">
        <v>4</v>
      </c>
      <c r="I73" s="33"/>
      <c r="J73" s="73"/>
      <c r="K73" s="73"/>
      <c r="L73" s="73"/>
      <c r="M73" s="73"/>
      <c r="N73" s="73"/>
      <c r="O73" s="73"/>
      <c r="P73" s="73"/>
      <c r="Q73" s="33"/>
      <c r="R73" s="33"/>
      <c r="S73" s="33"/>
      <c r="T73" s="33" t="s">
        <v>649</v>
      </c>
      <c r="U73" t="str">
        <f>VLOOKUP(T73,GroupLabels!$E$2:$H$145,3,0)</f>
        <v>Malaysia - English</v>
      </c>
    </row>
    <row r="74" spans="1:21" x14ac:dyDescent="0.25">
      <c r="A74" t="s">
        <v>3179</v>
      </c>
      <c r="B74" s="73">
        <v>10</v>
      </c>
      <c r="C74" s="73">
        <v>10</v>
      </c>
      <c r="D74" s="73">
        <v>6</v>
      </c>
      <c r="E74" s="73">
        <v>4</v>
      </c>
      <c r="F74" s="73">
        <v>5</v>
      </c>
      <c r="G74" s="73">
        <v>6</v>
      </c>
      <c r="H74" s="73">
        <v>4</v>
      </c>
      <c r="I74" s="33"/>
      <c r="J74" s="73"/>
      <c r="K74" s="73"/>
      <c r="L74" s="73"/>
      <c r="M74" s="73"/>
      <c r="N74" s="73"/>
      <c r="O74" s="73"/>
      <c r="P74" s="73"/>
      <c r="Q74" s="33"/>
      <c r="R74" s="33"/>
      <c r="S74" s="33"/>
      <c r="T74" s="33" t="s">
        <v>650</v>
      </c>
      <c r="U74" t="str">
        <f>VLOOKUP(T74,GroupLabels!$E$2:$H$145,3,0)</f>
        <v>Malaysia - Malay</v>
      </c>
    </row>
    <row r="75" spans="1:21" x14ac:dyDescent="0.25">
      <c r="A75" t="s">
        <v>3009</v>
      </c>
      <c r="B75" s="73">
        <v>10</v>
      </c>
      <c r="C75" s="73">
        <v>10</v>
      </c>
      <c r="D75" s="73">
        <v>6</v>
      </c>
      <c r="E75" s="73">
        <v>4</v>
      </c>
      <c r="F75" s="73">
        <v>5</v>
      </c>
      <c r="G75" s="73">
        <v>6</v>
      </c>
      <c r="H75" s="73">
        <v>4</v>
      </c>
      <c r="I75" s="33"/>
      <c r="J75" s="73"/>
      <c r="K75" s="73"/>
      <c r="L75" s="73"/>
      <c r="M75" s="73"/>
      <c r="N75" s="73"/>
      <c r="O75" s="73"/>
      <c r="P75" s="73"/>
      <c r="Q75" s="33"/>
      <c r="R75" s="33"/>
      <c r="S75" s="33"/>
      <c r="T75" s="33" t="s">
        <v>651</v>
      </c>
      <c r="U75" t="str">
        <f>VLOOKUP(T75,GroupLabels!$E$2:$H$145,3,0)</f>
        <v>Malta - English</v>
      </c>
    </row>
    <row r="76" spans="1:21" x14ac:dyDescent="0.25">
      <c r="A76" t="s">
        <v>3053</v>
      </c>
      <c r="B76" s="73">
        <v>10</v>
      </c>
      <c r="C76" s="73">
        <v>10</v>
      </c>
      <c r="D76" s="73">
        <v>6</v>
      </c>
      <c r="E76" s="73">
        <v>4</v>
      </c>
      <c r="F76" s="73">
        <v>5</v>
      </c>
      <c r="G76" s="73">
        <v>6</v>
      </c>
      <c r="H76" s="73">
        <v>4</v>
      </c>
      <c r="I76" s="33"/>
      <c r="J76" s="73"/>
      <c r="K76" s="73"/>
      <c r="L76" s="73"/>
      <c r="M76" s="73"/>
      <c r="N76" s="73"/>
      <c r="O76" s="73"/>
      <c r="P76" s="73"/>
      <c r="Q76" s="33"/>
      <c r="R76" s="33"/>
      <c r="S76" s="33"/>
      <c r="T76" s="33" t="s">
        <v>653</v>
      </c>
      <c r="U76" t="str">
        <f>VLOOKUP(T76,GroupLabels!$E$2:$H$145,3,0)</f>
        <v>Mexico - Spanish</v>
      </c>
    </row>
    <row r="77" spans="1:21" x14ac:dyDescent="0.25">
      <c r="A77" t="s">
        <v>3206</v>
      </c>
      <c r="B77" s="73">
        <v>10</v>
      </c>
      <c r="C77" s="73">
        <v>10</v>
      </c>
      <c r="D77" s="73">
        <v>6</v>
      </c>
      <c r="E77" s="73">
        <v>4</v>
      </c>
      <c r="F77" s="73">
        <v>5</v>
      </c>
      <c r="G77" s="73">
        <v>6</v>
      </c>
      <c r="H77" s="73">
        <v>4</v>
      </c>
      <c r="I77" s="33"/>
      <c r="J77" s="73"/>
      <c r="K77" s="73"/>
      <c r="L77" s="73"/>
      <c r="M77" s="73"/>
      <c r="N77" s="73"/>
      <c r="O77" s="73"/>
      <c r="P77" s="73"/>
      <c r="Q77" s="33"/>
      <c r="R77" s="33"/>
      <c r="S77" s="33"/>
      <c r="T77" s="33" t="s">
        <v>654</v>
      </c>
      <c r="U77" t="str">
        <f>VLOOKUP(T77,GroupLabels!$E$2:$H$145,3,0)</f>
        <v>Moldova - Romanian</v>
      </c>
    </row>
    <row r="78" spans="1:21" x14ac:dyDescent="0.25">
      <c r="A78" t="s">
        <v>3215</v>
      </c>
      <c r="B78" s="73">
        <v>10</v>
      </c>
      <c r="C78" s="73">
        <v>10</v>
      </c>
      <c r="D78" s="73">
        <v>6</v>
      </c>
      <c r="E78" s="73">
        <v>4</v>
      </c>
      <c r="F78" s="73">
        <v>5</v>
      </c>
      <c r="G78" s="73">
        <v>6</v>
      </c>
      <c r="H78" s="73">
        <v>4</v>
      </c>
      <c r="I78" s="33"/>
      <c r="J78" s="73"/>
      <c r="K78" s="73"/>
      <c r="L78" s="73"/>
      <c r="M78" s="73"/>
      <c r="N78" s="73"/>
      <c r="O78" s="73"/>
      <c r="P78" s="73"/>
      <c r="Q78" s="33"/>
      <c r="R78" s="33"/>
      <c r="S78" s="33"/>
      <c r="T78" s="33" t="s">
        <v>655</v>
      </c>
      <c r="U78" t="str">
        <f>VLOOKUP(T78,GroupLabels!$E$2:$H$145,3,0)</f>
        <v>Moldova - Russian</v>
      </c>
    </row>
    <row r="79" spans="1:21" x14ac:dyDescent="0.25">
      <c r="A79" t="s">
        <v>3175</v>
      </c>
      <c r="B79" s="73">
        <v>10</v>
      </c>
      <c r="C79" s="73">
        <v>10</v>
      </c>
      <c r="D79" s="73">
        <v>6</v>
      </c>
      <c r="E79" s="73">
        <v>4</v>
      </c>
      <c r="F79" s="73">
        <v>5</v>
      </c>
      <c r="G79" s="73">
        <v>6</v>
      </c>
      <c r="H79" s="73">
        <v>4</v>
      </c>
      <c r="I79" s="33"/>
      <c r="J79" s="73"/>
      <c r="K79" s="73"/>
      <c r="L79" s="73"/>
      <c r="M79" s="73"/>
      <c r="N79" s="73"/>
      <c r="O79" s="73"/>
      <c r="P79" s="73"/>
      <c r="Q79" s="33"/>
      <c r="R79" s="33"/>
      <c r="S79" s="33"/>
      <c r="T79" s="33" t="s">
        <v>657</v>
      </c>
      <c r="U79" t="str">
        <f>VLOOKUP(T79,GroupLabels!$E$2:$H$145,3,0)</f>
        <v>Mongolia - Mongolian</v>
      </c>
    </row>
    <row r="80" spans="1:21" x14ac:dyDescent="0.25">
      <c r="A80" t="s">
        <v>2941</v>
      </c>
      <c r="B80" s="73">
        <v>10</v>
      </c>
      <c r="C80" s="73">
        <v>10</v>
      </c>
      <c r="D80" s="73">
        <v>6</v>
      </c>
      <c r="E80" s="73">
        <v>4</v>
      </c>
      <c r="F80" s="73">
        <v>5</v>
      </c>
      <c r="G80" s="73">
        <v>6</v>
      </c>
      <c r="H80" s="73">
        <v>4</v>
      </c>
      <c r="I80" s="33"/>
      <c r="J80" s="73"/>
      <c r="K80" s="73"/>
      <c r="L80" s="73"/>
      <c r="M80" s="73"/>
      <c r="N80" s="73"/>
      <c r="O80" s="73"/>
      <c r="P80" s="73"/>
      <c r="Q80" s="33"/>
      <c r="R80" s="33"/>
      <c r="S80" s="33"/>
      <c r="T80" s="33" t="s">
        <v>659</v>
      </c>
      <c r="U80" t="str">
        <f>VLOOKUP(T80,GroupLabels!$E$2:$H$145,3,0)</f>
        <v>Montenegro - Montenegrin</v>
      </c>
    </row>
    <row r="81" spans="1:21" x14ac:dyDescent="0.25">
      <c r="A81" t="s">
        <v>2906</v>
      </c>
      <c r="B81" s="73">
        <v>10</v>
      </c>
      <c r="C81" s="73">
        <v>10</v>
      </c>
      <c r="D81" s="73">
        <v>6</v>
      </c>
      <c r="E81" s="73">
        <v>4</v>
      </c>
      <c r="F81" s="73">
        <v>5</v>
      </c>
      <c r="G81" s="73">
        <v>6</v>
      </c>
      <c r="H81" s="73">
        <v>4</v>
      </c>
      <c r="I81" s="33"/>
      <c r="J81" s="73"/>
      <c r="K81" s="73"/>
      <c r="L81" s="73"/>
      <c r="M81" s="73"/>
      <c r="N81" s="73"/>
      <c r="O81" s="73"/>
      <c r="P81" s="73"/>
      <c r="Q81" s="33"/>
      <c r="R81" s="33"/>
      <c r="S81" s="33"/>
      <c r="T81" s="33" t="s">
        <v>660</v>
      </c>
      <c r="U81" t="str">
        <f>VLOOKUP(T81,GroupLabels!$E$2:$H$145,3,0)</f>
        <v>Morocco - Arabic</v>
      </c>
    </row>
    <row r="82" spans="1:21" x14ac:dyDescent="0.25">
      <c r="A82" t="s">
        <v>3187</v>
      </c>
      <c r="B82" s="73">
        <v>10</v>
      </c>
      <c r="C82" s="73">
        <v>10</v>
      </c>
      <c r="D82" s="73">
        <v>6</v>
      </c>
      <c r="E82" s="73">
        <v>4</v>
      </c>
      <c r="F82" s="73">
        <v>5</v>
      </c>
      <c r="G82" s="73">
        <v>6</v>
      </c>
      <c r="H82" s="73">
        <v>4</v>
      </c>
      <c r="I82" s="33"/>
      <c r="J82" s="73"/>
      <c r="K82" s="73"/>
      <c r="L82" s="73"/>
      <c r="M82" s="73"/>
      <c r="N82" s="73"/>
      <c r="O82" s="73"/>
      <c r="P82" s="73"/>
      <c r="Q82" s="33"/>
      <c r="R82" s="33"/>
      <c r="S82" s="33"/>
      <c r="T82" s="33" t="s">
        <v>661</v>
      </c>
      <c r="U82" t="str">
        <f>VLOOKUP(T82,GroupLabels!$E$2:$H$145,3,0)</f>
        <v>Netherlands - Dutch</v>
      </c>
    </row>
    <row r="83" spans="1:21" x14ac:dyDescent="0.25">
      <c r="A83" t="s">
        <v>3016</v>
      </c>
      <c r="B83" s="73">
        <v>10</v>
      </c>
      <c r="C83" s="73">
        <v>10</v>
      </c>
      <c r="D83" s="73">
        <v>6</v>
      </c>
      <c r="E83" s="73">
        <v>4</v>
      </c>
      <c r="F83" s="73">
        <v>5</v>
      </c>
      <c r="G83" s="73">
        <v>6</v>
      </c>
      <c r="H83" s="73">
        <v>4</v>
      </c>
      <c r="I83" s="33"/>
      <c r="J83" s="73"/>
      <c r="K83" s="73"/>
      <c r="L83" s="73"/>
      <c r="M83" s="73"/>
      <c r="N83" s="73"/>
      <c r="O83" s="73"/>
      <c r="P83" s="73"/>
      <c r="Q83" s="33"/>
      <c r="R83" s="33"/>
      <c r="S83" s="33"/>
      <c r="T83" s="33" t="s">
        <v>662</v>
      </c>
      <c r="U83" t="str">
        <f>VLOOKUP(T83,GroupLabels!$E$2:$H$145,3,0)</f>
        <v>New Zealand - English</v>
      </c>
    </row>
    <row r="84" spans="1:21" x14ac:dyDescent="0.25">
      <c r="A84" t="s">
        <v>760</v>
      </c>
      <c r="B84" s="73" t="s">
        <v>3476</v>
      </c>
      <c r="C84" s="73">
        <v>10</v>
      </c>
      <c r="D84" s="73">
        <v>6</v>
      </c>
      <c r="E84" s="73">
        <v>4</v>
      </c>
      <c r="F84" s="73">
        <v>5</v>
      </c>
      <c r="G84" s="73">
        <v>6</v>
      </c>
      <c r="H84" s="73">
        <v>4</v>
      </c>
      <c r="I84" s="33"/>
      <c r="J84" s="73"/>
      <c r="K84" s="73"/>
      <c r="L84" s="73"/>
      <c r="M84" s="73"/>
      <c r="N84" s="73"/>
      <c r="O84" s="73"/>
      <c r="P84" s="73"/>
      <c r="Q84" s="33"/>
      <c r="R84" s="33"/>
      <c r="S84" s="33"/>
      <c r="T84" s="33" t="s">
        <v>663</v>
      </c>
      <c r="U84" t="str">
        <f>VLOOKUP(T84,GroupLabels!$E$2:$H$145,3,0)</f>
        <v>Norway - Norwegian Bokmål</v>
      </c>
    </row>
    <row r="85" spans="1:21" x14ac:dyDescent="0.25">
      <c r="A85" t="s">
        <v>2909</v>
      </c>
      <c r="B85" s="73">
        <v>10</v>
      </c>
      <c r="C85" s="73">
        <v>10</v>
      </c>
      <c r="D85" s="73">
        <v>6</v>
      </c>
      <c r="E85" s="73">
        <v>4</v>
      </c>
      <c r="F85" s="73">
        <v>5</v>
      </c>
      <c r="G85" s="73">
        <v>6</v>
      </c>
      <c r="H85" s="73">
        <v>4</v>
      </c>
      <c r="I85" s="33"/>
      <c r="J85" s="73"/>
      <c r="K85" s="73"/>
      <c r="L85" s="73"/>
      <c r="M85" s="73"/>
      <c r="N85" s="73"/>
      <c r="O85" s="73"/>
      <c r="P85" s="73"/>
      <c r="Q85" s="33"/>
      <c r="R85" s="33"/>
      <c r="S85" s="33"/>
      <c r="T85" s="33" t="s">
        <v>665</v>
      </c>
      <c r="U85" t="str">
        <f>VLOOKUP(T85,GroupLabels!$E$2:$H$145,3,0)</f>
        <v>Palestinian Authority - Arabic*</v>
      </c>
    </row>
    <row r="86" spans="1:21" x14ac:dyDescent="0.25">
      <c r="A86" t="s">
        <v>3019</v>
      </c>
      <c r="B86" s="73" t="s">
        <v>3480</v>
      </c>
      <c r="C86" s="73" t="s">
        <v>3480</v>
      </c>
      <c r="D86" s="73" t="s">
        <v>3480</v>
      </c>
      <c r="E86" s="73" t="s">
        <v>3480</v>
      </c>
      <c r="F86" s="73" t="s">
        <v>3480</v>
      </c>
      <c r="G86" s="73" t="s">
        <v>3480</v>
      </c>
      <c r="H86" s="73" t="s">
        <v>3480</v>
      </c>
      <c r="I86" s="33"/>
      <c r="J86" s="73"/>
      <c r="K86" s="73"/>
      <c r="L86" s="73"/>
      <c r="M86" s="73"/>
      <c r="N86" s="73"/>
      <c r="O86" s="73"/>
      <c r="P86" s="73"/>
      <c r="Q86" s="33"/>
      <c r="R86" s="33"/>
      <c r="S86" s="33"/>
      <c r="T86" s="33" t="s">
        <v>666</v>
      </c>
      <c r="U86" t="str">
        <f>VLOOKUP(T86,GroupLabels!$E$2:$H$145,3,0)</f>
        <v>Palestinian Authority - English*</v>
      </c>
    </row>
    <row r="87" spans="1:21" x14ac:dyDescent="0.25">
      <c r="A87" t="s">
        <v>3059</v>
      </c>
      <c r="B87" s="73">
        <v>10</v>
      </c>
      <c r="C87" s="73">
        <v>10</v>
      </c>
      <c r="D87" s="73">
        <v>6</v>
      </c>
      <c r="E87" s="73">
        <v>4</v>
      </c>
      <c r="F87" s="73">
        <v>5</v>
      </c>
      <c r="G87" s="73">
        <v>6</v>
      </c>
      <c r="H87" s="73">
        <v>4</v>
      </c>
      <c r="I87" s="33"/>
      <c r="J87" s="73"/>
      <c r="K87" s="73"/>
      <c r="L87" s="73"/>
      <c r="M87" s="73"/>
      <c r="N87" s="73"/>
      <c r="O87" s="73"/>
      <c r="P87" s="73"/>
      <c r="Q87" s="33"/>
      <c r="R87" s="33"/>
      <c r="S87" s="33"/>
      <c r="T87" s="33" t="s">
        <v>667</v>
      </c>
      <c r="U87" t="str">
        <f>VLOOKUP(T87,GroupLabels!$E$2:$H$145,3,0)</f>
        <v>Paraguay - Spanish</v>
      </c>
    </row>
    <row r="88" spans="1:21" x14ac:dyDescent="0.25">
      <c r="A88" t="s">
        <v>3056</v>
      </c>
      <c r="B88" s="73">
        <v>10</v>
      </c>
      <c r="C88" s="73">
        <v>10</v>
      </c>
      <c r="D88" s="73">
        <v>6</v>
      </c>
      <c r="E88" s="73">
        <v>4</v>
      </c>
      <c r="F88" s="73">
        <v>5</v>
      </c>
      <c r="G88" s="73">
        <v>6</v>
      </c>
      <c r="H88" s="73">
        <v>4</v>
      </c>
      <c r="I88" s="33"/>
      <c r="J88" s="73"/>
      <c r="K88" s="73"/>
      <c r="L88" s="73"/>
      <c r="M88" s="73"/>
      <c r="N88" s="73"/>
      <c r="O88" s="73"/>
      <c r="P88" s="73"/>
      <c r="Q88" s="33"/>
      <c r="R88" s="33"/>
      <c r="S88" s="33"/>
      <c r="T88" s="33" t="s">
        <v>668</v>
      </c>
      <c r="U88" t="str">
        <f>VLOOKUP(T88,GroupLabels!$E$2:$H$145,3,0)</f>
        <v>Peru - Spanish</v>
      </c>
    </row>
    <row r="89" spans="1:21" x14ac:dyDescent="0.25">
      <c r="A89" t="s">
        <v>3018</v>
      </c>
      <c r="B89" s="73">
        <v>10</v>
      </c>
      <c r="C89" s="73">
        <v>10</v>
      </c>
      <c r="D89" s="73">
        <v>6</v>
      </c>
      <c r="E89" s="73">
        <v>4</v>
      </c>
      <c r="F89" s="73">
        <v>5</v>
      </c>
      <c r="G89" s="73">
        <v>6</v>
      </c>
      <c r="H89" s="73">
        <v>4</v>
      </c>
      <c r="I89" s="33"/>
      <c r="J89" s="73"/>
      <c r="K89" s="73"/>
      <c r="L89" s="73"/>
      <c r="M89" s="73"/>
      <c r="N89" s="73"/>
      <c r="O89" s="73"/>
      <c r="P89" s="73"/>
      <c r="Q89" s="33"/>
      <c r="R89" s="33"/>
      <c r="S89" s="33"/>
      <c r="T89" s="33" t="s">
        <v>669</v>
      </c>
      <c r="U89" t="str">
        <f>VLOOKUP(T89,GroupLabels!$E$2:$H$145,3,0)</f>
        <v>Philippines - English</v>
      </c>
    </row>
    <row r="90" spans="1:21" x14ac:dyDescent="0.25">
      <c r="A90" t="s">
        <v>3194</v>
      </c>
      <c r="B90" s="73">
        <v>10</v>
      </c>
      <c r="C90" s="73">
        <v>10</v>
      </c>
      <c r="D90" s="73">
        <v>6</v>
      </c>
      <c r="E90" s="73">
        <v>4</v>
      </c>
      <c r="F90" s="73">
        <v>5</v>
      </c>
      <c r="G90" s="73">
        <v>6</v>
      </c>
      <c r="H90" s="73">
        <v>4</v>
      </c>
      <c r="I90" s="33"/>
      <c r="J90" s="73"/>
      <c r="K90" s="73"/>
      <c r="L90" s="73"/>
      <c r="M90" s="73"/>
      <c r="N90" s="73"/>
      <c r="O90" s="73"/>
      <c r="P90" s="73"/>
      <c r="Q90" s="33"/>
      <c r="R90" s="33"/>
      <c r="S90" s="33"/>
      <c r="T90" s="33" t="s">
        <v>670</v>
      </c>
      <c r="U90" t="str">
        <f>VLOOKUP(T90,GroupLabels!$E$2:$H$145,3,0)</f>
        <v>Poland - Polish</v>
      </c>
    </row>
    <row r="91" spans="1:21" x14ac:dyDescent="0.25">
      <c r="A91" t="s">
        <v>3202</v>
      </c>
      <c r="B91" s="73">
        <v>10</v>
      </c>
      <c r="C91" s="73">
        <v>10</v>
      </c>
      <c r="D91" s="73">
        <v>6</v>
      </c>
      <c r="E91" s="73">
        <v>4</v>
      </c>
      <c r="F91" s="73">
        <v>5</v>
      </c>
      <c r="G91" s="73">
        <v>6</v>
      </c>
      <c r="H91" s="73">
        <v>4</v>
      </c>
      <c r="I91" s="33"/>
      <c r="J91" s="73"/>
      <c r="K91" s="73"/>
      <c r="L91" s="73"/>
      <c r="M91" s="73"/>
      <c r="N91" s="73"/>
      <c r="O91" s="73"/>
      <c r="P91" s="73"/>
      <c r="Q91" s="33"/>
      <c r="R91" s="33"/>
      <c r="S91" s="33"/>
      <c r="T91" s="33" t="s">
        <v>671</v>
      </c>
      <c r="U91" t="str">
        <f>VLOOKUP(T91,GroupLabels!$E$2:$H$145,3,0)</f>
        <v>Portugal - Portuguese</v>
      </c>
    </row>
    <row r="92" spans="1:21" x14ac:dyDescent="0.25">
      <c r="A92" t="s">
        <v>2912</v>
      </c>
      <c r="B92" s="73">
        <v>10</v>
      </c>
      <c r="C92" s="73">
        <v>10</v>
      </c>
      <c r="D92" s="73">
        <v>6</v>
      </c>
      <c r="E92" s="73">
        <v>4</v>
      </c>
      <c r="F92" s="73">
        <v>5</v>
      </c>
      <c r="G92" s="73">
        <v>6</v>
      </c>
      <c r="H92" s="73">
        <v>4</v>
      </c>
      <c r="I92" s="33"/>
      <c r="J92" s="73"/>
      <c r="K92" s="73"/>
      <c r="L92" s="73"/>
      <c r="M92" s="73"/>
      <c r="N92" s="73"/>
      <c r="O92" s="73"/>
      <c r="P92" s="73"/>
      <c r="Q92" s="33"/>
      <c r="R92" s="33"/>
      <c r="S92" s="33"/>
      <c r="T92" s="33" t="s">
        <v>672</v>
      </c>
      <c r="U92" t="str">
        <f>VLOOKUP(T92,GroupLabels!$E$2:$H$145,3,0)</f>
        <v>Qatar - Arabic</v>
      </c>
    </row>
    <row r="93" spans="1:21" x14ac:dyDescent="0.25">
      <c r="A93" t="s">
        <v>3020</v>
      </c>
      <c r="B93" s="73">
        <v>10</v>
      </c>
      <c r="C93" s="73">
        <v>10</v>
      </c>
      <c r="D93" s="73">
        <v>6</v>
      </c>
      <c r="E93" s="73">
        <v>4</v>
      </c>
      <c r="F93" s="73">
        <v>5</v>
      </c>
      <c r="G93" s="73">
        <v>6</v>
      </c>
      <c r="H93" s="73">
        <v>4</v>
      </c>
      <c r="I93" s="33"/>
      <c r="J93" s="73"/>
      <c r="K93" s="73"/>
      <c r="L93" s="73"/>
      <c r="M93" s="73"/>
      <c r="N93" s="73"/>
      <c r="O93" s="73"/>
      <c r="P93" s="73"/>
      <c r="Q93" s="33"/>
      <c r="R93" s="33"/>
      <c r="S93" s="33"/>
      <c r="T93" s="33" t="s">
        <v>673</v>
      </c>
      <c r="U93" t="str">
        <f>VLOOKUP(T93,GroupLabels!$E$2:$H$145,3,0)</f>
        <v>Qatar - English</v>
      </c>
    </row>
    <row r="94" spans="1:21" x14ac:dyDescent="0.25">
      <c r="A94" t="s">
        <v>3207</v>
      </c>
      <c r="B94" s="73">
        <v>10</v>
      </c>
      <c r="C94" s="73">
        <v>10</v>
      </c>
      <c r="D94" s="73">
        <v>6</v>
      </c>
      <c r="E94" s="73">
        <v>4</v>
      </c>
      <c r="F94" s="73">
        <v>5</v>
      </c>
      <c r="G94" s="73">
        <v>6</v>
      </c>
      <c r="H94" s="73">
        <v>4</v>
      </c>
      <c r="I94" s="33"/>
      <c r="J94" s="73"/>
      <c r="K94" s="73"/>
      <c r="L94" s="73"/>
      <c r="M94" s="73"/>
      <c r="N94" s="73"/>
      <c r="O94" s="73"/>
      <c r="P94" s="73"/>
      <c r="Q94" s="33"/>
      <c r="R94" s="33"/>
      <c r="S94" s="33"/>
      <c r="T94" s="33" t="s">
        <v>675</v>
      </c>
      <c r="U94" t="str">
        <f>VLOOKUP(T94,GroupLabels!$E$2:$H$145,3,0)</f>
        <v>Romania - Romanian</v>
      </c>
    </row>
    <row r="95" spans="1:21" x14ac:dyDescent="0.25">
      <c r="A95" t="s">
        <v>2915</v>
      </c>
      <c r="B95" s="73">
        <v>10</v>
      </c>
      <c r="C95" s="73">
        <v>10</v>
      </c>
      <c r="D95" s="73">
        <v>6</v>
      </c>
      <c r="E95" s="73">
        <v>4</v>
      </c>
      <c r="F95" s="73">
        <v>5</v>
      </c>
      <c r="G95" s="73">
        <v>6</v>
      </c>
      <c r="H95" s="73">
        <v>4</v>
      </c>
      <c r="I95" s="33"/>
      <c r="J95" s="73"/>
      <c r="K95" s="73"/>
      <c r="L95" s="73"/>
      <c r="M95" s="73"/>
      <c r="N95" s="73"/>
      <c r="O95" s="73"/>
      <c r="P95" s="73"/>
      <c r="Q95" s="33"/>
      <c r="R95" s="33"/>
      <c r="S95" s="33"/>
      <c r="T95" s="33" t="s">
        <v>677</v>
      </c>
      <c r="U95" t="str">
        <f>VLOOKUP(T95,GroupLabels!$E$2:$H$145,3,0)</f>
        <v>Saudi Arabia - Arabic</v>
      </c>
    </row>
    <row r="96" spans="1:21" x14ac:dyDescent="0.25">
      <c r="A96" t="s">
        <v>3023</v>
      </c>
      <c r="B96" s="73">
        <v>10</v>
      </c>
      <c r="C96" s="73">
        <v>10</v>
      </c>
      <c r="D96" s="73">
        <v>6</v>
      </c>
      <c r="E96" s="73">
        <v>4</v>
      </c>
      <c r="F96" s="73">
        <v>5</v>
      </c>
      <c r="G96" s="73">
        <v>6</v>
      </c>
      <c r="H96" s="73">
        <v>4</v>
      </c>
      <c r="I96" s="33"/>
      <c r="J96" s="73"/>
      <c r="K96" s="73"/>
      <c r="L96" s="73"/>
      <c r="M96" s="73"/>
      <c r="N96" s="73"/>
      <c r="O96" s="73"/>
      <c r="P96" s="73"/>
      <c r="Q96" s="33"/>
      <c r="R96" s="33"/>
      <c r="S96" s="33"/>
      <c r="T96" s="33" t="s">
        <v>678</v>
      </c>
      <c r="U96" t="str">
        <f>VLOOKUP(T96,GroupLabels!$E$2:$H$145,3,0)</f>
        <v>Saudi Arabia - English</v>
      </c>
    </row>
    <row r="97" spans="1:21" x14ac:dyDescent="0.25">
      <c r="A97" t="s">
        <v>3241</v>
      </c>
      <c r="B97" s="73">
        <v>10</v>
      </c>
      <c r="C97" s="73">
        <v>10</v>
      </c>
      <c r="D97" s="73">
        <v>6</v>
      </c>
      <c r="E97" s="73">
        <v>4</v>
      </c>
      <c r="F97" s="73">
        <v>5</v>
      </c>
      <c r="G97" s="73">
        <v>6</v>
      </c>
      <c r="H97" s="73">
        <v>4</v>
      </c>
      <c r="I97" s="33"/>
      <c r="J97" s="73"/>
      <c r="K97" s="73"/>
      <c r="L97" s="73"/>
      <c r="M97" s="73"/>
      <c r="N97" s="73"/>
      <c r="O97" s="73"/>
      <c r="P97" s="73"/>
      <c r="Q97" s="33"/>
      <c r="R97" s="33"/>
      <c r="S97" s="33"/>
      <c r="T97" s="33" t="s">
        <v>679</v>
      </c>
      <c r="U97" t="str">
        <f>VLOOKUP(T97,GroupLabels!$E$2:$H$145,3,0)</f>
        <v>Serbia - Serbian</v>
      </c>
    </row>
    <row r="98" spans="1:21" x14ac:dyDescent="0.25">
      <c r="A98" t="s">
        <v>3025</v>
      </c>
      <c r="B98" s="73">
        <v>10</v>
      </c>
      <c r="C98" s="73">
        <v>10</v>
      </c>
      <c r="D98" s="73">
        <v>6</v>
      </c>
      <c r="E98" s="73">
        <v>4</v>
      </c>
      <c r="F98" s="73">
        <v>5</v>
      </c>
      <c r="G98" s="73" t="s">
        <v>3476</v>
      </c>
      <c r="H98" s="73">
        <v>4</v>
      </c>
      <c r="I98" s="33"/>
      <c r="J98" s="73"/>
      <c r="K98" s="73"/>
      <c r="L98" s="73"/>
      <c r="M98" s="73"/>
      <c r="N98" s="73"/>
      <c r="O98" s="73"/>
      <c r="P98" s="73"/>
      <c r="Q98" s="33"/>
      <c r="R98" s="33"/>
      <c r="S98" s="33"/>
      <c r="T98" s="33" t="s">
        <v>680</v>
      </c>
      <c r="U98" t="str">
        <f>VLOOKUP(T98,GroupLabels!$E$2:$H$145,3,0)</f>
        <v>Singapore - English</v>
      </c>
    </row>
    <row r="99" spans="1:21" x14ac:dyDescent="0.25">
      <c r="A99" t="s">
        <v>3222</v>
      </c>
      <c r="B99" s="73">
        <v>10</v>
      </c>
      <c r="C99" s="73">
        <v>10</v>
      </c>
      <c r="D99" s="73">
        <v>6</v>
      </c>
      <c r="E99" s="73">
        <v>4</v>
      </c>
      <c r="F99" s="73">
        <v>5</v>
      </c>
      <c r="G99" s="73">
        <v>6</v>
      </c>
      <c r="H99" s="73">
        <v>4</v>
      </c>
      <c r="I99" s="33"/>
      <c r="J99" s="73"/>
      <c r="K99" s="73"/>
      <c r="L99" s="73"/>
      <c r="M99" s="73"/>
      <c r="N99" s="73"/>
      <c r="O99" s="73"/>
      <c r="P99" s="73"/>
      <c r="Q99" s="33"/>
      <c r="R99" s="33"/>
      <c r="S99" s="33"/>
      <c r="T99" s="33" t="s">
        <v>682</v>
      </c>
      <c r="U99" t="str">
        <f>VLOOKUP(T99,GroupLabels!$E$2:$H$145,3,0)</f>
        <v>Slovak Republic - Slovak</v>
      </c>
    </row>
    <row r="100" spans="1:21" x14ac:dyDescent="0.25">
      <c r="A100" t="s">
        <v>3227</v>
      </c>
      <c r="B100" s="73">
        <v>10</v>
      </c>
      <c r="C100" s="73">
        <v>10</v>
      </c>
      <c r="D100" s="73">
        <v>6</v>
      </c>
      <c r="E100" s="73">
        <v>4</v>
      </c>
      <c r="F100" s="73">
        <v>5</v>
      </c>
      <c r="G100" s="73">
        <v>6</v>
      </c>
      <c r="H100" s="73">
        <v>4</v>
      </c>
      <c r="I100" s="33"/>
      <c r="J100" s="73"/>
      <c r="K100" s="73"/>
      <c r="L100" s="73"/>
      <c r="M100" s="73"/>
      <c r="N100" s="73"/>
      <c r="O100" s="73"/>
      <c r="P100" s="73"/>
      <c r="Q100" s="33"/>
      <c r="R100" s="33"/>
      <c r="S100" s="33"/>
      <c r="T100" s="33" t="s">
        <v>683</v>
      </c>
      <c r="U100" t="str">
        <f>VLOOKUP(T100,GroupLabels!$E$2:$H$145,3,0)</f>
        <v>Slovenia - Slovenian</v>
      </c>
    </row>
    <row r="101" spans="1:21" x14ac:dyDescent="0.25">
      <c r="A101" t="s">
        <v>3072</v>
      </c>
      <c r="B101" s="73">
        <v>10</v>
      </c>
      <c r="C101" s="73">
        <v>10</v>
      </c>
      <c r="D101" s="73">
        <v>6</v>
      </c>
      <c r="E101" s="73">
        <v>4</v>
      </c>
      <c r="F101" s="73">
        <v>5</v>
      </c>
      <c r="G101" s="73">
        <v>6</v>
      </c>
      <c r="H101" s="73">
        <v>4</v>
      </c>
      <c r="I101" s="33"/>
      <c r="J101" s="73"/>
      <c r="K101" s="73"/>
      <c r="L101" s="73"/>
      <c r="M101" s="73"/>
      <c r="N101" s="73"/>
      <c r="O101" s="73"/>
      <c r="P101" s="73"/>
      <c r="Q101" s="33"/>
      <c r="R101" s="33"/>
      <c r="S101" s="33"/>
      <c r="T101" s="33" t="s">
        <v>684</v>
      </c>
      <c r="U101" t="str">
        <f>VLOOKUP(T101,GroupLabels!$E$2:$H$145,3,0)</f>
        <v>Spain - Basque</v>
      </c>
    </row>
    <row r="102" spans="1:21" x14ac:dyDescent="0.25">
      <c r="A102" t="s">
        <v>2932</v>
      </c>
      <c r="B102" s="73">
        <v>10</v>
      </c>
      <c r="C102" s="73">
        <v>10</v>
      </c>
      <c r="D102" s="73">
        <v>6</v>
      </c>
      <c r="E102" s="73">
        <v>4</v>
      </c>
      <c r="F102" s="73">
        <v>5</v>
      </c>
      <c r="G102" s="73">
        <v>6</v>
      </c>
      <c r="H102" s="73">
        <v>4</v>
      </c>
      <c r="I102" s="33"/>
      <c r="J102" s="73"/>
      <c r="K102" s="73"/>
      <c r="L102" s="73"/>
      <c r="M102" s="73"/>
      <c r="N102" s="73"/>
      <c r="O102" s="73"/>
      <c r="P102" s="73"/>
      <c r="Q102" s="33"/>
      <c r="R102" s="33"/>
      <c r="S102" s="33"/>
      <c r="T102" s="33" t="s">
        <v>685</v>
      </c>
      <c r="U102" t="str">
        <f>VLOOKUP(T102,GroupLabels!$E$2:$H$145,3,0)</f>
        <v>Spain - Catalan</v>
      </c>
    </row>
    <row r="103" spans="1:21" x14ac:dyDescent="0.25">
      <c r="A103" t="s">
        <v>3091</v>
      </c>
      <c r="B103" s="73">
        <v>10</v>
      </c>
      <c r="C103" s="73">
        <v>10</v>
      </c>
      <c r="D103" s="73">
        <v>6</v>
      </c>
      <c r="E103" s="73">
        <v>4</v>
      </c>
      <c r="F103" s="73">
        <v>5</v>
      </c>
      <c r="G103" s="73">
        <v>6</v>
      </c>
      <c r="H103" s="73">
        <v>4</v>
      </c>
      <c r="I103" s="33"/>
      <c r="J103" s="73"/>
      <c r="K103" s="73"/>
      <c r="L103" s="73"/>
      <c r="M103" s="73"/>
      <c r="N103" s="73"/>
      <c r="O103" s="73"/>
      <c r="P103" s="73"/>
      <c r="Q103" s="33"/>
      <c r="R103" s="33"/>
      <c r="S103" s="33"/>
      <c r="T103" s="33" t="s">
        <v>686</v>
      </c>
      <c r="U103" t="str">
        <f>VLOOKUP(T103,GroupLabels!$E$2:$H$145,3,0)</f>
        <v>Spain - Galician</v>
      </c>
    </row>
    <row r="104" spans="1:21" x14ac:dyDescent="0.25">
      <c r="A104" t="s">
        <v>3047</v>
      </c>
      <c r="B104" s="73">
        <v>10</v>
      </c>
      <c r="C104" s="73">
        <v>10</v>
      </c>
      <c r="D104" s="73">
        <v>6</v>
      </c>
      <c r="E104" s="73">
        <v>4</v>
      </c>
      <c r="F104" s="73">
        <v>5</v>
      </c>
      <c r="G104" s="73">
        <v>6</v>
      </c>
      <c r="H104" s="73">
        <v>4</v>
      </c>
      <c r="I104" s="33"/>
      <c r="J104" s="73"/>
      <c r="K104" s="73"/>
      <c r="L104" s="73"/>
      <c r="M104" s="73"/>
      <c r="N104" s="73"/>
      <c r="O104" s="73"/>
      <c r="P104" s="73"/>
      <c r="Q104" s="33"/>
      <c r="R104" s="33"/>
      <c r="S104" s="33"/>
      <c r="T104" s="33" t="s">
        <v>687</v>
      </c>
      <c r="U104" t="str">
        <f>VLOOKUP(T104,GroupLabels!$E$2:$H$145,3,0)</f>
        <v>Spain - Spanish</v>
      </c>
    </row>
    <row r="105" spans="1:21" x14ac:dyDescent="0.25">
      <c r="A105" t="s">
        <v>2933</v>
      </c>
      <c r="B105" s="73">
        <v>10</v>
      </c>
      <c r="C105" s="73">
        <v>10</v>
      </c>
      <c r="D105" s="73">
        <v>6</v>
      </c>
      <c r="E105" s="73">
        <v>4</v>
      </c>
      <c r="F105" s="73">
        <v>5</v>
      </c>
      <c r="G105" s="73">
        <v>6</v>
      </c>
      <c r="H105" s="73">
        <v>4</v>
      </c>
      <c r="I105" s="33"/>
      <c r="J105" s="73"/>
      <c r="K105" s="73"/>
      <c r="L105" s="73"/>
      <c r="M105" s="73"/>
      <c r="N105" s="73"/>
      <c r="O105" s="73"/>
      <c r="P105" s="73"/>
      <c r="Q105" s="33"/>
      <c r="R105" s="33"/>
      <c r="S105" s="33"/>
      <c r="T105" s="33" t="s">
        <v>688</v>
      </c>
      <c r="U105" t="str">
        <f>VLOOKUP(T105,GroupLabels!$E$2:$H$145,3,0)</f>
        <v>Spain - Valencian</v>
      </c>
    </row>
    <row r="106" spans="1:21" x14ac:dyDescent="0.25">
      <c r="A106" t="s">
        <v>762</v>
      </c>
      <c r="B106" s="73">
        <v>10</v>
      </c>
      <c r="C106" s="73" t="s">
        <v>3476</v>
      </c>
      <c r="D106" s="73">
        <v>6</v>
      </c>
      <c r="E106" s="73">
        <v>4</v>
      </c>
      <c r="F106" s="73">
        <v>5</v>
      </c>
      <c r="G106" s="73">
        <v>6</v>
      </c>
      <c r="H106" s="73">
        <v>4</v>
      </c>
      <c r="I106" s="33"/>
      <c r="J106" s="73"/>
      <c r="K106" s="73"/>
      <c r="L106" s="73"/>
      <c r="M106" s="73"/>
      <c r="N106" s="73"/>
      <c r="O106" s="73"/>
      <c r="P106" s="73"/>
      <c r="Q106" s="33"/>
      <c r="R106" s="33"/>
      <c r="S106" s="33"/>
      <c r="T106" s="33" t="s">
        <v>689</v>
      </c>
      <c r="U106" t="str">
        <f>VLOOKUP(T106,GroupLabels!$E$2:$H$145,3,0)</f>
        <v>Sweden - Swedish</v>
      </c>
    </row>
    <row r="107" spans="1:21" x14ac:dyDescent="0.25">
      <c r="A107" t="s">
        <v>3081</v>
      </c>
      <c r="B107" s="73">
        <v>10</v>
      </c>
      <c r="C107" s="73">
        <v>10</v>
      </c>
      <c r="D107" s="73">
        <v>6</v>
      </c>
      <c r="E107" s="73">
        <v>4</v>
      </c>
      <c r="F107" s="73">
        <v>5</v>
      </c>
      <c r="G107" s="73">
        <v>6</v>
      </c>
      <c r="H107" s="73">
        <v>4</v>
      </c>
      <c r="I107" s="33"/>
      <c r="J107" s="73"/>
      <c r="K107" s="73"/>
      <c r="L107" s="73"/>
      <c r="M107" s="73"/>
      <c r="N107" s="73"/>
      <c r="O107" s="73"/>
      <c r="P107" s="73"/>
      <c r="Q107" s="33"/>
      <c r="R107" s="33"/>
      <c r="S107" s="33"/>
      <c r="T107" s="33" t="s">
        <v>690</v>
      </c>
      <c r="U107" t="str">
        <f>VLOOKUP(T107,GroupLabels!$E$2:$H$145,3,0)</f>
        <v>Switzerland - French</v>
      </c>
    </row>
    <row r="108" spans="1:21" x14ac:dyDescent="0.25">
      <c r="A108" t="s">
        <v>2964</v>
      </c>
      <c r="B108" s="73">
        <v>10</v>
      </c>
      <c r="C108" s="73">
        <v>10</v>
      </c>
      <c r="D108" s="73">
        <v>6</v>
      </c>
      <c r="E108" s="73">
        <v>4</v>
      </c>
      <c r="F108" s="73">
        <v>5</v>
      </c>
      <c r="G108" s="73">
        <v>6</v>
      </c>
      <c r="H108" s="73">
        <v>4</v>
      </c>
      <c r="I108" s="33"/>
      <c r="J108" s="73"/>
      <c r="K108" s="73"/>
      <c r="L108" s="73"/>
      <c r="M108" s="73"/>
      <c r="N108" s="73"/>
      <c r="O108" s="73"/>
      <c r="P108" s="73"/>
      <c r="Q108" s="33"/>
      <c r="R108" s="33"/>
      <c r="S108" s="33"/>
      <c r="T108" s="33" t="s">
        <v>691</v>
      </c>
      <c r="U108" t="str">
        <f>VLOOKUP(T108,GroupLabels!$E$2:$H$145,3,0)</f>
        <v>Switzerland - German</v>
      </c>
    </row>
    <row r="109" spans="1:21" x14ac:dyDescent="0.25">
      <c r="A109" t="s">
        <v>3125</v>
      </c>
      <c r="B109" s="73">
        <v>10</v>
      </c>
      <c r="C109" s="73">
        <v>10</v>
      </c>
      <c r="D109" s="73">
        <v>6</v>
      </c>
      <c r="E109" s="73">
        <v>4</v>
      </c>
      <c r="F109" s="73">
        <v>5</v>
      </c>
      <c r="G109" s="73">
        <v>6</v>
      </c>
      <c r="H109" s="73">
        <v>4</v>
      </c>
      <c r="I109" s="33"/>
      <c r="J109" s="73"/>
      <c r="K109" s="73"/>
      <c r="L109" s="73"/>
      <c r="M109" s="73"/>
      <c r="N109" s="73"/>
      <c r="O109" s="73"/>
      <c r="P109" s="73"/>
      <c r="Q109" s="33"/>
      <c r="R109" s="33"/>
      <c r="S109" s="33"/>
      <c r="T109" s="33" t="s">
        <v>692</v>
      </c>
      <c r="U109" t="str">
        <f>VLOOKUP(T109,GroupLabels!$E$2:$H$145,3,0)</f>
        <v>Switzerland - Italian</v>
      </c>
    </row>
    <row r="110" spans="1:21" x14ac:dyDescent="0.25">
      <c r="A110" t="s">
        <v>3282</v>
      </c>
      <c r="B110" s="73">
        <v>10</v>
      </c>
      <c r="C110" s="73">
        <v>10</v>
      </c>
      <c r="D110" s="73">
        <v>6</v>
      </c>
      <c r="E110" s="73">
        <v>4</v>
      </c>
      <c r="F110" s="73">
        <v>5</v>
      </c>
      <c r="G110" s="73">
        <v>6</v>
      </c>
      <c r="H110" s="73">
        <v>4</v>
      </c>
      <c r="I110" s="33"/>
      <c r="J110" s="73"/>
      <c r="K110" s="73"/>
      <c r="L110" s="73"/>
      <c r="M110" s="73"/>
      <c r="N110" s="73"/>
      <c r="O110" s="73"/>
      <c r="P110" s="73"/>
      <c r="Q110" s="33"/>
      <c r="R110" s="33"/>
      <c r="S110" s="33"/>
      <c r="T110" s="33" t="s">
        <v>693</v>
      </c>
      <c r="U110" t="str">
        <f>VLOOKUP(T110,GroupLabels!$E$2:$H$145,3,0)</f>
        <v>Chinese Taipei - Chinese</v>
      </c>
    </row>
    <row r="111" spans="1:21" x14ac:dyDescent="0.25">
      <c r="A111" t="s">
        <v>3252</v>
      </c>
      <c r="B111" s="73">
        <v>10</v>
      </c>
      <c r="C111" s="73">
        <v>10</v>
      </c>
      <c r="D111" s="73">
        <v>6</v>
      </c>
      <c r="E111" s="73">
        <v>4</v>
      </c>
      <c r="F111" s="73">
        <v>5</v>
      </c>
      <c r="G111" s="73">
        <v>6</v>
      </c>
      <c r="H111" s="73">
        <v>4</v>
      </c>
      <c r="I111" s="33"/>
      <c r="J111" s="73"/>
      <c r="K111" s="73"/>
      <c r="L111" s="73"/>
      <c r="M111" s="73"/>
      <c r="N111" s="73"/>
      <c r="O111" s="73"/>
      <c r="P111" s="73"/>
      <c r="Q111" s="33"/>
      <c r="R111" s="33"/>
      <c r="S111" s="33"/>
      <c r="T111" s="33" t="s">
        <v>694</v>
      </c>
      <c r="U111" t="str">
        <f>VLOOKUP(T111,GroupLabels!$E$2:$H$145,3,0)</f>
        <v>Thailand - Thai</v>
      </c>
    </row>
    <row r="112" spans="1:21" x14ac:dyDescent="0.25">
      <c r="A112" t="s">
        <v>3257</v>
      </c>
      <c r="B112" s="73">
        <v>10</v>
      </c>
      <c r="C112" s="73">
        <v>10</v>
      </c>
      <c r="D112" s="73">
        <v>6</v>
      </c>
      <c r="E112" s="73">
        <v>4</v>
      </c>
      <c r="F112" s="73">
        <v>5</v>
      </c>
      <c r="G112" s="73">
        <v>6</v>
      </c>
      <c r="H112" s="73">
        <v>4</v>
      </c>
      <c r="I112" s="33"/>
      <c r="J112" s="73"/>
      <c r="K112" s="73"/>
      <c r="L112" s="73"/>
      <c r="M112" s="73"/>
      <c r="N112" s="73"/>
      <c r="O112" s="73"/>
      <c r="P112" s="73"/>
      <c r="Q112" s="33"/>
      <c r="R112" s="33"/>
      <c r="S112" s="33"/>
      <c r="T112" s="33" t="s">
        <v>695</v>
      </c>
      <c r="U112" t="str">
        <f>VLOOKUP(T112,GroupLabels!$E$2:$H$145,3,0)</f>
        <v>Turkey - Turkish</v>
      </c>
    </row>
    <row r="113" spans="1:21" x14ac:dyDescent="0.25">
      <c r="A113" t="s">
        <v>3262</v>
      </c>
      <c r="B113" s="73">
        <v>10</v>
      </c>
      <c r="C113" s="73">
        <v>10</v>
      </c>
      <c r="D113" s="73">
        <v>6</v>
      </c>
      <c r="E113" s="73">
        <v>4</v>
      </c>
      <c r="F113" s="73">
        <v>5</v>
      </c>
      <c r="G113" s="73">
        <v>6</v>
      </c>
      <c r="H113" s="73">
        <v>4</v>
      </c>
      <c r="I113" s="33"/>
      <c r="J113" s="73"/>
      <c r="K113" s="73"/>
      <c r="L113" s="73"/>
      <c r="M113" s="73"/>
      <c r="N113" s="73"/>
      <c r="O113" s="73"/>
      <c r="P113" s="73"/>
      <c r="Q113" s="33"/>
      <c r="R113" s="33"/>
      <c r="S113" s="33"/>
      <c r="T113" s="33" t="s">
        <v>696</v>
      </c>
      <c r="U113" t="str">
        <f>VLOOKUP(T113,GroupLabels!$E$2:$H$145,3,0)</f>
        <v>Ukrainian regions (17 of 27) - Ukrainian*</v>
      </c>
    </row>
    <row r="114" spans="1:21" x14ac:dyDescent="0.25">
      <c r="A114" t="s">
        <v>2895</v>
      </c>
      <c r="B114" s="73">
        <v>10</v>
      </c>
      <c r="C114" s="73">
        <v>10</v>
      </c>
      <c r="D114" s="73">
        <v>6</v>
      </c>
      <c r="E114" s="73">
        <v>4</v>
      </c>
      <c r="F114" s="73">
        <v>5</v>
      </c>
      <c r="G114" s="73">
        <v>6</v>
      </c>
      <c r="H114" s="73">
        <v>4</v>
      </c>
      <c r="I114" s="33"/>
      <c r="J114" s="73"/>
      <c r="K114" s="73"/>
      <c r="L114" s="73"/>
      <c r="M114" s="73"/>
      <c r="N114" s="73"/>
      <c r="O114" s="73"/>
      <c r="P114" s="73"/>
      <c r="Q114" s="33"/>
      <c r="R114" s="33"/>
      <c r="S114" s="33"/>
      <c r="T114" s="33" t="s">
        <v>697</v>
      </c>
      <c r="U114" t="str">
        <f>VLOOKUP(T114,GroupLabels!$E$2:$H$145,3,0)</f>
        <v>United Arab Emirates - Arabic</v>
      </c>
    </row>
    <row r="115" spans="1:21" x14ac:dyDescent="0.25">
      <c r="A115" t="s">
        <v>2979</v>
      </c>
      <c r="B115" s="73">
        <v>10</v>
      </c>
      <c r="C115" s="73">
        <v>10</v>
      </c>
      <c r="D115" s="73">
        <v>6</v>
      </c>
      <c r="E115" s="73">
        <v>4</v>
      </c>
      <c r="F115" s="73">
        <v>5</v>
      </c>
      <c r="G115" s="73">
        <v>6</v>
      </c>
      <c r="H115" s="73">
        <v>4</v>
      </c>
      <c r="I115" s="33"/>
      <c r="J115" s="73"/>
      <c r="K115" s="73"/>
      <c r="L115" s="73"/>
      <c r="M115" s="73"/>
      <c r="N115" s="73"/>
      <c r="O115" s="73"/>
      <c r="P115" s="73"/>
      <c r="Q115" s="33"/>
      <c r="R115" s="33"/>
      <c r="S115" s="33"/>
      <c r="T115" s="33" t="s">
        <v>698</v>
      </c>
      <c r="U115" t="str">
        <f>VLOOKUP(T115,GroupLabels!$E$2:$H$145,3,0)</f>
        <v>United Arab Emirates - English</v>
      </c>
    </row>
    <row r="116" spans="1:21" x14ac:dyDescent="0.25">
      <c r="A116" t="s">
        <v>2990</v>
      </c>
      <c r="B116" s="73">
        <v>10</v>
      </c>
      <c r="C116" s="73">
        <v>10</v>
      </c>
      <c r="D116" s="73">
        <v>7</v>
      </c>
      <c r="E116" s="73">
        <v>4</v>
      </c>
      <c r="F116" s="73">
        <v>5</v>
      </c>
      <c r="G116" s="73">
        <v>6</v>
      </c>
      <c r="H116" s="73">
        <v>4</v>
      </c>
      <c r="I116" s="33"/>
      <c r="J116" s="73"/>
      <c r="K116" s="73"/>
      <c r="L116" s="73"/>
      <c r="M116" s="73"/>
      <c r="N116" s="73"/>
      <c r="O116" s="73"/>
      <c r="P116" s="73"/>
      <c r="Q116" s="33"/>
      <c r="R116" s="33"/>
      <c r="S116" s="33"/>
      <c r="T116" s="33" t="s">
        <v>700</v>
      </c>
      <c r="U116" t="str">
        <f>VLOOKUP(T116,GroupLabels!$E$2:$H$145,3,0)</f>
        <v>United Kingdom ex Scotland - English</v>
      </c>
    </row>
    <row r="117" spans="1:21" x14ac:dyDescent="0.25">
      <c r="A117" t="s">
        <v>2989</v>
      </c>
      <c r="B117" s="73">
        <v>10</v>
      </c>
      <c r="C117" s="73">
        <v>10</v>
      </c>
      <c r="D117" s="73">
        <v>6</v>
      </c>
      <c r="E117" s="73">
        <v>4</v>
      </c>
      <c r="F117" s="73">
        <v>5</v>
      </c>
      <c r="G117" s="73">
        <v>6</v>
      </c>
      <c r="H117" s="73">
        <v>4</v>
      </c>
      <c r="I117" s="33"/>
      <c r="J117" s="73"/>
      <c r="K117" s="73"/>
      <c r="L117" s="73"/>
      <c r="M117" s="73"/>
      <c r="N117" s="73"/>
      <c r="O117" s="73"/>
      <c r="P117" s="73"/>
      <c r="Q117" s="33"/>
      <c r="R117" s="33"/>
      <c r="S117" s="33"/>
      <c r="T117" s="33" t="s">
        <v>701</v>
      </c>
      <c r="U117" t="str">
        <f>VLOOKUP(T117,GroupLabels!$E$2:$H$145,3,0)</f>
        <v>United Kingdom Scotland only - English</v>
      </c>
    </row>
    <row r="118" spans="1:21" x14ac:dyDescent="0.25">
      <c r="A118" t="s">
        <v>3065</v>
      </c>
      <c r="B118" s="73">
        <v>10</v>
      </c>
      <c r="C118" s="73">
        <v>10</v>
      </c>
      <c r="D118" s="73">
        <v>6</v>
      </c>
      <c r="E118" s="73">
        <v>4</v>
      </c>
      <c r="F118" s="73">
        <v>5</v>
      </c>
      <c r="G118" s="73">
        <v>6</v>
      </c>
      <c r="H118" s="73">
        <v>4</v>
      </c>
      <c r="I118" s="33"/>
      <c r="J118" s="73"/>
      <c r="K118" s="73"/>
      <c r="L118" s="73"/>
      <c r="M118" s="73"/>
      <c r="N118" s="73"/>
      <c r="O118" s="73"/>
      <c r="P118" s="73"/>
      <c r="Q118" s="33"/>
      <c r="R118" s="33"/>
      <c r="S118" s="33"/>
      <c r="T118" s="33" t="s">
        <v>703</v>
      </c>
      <c r="U118" t="str">
        <f>VLOOKUP(T118,GroupLabels!$E$2:$H$145,3,0)</f>
        <v>Uruguay - Spanish</v>
      </c>
    </row>
    <row r="119" spans="1:21" x14ac:dyDescent="0.25">
      <c r="A119" t="s">
        <v>3133</v>
      </c>
      <c r="B119" s="73">
        <v>10</v>
      </c>
      <c r="C119" s="73">
        <v>10</v>
      </c>
      <c r="D119" s="73">
        <v>6</v>
      </c>
      <c r="E119" s="73">
        <v>4</v>
      </c>
      <c r="F119" s="73">
        <v>5</v>
      </c>
      <c r="G119" s="73">
        <v>6</v>
      </c>
      <c r="H119" s="73">
        <v>4</v>
      </c>
      <c r="I119" s="33"/>
      <c r="J119" s="73"/>
      <c r="K119" s="73"/>
      <c r="L119" s="73"/>
      <c r="M119" s="73"/>
      <c r="N119" s="73"/>
      <c r="O119" s="73"/>
      <c r="P119" s="73"/>
      <c r="Q119" s="33"/>
      <c r="R119" s="33"/>
      <c r="S119" s="33"/>
      <c r="T119" s="33" t="s">
        <v>704</v>
      </c>
      <c r="U119" t="str">
        <f>VLOOKUP(T119,GroupLabels!$E$2:$H$145,3,0)</f>
        <v>Uzbekistan - Karakalpak</v>
      </c>
    </row>
    <row r="120" spans="1:21" x14ac:dyDescent="0.25">
      <c r="A120" t="s">
        <v>3219</v>
      </c>
      <c r="B120" s="73">
        <v>10</v>
      </c>
      <c r="C120" s="73">
        <v>10</v>
      </c>
      <c r="D120" s="73">
        <v>6</v>
      </c>
      <c r="E120" s="73">
        <v>4</v>
      </c>
      <c r="F120" s="73">
        <v>5</v>
      </c>
      <c r="G120" s="73">
        <v>6</v>
      </c>
      <c r="H120" s="73">
        <v>4</v>
      </c>
      <c r="I120" s="33"/>
      <c r="J120" s="73"/>
      <c r="K120" s="73"/>
      <c r="L120" s="73"/>
      <c r="M120" s="73"/>
      <c r="N120" s="73"/>
      <c r="O120" s="73"/>
      <c r="P120" s="73"/>
      <c r="Q120" s="33"/>
      <c r="R120" s="33"/>
      <c r="S120" s="33"/>
      <c r="T120" s="33" t="s">
        <v>705</v>
      </c>
      <c r="U120" t="str">
        <f>VLOOKUP(T120,GroupLabels!$E$2:$H$145,3,0)</f>
        <v>Uzbekistan - Russian</v>
      </c>
    </row>
    <row r="121" spans="1:21" x14ac:dyDescent="0.25">
      <c r="A121" t="s">
        <v>3267</v>
      </c>
      <c r="B121" s="73">
        <v>10</v>
      </c>
      <c r="C121" s="73">
        <v>10</v>
      </c>
      <c r="D121" s="73">
        <v>6</v>
      </c>
      <c r="E121" s="73">
        <v>4</v>
      </c>
      <c r="F121" s="73">
        <v>5</v>
      </c>
      <c r="G121" s="73">
        <v>6</v>
      </c>
      <c r="H121" s="73">
        <v>4</v>
      </c>
      <c r="I121" s="33"/>
      <c r="J121" s="73"/>
      <c r="K121" s="73"/>
      <c r="L121" s="73"/>
      <c r="M121" s="73"/>
      <c r="N121" s="73"/>
      <c r="O121" s="73"/>
      <c r="P121" s="73"/>
      <c r="Q121" s="33"/>
      <c r="R121" s="33"/>
      <c r="S121" s="33"/>
      <c r="T121" s="33" t="s">
        <v>706</v>
      </c>
      <c r="U121" t="str">
        <f>VLOOKUP(T121,GroupLabels!$E$2:$H$145,3,0)</f>
        <v>Uzbekistan - Uzbekistani</v>
      </c>
    </row>
    <row r="122" spans="1:21" x14ac:dyDescent="0.25">
      <c r="A122" s="3" t="s">
        <v>3272</v>
      </c>
      <c r="B122" s="75">
        <v>10</v>
      </c>
      <c r="C122" s="75">
        <v>10</v>
      </c>
      <c r="D122" s="75">
        <v>6</v>
      </c>
      <c r="E122" s="75">
        <v>4</v>
      </c>
      <c r="F122" s="75">
        <v>5</v>
      </c>
      <c r="G122" s="75">
        <v>6</v>
      </c>
      <c r="H122" s="75">
        <v>4</v>
      </c>
      <c r="I122" s="33"/>
      <c r="J122" s="73"/>
      <c r="K122" s="73"/>
      <c r="L122" s="73"/>
      <c r="M122" s="73"/>
      <c r="N122" s="73"/>
      <c r="O122" s="73"/>
      <c r="P122" s="73"/>
      <c r="Q122" s="33"/>
      <c r="R122" s="33"/>
      <c r="S122" s="33"/>
      <c r="T122" s="40" t="s">
        <v>707</v>
      </c>
      <c r="U122" t="str">
        <f>VLOOKUP(T122,GroupLabels!$E$2:$H$145,3,0)</f>
        <v>Viet Nam - Vietnamese</v>
      </c>
    </row>
    <row r="124" spans="1:21" x14ac:dyDescent="0.25">
      <c r="A124" s="33" t="s">
        <v>3477</v>
      </c>
    </row>
    <row r="125" spans="1:21" x14ac:dyDescent="0.25">
      <c r="A125" s="33" t="s">
        <v>3481</v>
      </c>
    </row>
    <row r="126" spans="1:21" x14ac:dyDescent="0.25">
      <c r="A126" s="33" t="s">
        <v>3482</v>
      </c>
    </row>
  </sheetData>
  <sheetProtection formatColumns="0" formatRows="0"/>
  <sortState xmlns:xlrd2="http://schemas.microsoft.com/office/spreadsheetml/2017/richdata2" ref="A7:U122">
    <sortCondition ref="A7:A122"/>
  </sortState>
  <hyperlinks>
    <hyperlink ref="A1" location="TOC!A1" display="Table of Contents" xr:uid="{E094D4A1-F2B4-4692-98D1-04DDBE80F31A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77"/>
  <dimension ref="A1:D6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140625" customWidth="1"/>
    <col min="2" max="2" width="45.4257812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162</v>
      </c>
      <c r="B3" s="33"/>
      <c r="C3" s="33"/>
      <c r="D3" s="33"/>
    </row>
    <row r="4" spans="1:4" x14ac:dyDescent="0.25">
      <c r="A4" s="34" t="s">
        <v>163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709</v>
      </c>
      <c r="C6" s="33"/>
      <c r="D6" s="33"/>
    </row>
    <row r="7" spans="1:4" x14ac:dyDescent="0.25">
      <c r="A7" s="33" t="s">
        <v>348</v>
      </c>
      <c r="B7" s="33" t="s">
        <v>1767</v>
      </c>
      <c r="C7" s="33"/>
      <c r="D7" s="33"/>
    </row>
    <row r="8" spans="1:4" x14ac:dyDescent="0.25">
      <c r="A8" s="33" t="s">
        <v>348</v>
      </c>
      <c r="B8" s="33" t="s">
        <v>1768</v>
      </c>
      <c r="C8" s="33"/>
      <c r="D8" s="33"/>
    </row>
    <row r="9" spans="1:4" x14ac:dyDescent="0.25">
      <c r="A9" s="33" t="s">
        <v>348</v>
      </c>
      <c r="B9" s="33" t="s">
        <v>1769</v>
      </c>
      <c r="C9" s="33"/>
      <c r="D9" s="33"/>
    </row>
    <row r="10" spans="1:4" x14ac:dyDescent="0.25">
      <c r="A10" s="33" t="s">
        <v>348</v>
      </c>
      <c r="B10" s="33" t="s">
        <v>1770</v>
      </c>
      <c r="C10" s="33"/>
      <c r="D10" s="33"/>
    </row>
    <row r="11" spans="1:4" x14ac:dyDescent="0.25">
      <c r="A11" s="33" t="s">
        <v>348</v>
      </c>
      <c r="B11" s="33" t="s">
        <v>1771</v>
      </c>
      <c r="C11" s="33"/>
      <c r="D11" s="33"/>
    </row>
    <row r="12" spans="1:4" x14ac:dyDescent="0.25">
      <c r="A12" s="33" t="s">
        <v>348</v>
      </c>
      <c r="B12" s="33" t="s">
        <v>1772</v>
      </c>
      <c r="C12" s="33"/>
      <c r="D12" s="33"/>
    </row>
    <row r="13" spans="1:4" x14ac:dyDescent="0.25">
      <c r="A13" s="33" t="s">
        <v>348</v>
      </c>
      <c r="B13" s="33" t="s">
        <v>1773</v>
      </c>
      <c r="C13" s="33"/>
      <c r="D13" s="33"/>
    </row>
    <row r="14" spans="1:4" x14ac:dyDescent="0.25">
      <c r="A14" s="33" t="s">
        <v>348</v>
      </c>
      <c r="B14" s="33" t="s">
        <v>1774</v>
      </c>
      <c r="C14" s="33"/>
      <c r="D14" s="33"/>
    </row>
    <row r="15" spans="1:4" x14ac:dyDescent="0.25">
      <c r="A15" s="33" t="s">
        <v>352</v>
      </c>
      <c r="B15" s="33" t="s">
        <v>1775</v>
      </c>
      <c r="C15" s="33"/>
      <c r="D15" s="33"/>
    </row>
    <row r="16" spans="1:4" x14ac:dyDescent="0.25">
      <c r="A16" s="33" t="s">
        <v>352</v>
      </c>
      <c r="B16" s="33" t="s">
        <v>1776</v>
      </c>
      <c r="C16" s="33"/>
      <c r="D16" s="33"/>
    </row>
    <row r="17" spans="1:4" x14ac:dyDescent="0.25">
      <c r="A17" s="33" t="s">
        <v>352</v>
      </c>
      <c r="B17" s="33" t="s">
        <v>1777</v>
      </c>
      <c r="C17" s="33"/>
      <c r="D17" s="33"/>
    </row>
    <row r="18" spans="1:4" x14ac:dyDescent="0.25">
      <c r="A18" s="33" t="s">
        <v>394</v>
      </c>
      <c r="B18" s="33" t="s">
        <v>1778</v>
      </c>
      <c r="C18" s="33"/>
      <c r="D18" s="33"/>
    </row>
    <row r="19" spans="1:4" x14ac:dyDescent="0.25">
      <c r="A19" s="33" t="s">
        <v>394</v>
      </c>
      <c r="B19" s="33" t="s">
        <v>1767</v>
      </c>
      <c r="C19" s="33"/>
      <c r="D19" s="33"/>
    </row>
    <row r="20" spans="1:4" x14ac:dyDescent="0.25">
      <c r="A20" s="33" t="s">
        <v>394</v>
      </c>
      <c r="B20" s="33" t="s">
        <v>1779</v>
      </c>
      <c r="C20" s="33"/>
      <c r="D20" s="33"/>
    </row>
    <row r="21" spans="1:4" x14ac:dyDescent="0.25">
      <c r="A21" s="33" t="s">
        <v>394</v>
      </c>
      <c r="B21" s="33" t="s">
        <v>1780</v>
      </c>
      <c r="C21" s="33"/>
      <c r="D21" s="33"/>
    </row>
    <row r="22" spans="1:4" x14ac:dyDescent="0.25">
      <c r="A22" s="33" t="s">
        <v>394</v>
      </c>
      <c r="B22" s="33" t="s">
        <v>1781</v>
      </c>
      <c r="C22" s="33"/>
      <c r="D22" s="33"/>
    </row>
    <row r="23" spans="1:4" x14ac:dyDescent="0.25">
      <c r="A23" s="33" t="s">
        <v>394</v>
      </c>
      <c r="B23" s="33" t="s">
        <v>1782</v>
      </c>
      <c r="C23" s="33"/>
      <c r="D23" s="33"/>
    </row>
    <row r="24" spans="1:4" x14ac:dyDescent="0.25">
      <c r="A24" s="33" t="s">
        <v>394</v>
      </c>
      <c r="B24" s="33" t="s">
        <v>1768</v>
      </c>
      <c r="C24" s="33"/>
      <c r="D24" s="33"/>
    </row>
    <row r="25" spans="1:4" x14ac:dyDescent="0.25">
      <c r="A25" s="33" t="s">
        <v>394</v>
      </c>
      <c r="B25" s="33" t="s">
        <v>1769</v>
      </c>
      <c r="C25" s="33"/>
      <c r="D25" s="33"/>
    </row>
    <row r="26" spans="1:4" x14ac:dyDescent="0.25">
      <c r="A26" s="33" t="s">
        <v>394</v>
      </c>
      <c r="B26" s="33" t="s">
        <v>1783</v>
      </c>
      <c r="C26" s="33"/>
      <c r="D26" s="33"/>
    </row>
    <row r="27" spans="1:4" x14ac:dyDescent="0.25">
      <c r="A27" s="33" t="s">
        <v>394</v>
      </c>
      <c r="B27" s="33" t="s">
        <v>1784</v>
      </c>
      <c r="C27" s="33"/>
      <c r="D27" s="33"/>
    </row>
    <row r="28" spans="1:4" x14ac:dyDescent="0.25">
      <c r="A28" s="33" t="s">
        <v>394</v>
      </c>
      <c r="B28" s="33" t="s">
        <v>1771</v>
      </c>
      <c r="C28" s="33"/>
      <c r="D28" s="33"/>
    </row>
    <row r="29" spans="1:4" x14ac:dyDescent="0.25">
      <c r="A29" s="33" t="s">
        <v>394</v>
      </c>
      <c r="B29" s="33" t="s">
        <v>1776</v>
      </c>
      <c r="C29" s="33"/>
      <c r="D29" s="33"/>
    </row>
    <row r="30" spans="1:4" x14ac:dyDescent="0.25">
      <c r="A30" s="33" t="s">
        <v>394</v>
      </c>
      <c r="B30" s="33" t="s">
        <v>1785</v>
      </c>
      <c r="C30" s="33"/>
      <c r="D30" s="33"/>
    </row>
    <row r="31" spans="1:4" x14ac:dyDescent="0.25">
      <c r="A31" s="33" t="s">
        <v>394</v>
      </c>
      <c r="B31" s="33" t="s">
        <v>1773</v>
      </c>
      <c r="C31" s="33"/>
      <c r="D31" s="33"/>
    </row>
    <row r="32" spans="1:4" x14ac:dyDescent="0.25">
      <c r="A32" s="33" t="s">
        <v>394</v>
      </c>
      <c r="B32" s="33" t="s">
        <v>1786</v>
      </c>
      <c r="C32" s="33"/>
      <c r="D32" s="33"/>
    </row>
    <row r="33" spans="1:4" x14ac:dyDescent="0.25">
      <c r="A33" s="33" t="s">
        <v>394</v>
      </c>
      <c r="B33" s="33" t="s">
        <v>1787</v>
      </c>
      <c r="C33" s="33"/>
      <c r="D33" s="33"/>
    </row>
    <row r="34" spans="1:4" x14ac:dyDescent="0.25">
      <c r="A34" s="33" t="s">
        <v>394</v>
      </c>
      <c r="B34" s="33" t="s">
        <v>1777</v>
      </c>
      <c r="C34" s="33"/>
      <c r="D34" s="33"/>
    </row>
    <row r="35" spans="1:4" x14ac:dyDescent="0.25">
      <c r="A35" s="33" t="s">
        <v>396</v>
      </c>
      <c r="B35" s="33" t="s">
        <v>1778</v>
      </c>
      <c r="C35" s="33"/>
      <c r="D35" s="33"/>
    </row>
    <row r="36" spans="1:4" x14ac:dyDescent="0.25">
      <c r="A36" s="33" t="s">
        <v>396</v>
      </c>
      <c r="B36" s="33" t="s">
        <v>1767</v>
      </c>
      <c r="C36" s="33"/>
      <c r="D36" s="33"/>
    </row>
    <row r="37" spans="1:4" x14ac:dyDescent="0.25">
      <c r="A37" s="33" t="s">
        <v>396</v>
      </c>
      <c r="B37" s="33" t="s">
        <v>1788</v>
      </c>
      <c r="C37" s="33"/>
      <c r="D37" s="33"/>
    </row>
    <row r="38" spans="1:4" x14ac:dyDescent="0.25">
      <c r="A38" s="33" t="s">
        <v>396</v>
      </c>
      <c r="B38" s="33" t="s">
        <v>1768</v>
      </c>
      <c r="C38" s="33"/>
      <c r="D38" s="33"/>
    </row>
    <row r="39" spans="1:4" x14ac:dyDescent="0.25">
      <c r="A39" s="33" t="s">
        <v>396</v>
      </c>
      <c r="B39" s="33" t="s">
        <v>1789</v>
      </c>
      <c r="C39" s="33"/>
      <c r="D39" s="33"/>
    </row>
    <row r="40" spans="1:4" x14ac:dyDescent="0.25">
      <c r="A40" s="33" t="s">
        <v>396</v>
      </c>
      <c r="B40" s="33" t="s">
        <v>1790</v>
      </c>
      <c r="C40" s="33"/>
      <c r="D40" s="33"/>
    </row>
    <row r="41" spans="1:4" x14ac:dyDescent="0.25">
      <c r="A41" s="33" t="s">
        <v>396</v>
      </c>
      <c r="B41" s="33" t="s">
        <v>1791</v>
      </c>
      <c r="C41" s="33"/>
      <c r="D41" s="33"/>
    </row>
    <row r="42" spans="1:4" x14ac:dyDescent="0.25">
      <c r="A42" s="33" t="s">
        <v>396</v>
      </c>
      <c r="B42" s="33" t="s">
        <v>1792</v>
      </c>
      <c r="C42" s="33"/>
      <c r="D42" s="33"/>
    </row>
    <row r="43" spans="1:4" x14ac:dyDescent="0.25">
      <c r="A43" s="33" t="s">
        <v>396</v>
      </c>
      <c r="B43" s="33" t="s">
        <v>1793</v>
      </c>
      <c r="C43" s="33"/>
      <c r="D43" s="33"/>
    </row>
    <row r="44" spans="1:4" x14ac:dyDescent="0.25">
      <c r="A44" s="33" t="s">
        <v>396</v>
      </c>
      <c r="B44" s="33" t="s">
        <v>1794</v>
      </c>
      <c r="C44" s="33"/>
      <c r="D44" s="33"/>
    </row>
    <row r="45" spans="1:4" x14ac:dyDescent="0.25">
      <c r="A45" s="33" t="s">
        <v>396</v>
      </c>
      <c r="B45" s="33" t="s">
        <v>1795</v>
      </c>
      <c r="C45" s="33"/>
      <c r="D45" s="33"/>
    </row>
    <row r="46" spans="1:4" x14ac:dyDescent="0.25">
      <c r="A46" s="33" t="s">
        <v>396</v>
      </c>
      <c r="B46" s="33" t="s">
        <v>1796</v>
      </c>
      <c r="C46" s="33"/>
      <c r="D46" s="33"/>
    </row>
    <row r="47" spans="1:4" x14ac:dyDescent="0.25">
      <c r="A47" s="33" t="s">
        <v>396</v>
      </c>
      <c r="B47" s="33" t="s">
        <v>1797</v>
      </c>
      <c r="C47" s="33"/>
      <c r="D47" s="33"/>
    </row>
    <row r="48" spans="1:4" x14ac:dyDescent="0.25">
      <c r="A48" s="33" t="s">
        <v>396</v>
      </c>
      <c r="B48" s="33" t="s">
        <v>1798</v>
      </c>
      <c r="C48" s="33"/>
      <c r="D48" s="33"/>
    </row>
    <row r="49" spans="1:4" x14ac:dyDescent="0.25">
      <c r="A49" s="33" t="s">
        <v>396</v>
      </c>
      <c r="B49" s="33" t="s">
        <v>1787</v>
      </c>
      <c r="C49" s="33"/>
      <c r="D49" s="33"/>
    </row>
    <row r="50" spans="1:4" x14ac:dyDescent="0.25">
      <c r="A50" s="33" t="s">
        <v>396</v>
      </c>
      <c r="B50" s="33" t="s">
        <v>1799</v>
      </c>
      <c r="C50" s="33"/>
      <c r="D50" s="33"/>
    </row>
    <row r="51" spans="1:4" x14ac:dyDescent="0.25">
      <c r="A51" s="33" t="s">
        <v>396</v>
      </c>
      <c r="B51" s="33" t="s">
        <v>1777</v>
      </c>
      <c r="C51" s="33"/>
      <c r="D51" s="33"/>
    </row>
    <row r="52" spans="1:4" x14ac:dyDescent="0.25">
      <c r="A52" s="33" t="s">
        <v>398</v>
      </c>
      <c r="B52" s="33" t="s">
        <v>1800</v>
      </c>
      <c r="C52" s="33"/>
      <c r="D52" s="33"/>
    </row>
    <row r="53" spans="1:4" x14ac:dyDescent="0.25">
      <c r="A53" s="33" t="s">
        <v>398</v>
      </c>
      <c r="B53" s="33" t="s">
        <v>1801</v>
      </c>
      <c r="C53" s="33"/>
      <c r="D53" s="33"/>
    </row>
    <row r="54" spans="1:4" x14ac:dyDescent="0.25">
      <c r="A54" s="33" t="s">
        <v>399</v>
      </c>
      <c r="B54" s="33" t="s">
        <v>1802</v>
      </c>
      <c r="C54" s="33"/>
      <c r="D54" s="33"/>
    </row>
    <row r="55" spans="1:4" x14ac:dyDescent="0.25">
      <c r="A55" s="33" t="s">
        <v>399</v>
      </c>
      <c r="B55" s="33" t="s">
        <v>1781</v>
      </c>
      <c r="C55" s="33"/>
      <c r="D55" s="33"/>
    </row>
    <row r="56" spans="1:4" x14ac:dyDescent="0.25">
      <c r="A56" s="33" t="s">
        <v>399</v>
      </c>
      <c r="B56" s="33" t="s">
        <v>1769</v>
      </c>
      <c r="C56" s="33"/>
      <c r="D56" s="33"/>
    </row>
    <row r="57" spans="1:4" x14ac:dyDescent="0.25">
      <c r="A57" s="33" t="s">
        <v>399</v>
      </c>
      <c r="B57" s="33" t="s">
        <v>1770</v>
      </c>
      <c r="C57" s="33"/>
      <c r="D57" s="33"/>
    </row>
    <row r="58" spans="1:4" x14ac:dyDescent="0.25">
      <c r="A58" s="33" t="s">
        <v>399</v>
      </c>
      <c r="B58" s="33" t="s">
        <v>1793</v>
      </c>
      <c r="C58" s="33"/>
      <c r="D58" s="33"/>
    </row>
    <row r="59" spans="1:4" x14ac:dyDescent="0.25">
      <c r="A59" s="33" t="s">
        <v>399</v>
      </c>
      <c r="B59" s="33" t="s">
        <v>1803</v>
      </c>
      <c r="C59" s="33"/>
      <c r="D59" s="33"/>
    </row>
    <row r="60" spans="1:4" x14ac:dyDescent="0.25">
      <c r="A60" s="33" t="s">
        <v>399</v>
      </c>
      <c r="B60" s="33" t="s">
        <v>1785</v>
      </c>
      <c r="C60" s="33"/>
      <c r="D60" s="33"/>
    </row>
    <row r="61" spans="1:4" x14ac:dyDescent="0.25">
      <c r="A61" s="33" t="s">
        <v>399</v>
      </c>
      <c r="B61" s="33" t="s">
        <v>1773</v>
      </c>
      <c r="C61" s="33"/>
      <c r="D61" s="33"/>
    </row>
    <row r="62" spans="1:4" x14ac:dyDescent="0.25">
      <c r="A62" s="33" t="s">
        <v>355</v>
      </c>
      <c r="B62" s="33" t="s">
        <v>1804</v>
      </c>
      <c r="C62" s="33"/>
      <c r="D62" s="33"/>
    </row>
    <row r="63" spans="1:4" x14ac:dyDescent="0.25">
      <c r="A63" s="33" t="s">
        <v>355</v>
      </c>
      <c r="B63" s="33" t="s">
        <v>1794</v>
      </c>
      <c r="C63" s="33"/>
      <c r="D63" s="33"/>
    </row>
    <row r="64" spans="1:4" x14ac:dyDescent="0.25">
      <c r="A64" s="40" t="s">
        <v>356</v>
      </c>
      <c r="B64" s="40" t="s">
        <v>1805</v>
      </c>
      <c r="C64" s="33"/>
      <c r="D64" s="33"/>
    </row>
  </sheetData>
  <sheetProtection formatColumns="0" formatRows="0"/>
  <hyperlinks>
    <hyperlink ref="A1" location="TOC!A1" display="Table of Contents" xr:uid="{F01F9AA8-9654-4196-8D9F-310A185460F9}"/>
  </hyperlink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06"/>
  <dimension ref="A1:T118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9" customWidth="1"/>
    <col min="2" max="2" width="35.42578125" customWidth="1"/>
    <col min="20" max="20" width="0" hidden="1"/>
  </cols>
  <sheetData>
    <row r="1" spans="1:20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25">
      <c r="A3" s="34" t="s">
        <v>164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34" t="s">
        <v>165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65" t="s">
        <v>317</v>
      </c>
      <c r="B6" s="65" t="s">
        <v>709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0" x14ac:dyDescent="0.25">
      <c r="A7" s="59" t="s">
        <v>348</v>
      </c>
      <c r="B7" s="5" t="s">
        <v>3211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59" t="s">
        <v>606</v>
      </c>
    </row>
    <row r="8" spans="1:20" x14ac:dyDescent="0.25">
      <c r="A8" s="33" t="s">
        <v>348</v>
      </c>
      <c r="B8" t="s">
        <v>3088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 t="s">
        <v>616</v>
      </c>
    </row>
    <row r="9" spans="1:20" x14ac:dyDescent="0.25">
      <c r="A9" s="33" t="s">
        <v>348</v>
      </c>
      <c r="B9" t="s">
        <v>2467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 t="s">
        <v>618</v>
      </c>
    </row>
    <row r="10" spans="1:20" x14ac:dyDescent="0.25">
      <c r="A10" s="33" t="s">
        <v>348</v>
      </c>
      <c r="B10" t="s">
        <v>3159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 t="s">
        <v>632</v>
      </c>
    </row>
    <row r="11" spans="1:20" x14ac:dyDescent="0.25">
      <c r="A11" s="33" t="s">
        <v>348</v>
      </c>
      <c r="B11" t="s">
        <v>3212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 t="s">
        <v>633</v>
      </c>
    </row>
    <row r="12" spans="1:20" x14ac:dyDescent="0.25">
      <c r="A12" s="33" t="s">
        <v>348</v>
      </c>
      <c r="B12" t="s">
        <v>3266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 t="s">
        <v>634</v>
      </c>
    </row>
    <row r="13" spans="1:20" x14ac:dyDescent="0.25">
      <c r="A13" s="33" t="s">
        <v>348</v>
      </c>
      <c r="B13" t="s">
        <v>3200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 t="s">
        <v>645</v>
      </c>
    </row>
    <row r="14" spans="1:20" x14ac:dyDescent="0.25">
      <c r="A14" s="33" t="s">
        <v>348</v>
      </c>
      <c r="B14" t="s">
        <v>760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 t="s">
        <v>663</v>
      </c>
    </row>
    <row r="15" spans="1:20" x14ac:dyDescent="0.25">
      <c r="A15" s="33" t="s">
        <v>348</v>
      </c>
      <c r="B15" t="s">
        <v>3133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 t="s">
        <v>704</v>
      </c>
    </row>
    <row r="16" spans="1:20" x14ac:dyDescent="0.25">
      <c r="A16" s="33" t="s">
        <v>392</v>
      </c>
      <c r="B16" t="s">
        <v>3211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 t="s">
        <v>606</v>
      </c>
    </row>
    <row r="17" spans="1:20" x14ac:dyDescent="0.25">
      <c r="A17" s="33" t="s">
        <v>392</v>
      </c>
      <c r="B17" t="s">
        <v>3088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 t="s">
        <v>616</v>
      </c>
    </row>
    <row r="18" spans="1:20" x14ac:dyDescent="0.25">
      <c r="A18" s="33" t="s">
        <v>392</v>
      </c>
      <c r="B18" t="s">
        <v>2467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 t="s">
        <v>618</v>
      </c>
    </row>
    <row r="19" spans="1:20" x14ac:dyDescent="0.25">
      <c r="A19" s="33" t="s">
        <v>392</v>
      </c>
      <c r="B19" t="s">
        <v>3200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 t="s">
        <v>645</v>
      </c>
    </row>
    <row r="20" spans="1:20" x14ac:dyDescent="0.25">
      <c r="A20" s="33" t="s">
        <v>392</v>
      </c>
      <c r="B20" t="s">
        <v>762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 t="s">
        <v>689</v>
      </c>
    </row>
    <row r="21" spans="1:20" x14ac:dyDescent="0.25">
      <c r="A21" s="33" t="s">
        <v>392</v>
      </c>
      <c r="B21" t="s">
        <v>3133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 t="s">
        <v>704</v>
      </c>
    </row>
    <row r="22" spans="1:20" x14ac:dyDescent="0.25">
      <c r="A22" s="33" t="s">
        <v>393</v>
      </c>
      <c r="B22" t="s">
        <v>3211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 t="s">
        <v>606</v>
      </c>
    </row>
    <row r="23" spans="1:20" x14ac:dyDescent="0.25">
      <c r="A23" s="33" t="s">
        <v>393</v>
      </c>
      <c r="B23" t="s">
        <v>3088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 t="s">
        <v>616</v>
      </c>
    </row>
    <row r="24" spans="1:20" x14ac:dyDescent="0.25">
      <c r="A24" s="33" t="s">
        <v>393</v>
      </c>
      <c r="B24" t="s">
        <v>2467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 t="s">
        <v>618</v>
      </c>
    </row>
    <row r="25" spans="1:20" x14ac:dyDescent="0.25">
      <c r="A25" s="33" t="s">
        <v>393</v>
      </c>
      <c r="B25" t="s">
        <v>3200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 t="s">
        <v>645</v>
      </c>
    </row>
    <row r="26" spans="1:20" x14ac:dyDescent="0.25">
      <c r="A26" s="33" t="s">
        <v>393</v>
      </c>
      <c r="B26" t="s">
        <v>760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 t="s">
        <v>663</v>
      </c>
    </row>
    <row r="27" spans="1:20" x14ac:dyDescent="0.25">
      <c r="A27" s="33" t="s">
        <v>393</v>
      </c>
      <c r="B27" t="s">
        <v>3025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 t="s">
        <v>680</v>
      </c>
    </row>
    <row r="28" spans="1:20" x14ac:dyDescent="0.25">
      <c r="A28" s="33" t="s">
        <v>393</v>
      </c>
      <c r="B28" t="s">
        <v>762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 t="s">
        <v>689</v>
      </c>
    </row>
    <row r="29" spans="1:20" x14ac:dyDescent="0.25">
      <c r="A29" s="33" t="s">
        <v>349</v>
      </c>
      <c r="B29" t="s">
        <v>3211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 t="s">
        <v>606</v>
      </c>
    </row>
    <row r="30" spans="1:20" x14ac:dyDescent="0.25">
      <c r="A30" s="33" t="s">
        <v>349</v>
      </c>
      <c r="B30" t="s">
        <v>3088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 t="s">
        <v>616</v>
      </c>
    </row>
    <row r="31" spans="1:20" x14ac:dyDescent="0.25">
      <c r="A31" s="33" t="s">
        <v>349</v>
      </c>
      <c r="B31" t="s">
        <v>2467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 t="s">
        <v>618</v>
      </c>
    </row>
    <row r="32" spans="1:20" x14ac:dyDescent="0.25">
      <c r="A32" s="33" t="s">
        <v>349</v>
      </c>
      <c r="B32" t="s">
        <v>3200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 t="s">
        <v>645</v>
      </c>
    </row>
    <row r="33" spans="1:20" x14ac:dyDescent="0.25">
      <c r="A33" s="33" t="s">
        <v>349</v>
      </c>
      <c r="B33" t="s">
        <v>3019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 t="s">
        <v>666</v>
      </c>
    </row>
    <row r="34" spans="1:20" x14ac:dyDescent="0.25">
      <c r="A34" s="33" t="s">
        <v>349</v>
      </c>
      <c r="B34" t="s">
        <v>762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 t="s">
        <v>689</v>
      </c>
    </row>
    <row r="35" spans="1:20" x14ac:dyDescent="0.25">
      <c r="A35" s="33" t="s">
        <v>350</v>
      </c>
      <c r="B35" t="s">
        <v>3211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 t="s">
        <v>606</v>
      </c>
    </row>
    <row r="36" spans="1:20" x14ac:dyDescent="0.25">
      <c r="A36" s="33" t="s">
        <v>350</v>
      </c>
      <c r="B36" t="s">
        <v>3088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 t="s">
        <v>616</v>
      </c>
    </row>
    <row r="37" spans="1:20" x14ac:dyDescent="0.25">
      <c r="A37" s="33" t="s">
        <v>350</v>
      </c>
      <c r="B37" t="s">
        <v>768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 t="s">
        <v>622</v>
      </c>
    </row>
    <row r="38" spans="1:20" x14ac:dyDescent="0.25">
      <c r="A38" s="33" t="s">
        <v>350</v>
      </c>
      <c r="B38" t="s">
        <v>3200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 t="s">
        <v>645</v>
      </c>
    </row>
    <row r="39" spans="1:20" x14ac:dyDescent="0.25">
      <c r="A39" s="33" t="s">
        <v>350</v>
      </c>
      <c r="B39" t="s">
        <v>2990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10" t="s">
        <v>700</v>
      </c>
    </row>
    <row r="40" spans="1:20" x14ac:dyDescent="0.25">
      <c r="A40" s="33" t="s">
        <v>351</v>
      </c>
      <c r="B40" t="s">
        <v>3211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 t="s">
        <v>606</v>
      </c>
    </row>
    <row r="41" spans="1:20" x14ac:dyDescent="0.25">
      <c r="A41" s="33" t="s">
        <v>351</v>
      </c>
      <c r="B41" t="s">
        <v>3088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 t="s">
        <v>616</v>
      </c>
    </row>
    <row r="42" spans="1:20" x14ac:dyDescent="0.25">
      <c r="A42" s="33" t="s">
        <v>351</v>
      </c>
      <c r="B42" t="s">
        <v>3200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 t="s">
        <v>645</v>
      </c>
    </row>
    <row r="43" spans="1:20" x14ac:dyDescent="0.25">
      <c r="A43" s="33" t="s">
        <v>351</v>
      </c>
      <c r="B43" t="s">
        <v>3019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 t="s">
        <v>666</v>
      </c>
    </row>
    <row r="44" spans="1:20" x14ac:dyDescent="0.25">
      <c r="A44" s="33" t="s">
        <v>352</v>
      </c>
      <c r="B44" t="s">
        <v>3211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 t="s">
        <v>606</v>
      </c>
    </row>
    <row r="45" spans="1:20" x14ac:dyDescent="0.25">
      <c r="A45" s="33" t="s">
        <v>352</v>
      </c>
      <c r="B45" t="s">
        <v>3088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 t="s">
        <v>616</v>
      </c>
    </row>
    <row r="46" spans="1:20" x14ac:dyDescent="0.25">
      <c r="A46" s="33" t="s">
        <v>352</v>
      </c>
      <c r="B46" t="s">
        <v>3200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 t="s">
        <v>645</v>
      </c>
    </row>
    <row r="47" spans="1:20" x14ac:dyDescent="0.25">
      <c r="A47" s="33" t="s">
        <v>352</v>
      </c>
      <c r="B47" t="s">
        <v>3019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 t="s">
        <v>666</v>
      </c>
    </row>
    <row r="48" spans="1:20" x14ac:dyDescent="0.25">
      <c r="A48" s="33" t="s">
        <v>394</v>
      </c>
      <c r="B48" t="s">
        <v>3185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 t="s">
        <v>574</v>
      </c>
    </row>
    <row r="49" spans="1:20" x14ac:dyDescent="0.25">
      <c r="A49" s="33" t="s">
        <v>394</v>
      </c>
      <c r="B49" t="s">
        <v>3211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 t="s">
        <v>606</v>
      </c>
    </row>
    <row r="50" spans="1:20" x14ac:dyDescent="0.25">
      <c r="A50" s="33" t="s">
        <v>394</v>
      </c>
      <c r="B50" t="s">
        <v>3088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 t="s">
        <v>616</v>
      </c>
    </row>
    <row r="51" spans="1:20" x14ac:dyDescent="0.25">
      <c r="A51" s="33" t="s">
        <v>394</v>
      </c>
      <c r="B51" t="s">
        <v>2467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 t="s">
        <v>618</v>
      </c>
    </row>
    <row r="52" spans="1:20" x14ac:dyDescent="0.25">
      <c r="A52" s="33" t="s">
        <v>394</v>
      </c>
      <c r="B52" t="s">
        <v>3094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 t="s">
        <v>619</v>
      </c>
    </row>
    <row r="53" spans="1:20" x14ac:dyDescent="0.25">
      <c r="A53" s="33" t="s">
        <v>394</v>
      </c>
      <c r="B53" t="s">
        <v>2967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 t="s">
        <v>620</v>
      </c>
    </row>
    <row r="54" spans="1:20" x14ac:dyDescent="0.25">
      <c r="A54" s="33" t="s">
        <v>394</v>
      </c>
      <c r="B54" t="s">
        <v>3126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 t="s">
        <v>621</v>
      </c>
    </row>
    <row r="55" spans="1:20" x14ac:dyDescent="0.25">
      <c r="A55" s="33" t="s">
        <v>394</v>
      </c>
      <c r="B55" t="s">
        <v>3004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 t="s">
        <v>641</v>
      </c>
    </row>
    <row r="56" spans="1:20" x14ac:dyDescent="0.25">
      <c r="A56" s="33" t="s">
        <v>394</v>
      </c>
      <c r="B56" t="s">
        <v>3167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 t="s">
        <v>635</v>
      </c>
    </row>
    <row r="57" spans="1:20" x14ac:dyDescent="0.25">
      <c r="A57" s="33" t="s">
        <v>394</v>
      </c>
      <c r="B57" t="s">
        <v>3200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 t="s">
        <v>645</v>
      </c>
    </row>
    <row r="58" spans="1:20" x14ac:dyDescent="0.25">
      <c r="A58" s="33" t="s">
        <v>394</v>
      </c>
      <c r="B58" t="s">
        <v>760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 t="s">
        <v>663</v>
      </c>
    </row>
    <row r="59" spans="1:20" x14ac:dyDescent="0.25">
      <c r="A59" s="33" t="s">
        <v>394</v>
      </c>
      <c r="B59" t="s">
        <v>762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 t="s">
        <v>689</v>
      </c>
    </row>
    <row r="60" spans="1:20" x14ac:dyDescent="0.25">
      <c r="A60" s="33" t="s">
        <v>353</v>
      </c>
      <c r="B60" t="s">
        <v>2982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 t="s">
        <v>570</v>
      </c>
    </row>
    <row r="61" spans="1:20" x14ac:dyDescent="0.25">
      <c r="A61" s="33" t="s">
        <v>353</v>
      </c>
      <c r="B61" t="s">
        <v>767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 t="s">
        <v>607</v>
      </c>
    </row>
    <row r="62" spans="1:20" x14ac:dyDescent="0.25">
      <c r="A62" s="33" t="s">
        <v>353</v>
      </c>
      <c r="B62" t="s">
        <v>3211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 t="s">
        <v>606</v>
      </c>
    </row>
    <row r="63" spans="1:20" x14ac:dyDescent="0.25">
      <c r="A63" s="33" t="s">
        <v>353</v>
      </c>
      <c r="B63" t="s">
        <v>2995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 t="s">
        <v>615</v>
      </c>
    </row>
    <row r="64" spans="1:20" x14ac:dyDescent="0.25">
      <c r="A64" s="33" t="s">
        <v>353</v>
      </c>
      <c r="B64" t="s">
        <v>3088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 t="s">
        <v>616</v>
      </c>
    </row>
    <row r="65" spans="1:20" x14ac:dyDescent="0.25">
      <c r="A65" s="33" t="s">
        <v>353</v>
      </c>
      <c r="B65" t="s">
        <v>2467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 t="s">
        <v>618</v>
      </c>
    </row>
    <row r="66" spans="1:20" x14ac:dyDescent="0.25">
      <c r="A66" s="33" t="s">
        <v>353</v>
      </c>
      <c r="B66" t="s">
        <v>768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 t="s">
        <v>622</v>
      </c>
    </row>
    <row r="67" spans="1:20" x14ac:dyDescent="0.25">
      <c r="A67" s="33" t="s">
        <v>353</v>
      </c>
      <c r="B67" t="s">
        <v>3200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 t="s">
        <v>645</v>
      </c>
    </row>
    <row r="68" spans="1:20" x14ac:dyDescent="0.25">
      <c r="A68" s="33" t="s">
        <v>353</v>
      </c>
      <c r="B68" t="s">
        <v>3025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 t="s">
        <v>680</v>
      </c>
    </row>
    <row r="69" spans="1:20" x14ac:dyDescent="0.25">
      <c r="A69" s="33" t="s">
        <v>395</v>
      </c>
      <c r="B69" t="s">
        <v>3185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 t="s">
        <v>574</v>
      </c>
    </row>
    <row r="70" spans="1:20" x14ac:dyDescent="0.25">
      <c r="A70" s="33" t="s">
        <v>395</v>
      </c>
      <c r="B70" t="s">
        <v>3098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 t="s">
        <v>588</v>
      </c>
    </row>
    <row r="71" spans="1:20" x14ac:dyDescent="0.25">
      <c r="A71" s="33" t="s">
        <v>395</v>
      </c>
      <c r="B71" t="s">
        <v>3069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 t="s">
        <v>599</v>
      </c>
    </row>
    <row r="72" spans="1:20" x14ac:dyDescent="0.25">
      <c r="A72" s="33" t="s">
        <v>395</v>
      </c>
      <c r="B72" t="s">
        <v>3211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 t="s">
        <v>606</v>
      </c>
    </row>
    <row r="73" spans="1:20" x14ac:dyDescent="0.25">
      <c r="A73" s="33" t="s">
        <v>395</v>
      </c>
      <c r="B73" t="s">
        <v>3088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 t="s">
        <v>616</v>
      </c>
    </row>
    <row r="74" spans="1:20" x14ac:dyDescent="0.25">
      <c r="A74" s="33" t="s">
        <v>395</v>
      </c>
      <c r="B74" t="s">
        <v>2467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 t="s">
        <v>618</v>
      </c>
    </row>
    <row r="75" spans="1:20" x14ac:dyDescent="0.25">
      <c r="A75" s="33" t="s">
        <v>395</v>
      </c>
      <c r="B75" t="s">
        <v>3200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 t="s">
        <v>645</v>
      </c>
    </row>
    <row r="76" spans="1:20" x14ac:dyDescent="0.25">
      <c r="A76" s="33" t="s">
        <v>395</v>
      </c>
      <c r="B76" t="s">
        <v>3172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 t="s">
        <v>648</v>
      </c>
    </row>
    <row r="77" spans="1:20" x14ac:dyDescent="0.25">
      <c r="A77" s="33" t="s">
        <v>395</v>
      </c>
      <c r="B77" t="s">
        <v>3234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 t="s">
        <v>647</v>
      </c>
    </row>
    <row r="78" spans="1:20" x14ac:dyDescent="0.25">
      <c r="A78" s="33" t="s">
        <v>395</v>
      </c>
      <c r="B78" t="s">
        <v>762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 t="s">
        <v>689</v>
      </c>
    </row>
    <row r="79" spans="1:20" x14ac:dyDescent="0.25">
      <c r="A79" s="33" t="s">
        <v>396</v>
      </c>
      <c r="B79" t="s">
        <v>2982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 t="s">
        <v>570</v>
      </c>
    </row>
    <row r="80" spans="1:20" x14ac:dyDescent="0.25">
      <c r="A80" s="33" t="s">
        <v>396</v>
      </c>
      <c r="B80" t="s">
        <v>2920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 t="s">
        <v>604</v>
      </c>
    </row>
    <row r="81" spans="1:20" x14ac:dyDescent="0.25">
      <c r="A81" s="33" t="s">
        <v>396</v>
      </c>
      <c r="B81" t="s">
        <v>3211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 t="s">
        <v>606</v>
      </c>
    </row>
    <row r="82" spans="1:20" x14ac:dyDescent="0.25">
      <c r="A82" s="33" t="s">
        <v>396</v>
      </c>
      <c r="B82" t="s">
        <v>3088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 t="s">
        <v>616</v>
      </c>
    </row>
    <row r="83" spans="1:20" x14ac:dyDescent="0.25">
      <c r="A83" s="33" t="s">
        <v>396</v>
      </c>
      <c r="B83" t="s">
        <v>3212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 t="s">
        <v>633</v>
      </c>
    </row>
    <row r="84" spans="1:20" x14ac:dyDescent="0.25">
      <c r="A84" s="33" t="s">
        <v>396</v>
      </c>
      <c r="B84" t="s">
        <v>3266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 t="s">
        <v>634</v>
      </c>
    </row>
    <row r="85" spans="1:20" x14ac:dyDescent="0.25">
      <c r="A85" s="33" t="s">
        <v>396</v>
      </c>
      <c r="B85" t="s">
        <v>3200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 t="s">
        <v>645</v>
      </c>
    </row>
    <row r="86" spans="1:20" x14ac:dyDescent="0.25">
      <c r="A86" s="33" t="s">
        <v>396</v>
      </c>
      <c r="B86" t="s">
        <v>3019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 t="s">
        <v>666</v>
      </c>
    </row>
    <row r="87" spans="1:20" x14ac:dyDescent="0.25">
      <c r="A87" s="33" t="s">
        <v>396</v>
      </c>
      <c r="B87" t="s">
        <v>3023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 t="s">
        <v>678</v>
      </c>
    </row>
    <row r="88" spans="1:20" x14ac:dyDescent="0.25">
      <c r="A88" s="33" t="s">
        <v>396</v>
      </c>
      <c r="B88" t="s">
        <v>2990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110" t="s">
        <v>700</v>
      </c>
    </row>
    <row r="89" spans="1:20" x14ac:dyDescent="0.25">
      <c r="A89" s="33" t="s">
        <v>396</v>
      </c>
      <c r="B89" t="s">
        <v>3133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 t="s">
        <v>704</v>
      </c>
    </row>
    <row r="90" spans="1:20" x14ac:dyDescent="0.25">
      <c r="A90" s="33" t="s">
        <v>397</v>
      </c>
      <c r="B90" t="s">
        <v>3211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 t="s">
        <v>606</v>
      </c>
    </row>
    <row r="91" spans="1:20" x14ac:dyDescent="0.25">
      <c r="A91" s="33" t="s">
        <v>397</v>
      </c>
      <c r="B91" t="s">
        <v>3088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 t="s">
        <v>616</v>
      </c>
    </row>
    <row r="92" spans="1:20" x14ac:dyDescent="0.25">
      <c r="A92" s="33" t="s">
        <v>397</v>
      </c>
      <c r="B92" t="s">
        <v>3200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 t="s">
        <v>645</v>
      </c>
    </row>
    <row r="93" spans="1:20" x14ac:dyDescent="0.25">
      <c r="A93" s="33" t="s">
        <v>397</v>
      </c>
      <c r="B93" t="s">
        <v>3019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 t="s">
        <v>666</v>
      </c>
    </row>
    <row r="94" spans="1:20" x14ac:dyDescent="0.25">
      <c r="A94" s="33" t="s">
        <v>398</v>
      </c>
      <c r="B94" t="s">
        <v>3211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 t="s">
        <v>606</v>
      </c>
    </row>
    <row r="95" spans="1:20" x14ac:dyDescent="0.25">
      <c r="A95" s="33" t="s">
        <v>398</v>
      </c>
      <c r="B95" t="s">
        <v>3088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 t="s">
        <v>616</v>
      </c>
    </row>
    <row r="96" spans="1:20" x14ac:dyDescent="0.25">
      <c r="A96" s="33" t="s">
        <v>398</v>
      </c>
      <c r="B96" t="s">
        <v>3266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 t="s">
        <v>634</v>
      </c>
    </row>
    <row r="97" spans="1:20" x14ac:dyDescent="0.25">
      <c r="A97" s="33" t="s">
        <v>398</v>
      </c>
      <c r="B97" t="s">
        <v>3200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 t="s">
        <v>645</v>
      </c>
    </row>
    <row r="98" spans="1:20" x14ac:dyDescent="0.25">
      <c r="A98" s="33" t="s">
        <v>398</v>
      </c>
      <c r="B98" t="s">
        <v>3133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 t="s">
        <v>704</v>
      </c>
    </row>
    <row r="99" spans="1:20" x14ac:dyDescent="0.25">
      <c r="A99" s="33" t="s">
        <v>399</v>
      </c>
      <c r="B99" t="s">
        <v>2982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 t="s">
        <v>570</v>
      </c>
    </row>
    <row r="100" spans="1:20" x14ac:dyDescent="0.25">
      <c r="A100" s="33" t="s">
        <v>399</v>
      </c>
      <c r="B100" t="s">
        <v>3211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 t="s">
        <v>606</v>
      </c>
    </row>
    <row r="101" spans="1:20" x14ac:dyDescent="0.25">
      <c r="A101" s="33" t="s">
        <v>399</v>
      </c>
      <c r="B101" t="s">
        <v>3088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 t="s">
        <v>616</v>
      </c>
    </row>
    <row r="102" spans="1:20" x14ac:dyDescent="0.25">
      <c r="A102" s="33" t="s">
        <v>399</v>
      </c>
      <c r="B102" t="s">
        <v>3200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 t="s">
        <v>645</v>
      </c>
    </row>
    <row r="103" spans="1:20" x14ac:dyDescent="0.25">
      <c r="A103" s="33" t="s">
        <v>399</v>
      </c>
      <c r="B103" t="s">
        <v>760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 t="s">
        <v>663</v>
      </c>
    </row>
    <row r="104" spans="1:20" x14ac:dyDescent="0.25">
      <c r="A104" s="33" t="s">
        <v>399</v>
      </c>
      <c r="B104" t="s">
        <v>762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 t="s">
        <v>689</v>
      </c>
    </row>
    <row r="105" spans="1:20" x14ac:dyDescent="0.25">
      <c r="A105" s="33" t="s">
        <v>354</v>
      </c>
      <c r="B105" t="s">
        <v>3211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 t="s">
        <v>606</v>
      </c>
    </row>
    <row r="106" spans="1:20" x14ac:dyDescent="0.25">
      <c r="A106" s="33" t="s">
        <v>354</v>
      </c>
      <c r="B106" t="s">
        <v>3088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 t="s">
        <v>616</v>
      </c>
    </row>
    <row r="107" spans="1:20" x14ac:dyDescent="0.25">
      <c r="A107" s="33" t="s">
        <v>354</v>
      </c>
      <c r="B107" t="s">
        <v>3200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 t="s">
        <v>645</v>
      </c>
    </row>
    <row r="108" spans="1:20" x14ac:dyDescent="0.25">
      <c r="A108" s="33" t="s">
        <v>355</v>
      </c>
      <c r="B108" t="s">
        <v>3211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 t="s">
        <v>606</v>
      </c>
    </row>
    <row r="109" spans="1:20" x14ac:dyDescent="0.25">
      <c r="A109" s="33" t="s">
        <v>355</v>
      </c>
      <c r="B109" t="s">
        <v>3088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 t="s">
        <v>616</v>
      </c>
    </row>
    <row r="110" spans="1:20" x14ac:dyDescent="0.25">
      <c r="A110" s="33" t="s">
        <v>355</v>
      </c>
      <c r="B110" t="s">
        <v>768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 t="s">
        <v>622</v>
      </c>
    </row>
    <row r="111" spans="1:20" x14ac:dyDescent="0.25">
      <c r="A111" s="33" t="s">
        <v>355</v>
      </c>
      <c r="B111" t="s">
        <v>3200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 t="s">
        <v>645</v>
      </c>
    </row>
    <row r="112" spans="1:20" x14ac:dyDescent="0.25">
      <c r="A112" s="33" t="s">
        <v>355</v>
      </c>
      <c r="B112" t="s">
        <v>760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 t="s">
        <v>663</v>
      </c>
    </row>
    <row r="113" spans="1:20" x14ac:dyDescent="0.25">
      <c r="A113" s="33" t="s">
        <v>356</v>
      </c>
      <c r="B113" t="s">
        <v>3211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 t="s">
        <v>606</v>
      </c>
    </row>
    <row r="114" spans="1:20" x14ac:dyDescent="0.25">
      <c r="A114" s="33" t="s">
        <v>356</v>
      </c>
      <c r="B114" t="s">
        <v>3088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 t="s">
        <v>616</v>
      </c>
    </row>
    <row r="115" spans="1:20" x14ac:dyDescent="0.25">
      <c r="A115" s="33" t="s">
        <v>356</v>
      </c>
      <c r="B115" t="s">
        <v>3266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 t="s">
        <v>634</v>
      </c>
    </row>
    <row r="116" spans="1:20" x14ac:dyDescent="0.25">
      <c r="A116" s="33" t="s">
        <v>356</v>
      </c>
      <c r="B116" t="s">
        <v>3200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 t="s">
        <v>645</v>
      </c>
    </row>
    <row r="117" spans="1:20" x14ac:dyDescent="0.25">
      <c r="A117" s="33" t="s">
        <v>356</v>
      </c>
      <c r="B117" t="s">
        <v>760</v>
      </c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40" t="s">
        <v>663</v>
      </c>
    </row>
    <row r="118" spans="1:20" x14ac:dyDescent="0.25">
      <c r="A118" s="33" t="s">
        <v>356</v>
      </c>
      <c r="B118" t="s">
        <v>3019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 t="s">
        <v>666</v>
      </c>
    </row>
  </sheetData>
  <sheetProtection formatColumns="0" formatRows="0"/>
  <hyperlinks>
    <hyperlink ref="A1" location="TOC!A1" display="Table of Contents" xr:uid="{3A83E74C-2BB3-43BB-BCB0-2D21526E07DE}"/>
  </hyperlinks>
  <pageMargins left="0.7" right="0.7" top="0.75" bottom="0.75" header="0.3" footer="0.3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78"/>
  <dimension ref="A1:F2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3.140625" bestFit="1" customWidth="1"/>
    <col min="3" max="3" width="102.140625" customWidth="1"/>
    <col min="4" max="4" width="12.7109375" customWidth="1"/>
    <col min="5" max="5" width="8.7109375" bestFit="1" customWidth="1"/>
  </cols>
  <sheetData>
    <row r="1" spans="1:6" x14ac:dyDescent="0.25">
      <c r="A1" s="141" t="s">
        <v>316</v>
      </c>
      <c r="B1" s="32" t="s">
        <v>396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166</v>
      </c>
      <c r="B3" s="33"/>
      <c r="C3" s="33"/>
      <c r="D3" s="33"/>
      <c r="E3" s="33"/>
      <c r="F3" s="33"/>
    </row>
    <row r="4" spans="1:6" x14ac:dyDescent="0.25">
      <c r="A4" s="34" t="s">
        <v>167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1806</v>
      </c>
      <c r="C7" s="33" t="s">
        <v>1807</v>
      </c>
      <c r="D7" s="33" t="s">
        <v>927</v>
      </c>
      <c r="E7" s="2">
        <v>2.8219400000000001</v>
      </c>
      <c r="F7" s="2">
        <v>-6.7715599999999982</v>
      </c>
    </row>
    <row r="8" spans="1:6" x14ac:dyDescent="0.25">
      <c r="A8" s="33" t="s">
        <v>782</v>
      </c>
      <c r="B8" s="33" t="s">
        <v>1808</v>
      </c>
      <c r="C8" s="33" t="s">
        <v>1809</v>
      </c>
      <c r="D8" s="33" t="s">
        <v>927</v>
      </c>
      <c r="E8" s="2">
        <v>3.8922099999999999</v>
      </c>
      <c r="F8" s="2">
        <v>-7.9322699999999999</v>
      </c>
    </row>
    <row r="9" spans="1:6" x14ac:dyDescent="0.25">
      <c r="A9" s="33" t="s">
        <v>782</v>
      </c>
      <c r="B9" s="33" t="s">
        <v>1810</v>
      </c>
      <c r="C9" s="33" t="s">
        <v>1811</v>
      </c>
      <c r="D9" s="33" t="s">
        <v>927</v>
      </c>
      <c r="E9" s="2">
        <v>3.4520400000000002</v>
      </c>
      <c r="F9" s="2">
        <v>-6.1040900000000002</v>
      </c>
    </row>
    <row r="10" spans="1:6" x14ac:dyDescent="0.25">
      <c r="A10" s="33" t="s">
        <v>782</v>
      </c>
      <c r="B10" s="33" t="s">
        <v>1812</v>
      </c>
      <c r="C10" s="33" t="s">
        <v>1813</v>
      </c>
      <c r="D10" s="33" t="s">
        <v>927</v>
      </c>
      <c r="E10" s="2">
        <v>1.8677999999999999</v>
      </c>
      <c r="F10" s="2">
        <v>-3.82341</v>
      </c>
    </row>
    <row r="11" spans="1:6" x14ac:dyDescent="0.25">
      <c r="A11" s="33" t="s">
        <v>782</v>
      </c>
      <c r="B11" s="33" t="s">
        <v>1814</v>
      </c>
      <c r="C11" s="33" t="s">
        <v>1815</v>
      </c>
      <c r="D11" s="33" t="s">
        <v>927</v>
      </c>
      <c r="E11" s="2">
        <v>2.1782400000000002</v>
      </c>
      <c r="F11" s="2">
        <v>-2.6735699999999998</v>
      </c>
    </row>
    <row r="12" spans="1:6" x14ac:dyDescent="0.25">
      <c r="A12" s="40" t="s">
        <v>782</v>
      </c>
      <c r="B12" s="40" t="s">
        <v>1816</v>
      </c>
      <c r="C12" s="40" t="s">
        <v>1817</v>
      </c>
      <c r="D12" s="40" t="s">
        <v>927</v>
      </c>
      <c r="E12" s="4">
        <v>2.0273099999999999</v>
      </c>
      <c r="F12" s="4">
        <v>-5.1894600000000004</v>
      </c>
    </row>
    <row r="13" spans="1:6" x14ac:dyDescent="0.25">
      <c r="A13" s="33"/>
      <c r="B13" s="33"/>
      <c r="C13" s="33"/>
      <c r="D13" s="33"/>
      <c r="E13" s="53"/>
      <c r="F13" s="53"/>
    </row>
    <row r="14" spans="1:6" x14ac:dyDescent="0.25">
      <c r="A14" s="33"/>
      <c r="B14" s="33"/>
      <c r="C14" s="33"/>
      <c r="D14" s="33"/>
      <c r="E14" s="53"/>
      <c r="F14" s="53"/>
    </row>
    <row r="15" spans="1:6" x14ac:dyDescent="0.25">
      <c r="A15" s="33"/>
      <c r="B15" s="33"/>
      <c r="C15" s="33"/>
      <c r="D15" s="33"/>
      <c r="E15" s="53"/>
      <c r="F15" s="53"/>
    </row>
    <row r="16" spans="1:6" x14ac:dyDescent="0.25">
      <c r="A16" s="33"/>
      <c r="B16" s="33"/>
      <c r="C16" s="33"/>
      <c r="D16" s="33"/>
      <c r="E16" s="53"/>
      <c r="F16" s="53"/>
    </row>
    <row r="17" spans="1:6" x14ac:dyDescent="0.25">
      <c r="A17" s="33"/>
      <c r="B17" s="33"/>
      <c r="C17" s="33"/>
      <c r="D17" s="33"/>
      <c r="E17" s="53"/>
      <c r="F17" s="53"/>
    </row>
    <row r="18" spans="1:6" x14ac:dyDescent="0.25">
      <c r="A18" s="33"/>
      <c r="B18" s="33"/>
      <c r="C18" s="33"/>
      <c r="D18" s="33"/>
      <c r="E18" s="53"/>
      <c r="F18" s="53"/>
    </row>
    <row r="19" spans="1:6" x14ac:dyDescent="0.25">
      <c r="A19" s="33"/>
      <c r="B19" s="33"/>
      <c r="C19" s="33"/>
      <c r="D19" s="33"/>
      <c r="E19" s="53"/>
      <c r="F19" s="53"/>
    </row>
    <row r="20" spans="1:6" x14ac:dyDescent="0.25">
      <c r="A20" s="33"/>
      <c r="B20" s="33"/>
      <c r="C20" s="33"/>
      <c r="D20" s="33"/>
      <c r="E20" s="53"/>
      <c r="F20" s="53"/>
    </row>
    <row r="21" spans="1:6" x14ac:dyDescent="0.25">
      <c r="A21" s="33"/>
      <c r="B21" s="33"/>
      <c r="C21" s="33"/>
      <c r="D21" s="33"/>
      <c r="E21" s="53"/>
      <c r="F21" s="53"/>
    </row>
    <row r="22" spans="1:6" x14ac:dyDescent="0.25">
      <c r="A22" s="33"/>
      <c r="B22" s="33"/>
      <c r="C22" s="33"/>
      <c r="D22" s="33"/>
      <c r="E22" s="53"/>
      <c r="F22" s="53"/>
    </row>
    <row r="23" spans="1:6" x14ac:dyDescent="0.25">
      <c r="A23" s="33"/>
      <c r="B23" s="33"/>
      <c r="C23" s="33"/>
      <c r="D23" s="33"/>
      <c r="E23" s="53"/>
      <c r="F23" s="53"/>
    </row>
    <row r="24" spans="1:6" x14ac:dyDescent="0.25">
      <c r="A24" s="33"/>
      <c r="B24" s="33"/>
      <c r="C24" s="33"/>
      <c r="D24" s="33"/>
      <c r="E24" s="53"/>
      <c r="F24" s="53"/>
    </row>
    <row r="25" spans="1:6" x14ac:dyDescent="0.25">
      <c r="A25" s="33"/>
      <c r="B25" s="33"/>
      <c r="C25" s="33"/>
      <c r="D25" s="33"/>
      <c r="E25" s="53"/>
      <c r="F25" s="53"/>
    </row>
    <row r="26" spans="1:6" x14ac:dyDescent="0.25">
      <c r="A26" s="33"/>
      <c r="B26" s="33"/>
      <c r="C26" s="33"/>
      <c r="D26" s="33"/>
      <c r="E26" s="53"/>
      <c r="F26" s="53"/>
    </row>
    <row r="27" spans="1:6" x14ac:dyDescent="0.25">
      <c r="A27" s="33"/>
      <c r="B27" s="33"/>
      <c r="C27" s="33"/>
      <c r="D27" s="33"/>
      <c r="E27" s="53"/>
      <c r="F27" s="53"/>
    </row>
  </sheetData>
  <sheetProtection formatColumns="0" formatRows="0"/>
  <hyperlinks>
    <hyperlink ref="A1" location="TOC!A1" display="Table of Contents" xr:uid="{8AE60E94-619C-4531-9BEB-86410C2DA419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79"/>
  <dimension ref="A1:J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28515625" customWidth="1"/>
    <col min="2" max="2" width="11.42578125" bestFit="1" customWidth="1"/>
    <col min="3" max="3" width="105.140625" customWidth="1"/>
  </cols>
  <sheetData>
    <row r="1" spans="1:10" x14ac:dyDescent="0.25">
      <c r="A1" s="141" t="s">
        <v>316</v>
      </c>
      <c r="B1" s="32" t="s">
        <v>353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168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169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33"/>
    </row>
    <row r="7" spans="1:10" x14ac:dyDescent="0.25">
      <c r="A7" s="33" t="s">
        <v>782</v>
      </c>
      <c r="B7" s="33" t="s">
        <v>1818</v>
      </c>
      <c r="C7" s="33" t="s">
        <v>1819</v>
      </c>
      <c r="D7" s="53"/>
      <c r="E7" s="2">
        <v>0.81786000000000003</v>
      </c>
      <c r="F7" s="2">
        <v>6.5449999999999994E-2</v>
      </c>
      <c r="G7" s="2">
        <v>-2.1383899999999998</v>
      </c>
      <c r="H7" s="2">
        <v>0.34945999999999999</v>
      </c>
      <c r="I7" s="2">
        <v>1.7889299999999999</v>
      </c>
      <c r="J7" s="53"/>
    </row>
    <row r="8" spans="1:10" x14ac:dyDescent="0.25">
      <c r="A8" s="33" t="s">
        <v>782</v>
      </c>
      <c r="B8" s="33" t="s">
        <v>1820</v>
      </c>
      <c r="C8" s="33" t="s">
        <v>1821</v>
      </c>
      <c r="D8" s="53" t="s">
        <v>926</v>
      </c>
      <c r="E8" s="2">
        <v>1.09744</v>
      </c>
      <c r="F8" s="2">
        <v>-0.62475000000000014</v>
      </c>
      <c r="G8" s="2">
        <v>-2.5238900000000002</v>
      </c>
      <c r="H8" s="2">
        <v>0.74394000000000005</v>
      </c>
      <c r="I8" s="2">
        <v>1.7799499999999999</v>
      </c>
      <c r="J8" s="53"/>
    </row>
    <row r="9" spans="1:10" x14ac:dyDescent="0.25">
      <c r="A9" s="33" t="s">
        <v>782</v>
      </c>
      <c r="B9" s="33" t="s">
        <v>1822</v>
      </c>
      <c r="C9" s="33" t="s">
        <v>1823</v>
      </c>
      <c r="D9" s="53" t="s">
        <v>926</v>
      </c>
      <c r="E9" s="2">
        <v>1.7392799999999999</v>
      </c>
      <c r="F9" s="2">
        <v>-0.14610999999999999</v>
      </c>
      <c r="G9" s="2">
        <v>-2.26416</v>
      </c>
      <c r="H9" s="2">
        <v>1.2387300000000001</v>
      </c>
      <c r="I9" s="2">
        <v>1.0254300000000001</v>
      </c>
      <c r="J9" s="53"/>
    </row>
    <row r="10" spans="1:10" x14ac:dyDescent="0.25">
      <c r="A10" s="33" t="s">
        <v>782</v>
      </c>
      <c r="B10" s="33" t="s">
        <v>1824</v>
      </c>
      <c r="C10" s="33" t="s">
        <v>1825</v>
      </c>
      <c r="D10" s="53" t="s">
        <v>926</v>
      </c>
      <c r="E10" s="2">
        <v>1.7342900000000001</v>
      </c>
      <c r="F10" s="2">
        <v>0.52756999999999987</v>
      </c>
      <c r="G10" s="2">
        <v>-3.57395</v>
      </c>
      <c r="H10" s="2">
        <v>0.64022999999999997</v>
      </c>
      <c r="I10" s="2">
        <v>2.933720000000001</v>
      </c>
      <c r="J10" s="53"/>
    </row>
    <row r="11" spans="1:10" x14ac:dyDescent="0.25">
      <c r="A11" s="33" t="s">
        <v>782</v>
      </c>
      <c r="B11" s="33" t="s">
        <v>1826</v>
      </c>
      <c r="C11" s="33" t="s">
        <v>1827</v>
      </c>
      <c r="D11" s="53" t="s">
        <v>926</v>
      </c>
      <c r="E11" s="2">
        <v>1.90205</v>
      </c>
      <c r="F11" s="2">
        <v>-0.89356000000000002</v>
      </c>
      <c r="G11" s="2">
        <v>-2.88286</v>
      </c>
      <c r="H11" s="2">
        <v>1.4517100000000009</v>
      </c>
      <c r="I11" s="2">
        <v>1.4311499999999999</v>
      </c>
      <c r="J11" s="53"/>
    </row>
    <row r="12" spans="1:10" x14ac:dyDescent="0.25">
      <c r="A12" s="33" t="s">
        <v>782</v>
      </c>
      <c r="B12" s="33" t="s">
        <v>1828</v>
      </c>
      <c r="C12" s="33" t="s">
        <v>1829</v>
      </c>
      <c r="D12" s="53" t="s">
        <v>926</v>
      </c>
      <c r="E12" s="2">
        <v>1.9492400000000001</v>
      </c>
      <c r="F12" s="2">
        <v>0.46239000000000002</v>
      </c>
      <c r="G12" s="2">
        <v>-2.09551</v>
      </c>
      <c r="H12" s="2">
        <v>0.96067000000000002</v>
      </c>
      <c r="I12" s="2">
        <v>1.1348400000000001</v>
      </c>
      <c r="J12" s="53"/>
    </row>
    <row r="13" spans="1:10" x14ac:dyDescent="0.25">
      <c r="A13" s="33" t="s">
        <v>782</v>
      </c>
      <c r="B13" s="33" t="s">
        <v>1830</v>
      </c>
      <c r="C13" s="33" t="s">
        <v>1831</v>
      </c>
      <c r="D13" s="53" t="s">
        <v>926</v>
      </c>
      <c r="E13" s="2">
        <v>1.7777000000000001</v>
      </c>
      <c r="F13" s="2">
        <v>0.67447000000000001</v>
      </c>
      <c r="G13" s="2">
        <v>-1.7704599999999999</v>
      </c>
      <c r="H13" s="2">
        <v>1.1641699999999999</v>
      </c>
      <c r="I13" s="2">
        <v>0.60629</v>
      </c>
      <c r="J13" s="53"/>
    </row>
    <row r="14" spans="1:10" x14ac:dyDescent="0.25">
      <c r="A14" s="40" t="s">
        <v>782</v>
      </c>
      <c r="B14" s="40" t="s">
        <v>1832</v>
      </c>
      <c r="C14" s="40" t="s">
        <v>1833</v>
      </c>
      <c r="D14" s="78"/>
      <c r="E14" s="4">
        <v>1.76362</v>
      </c>
      <c r="F14" s="4">
        <v>1.74055</v>
      </c>
      <c r="G14" s="4">
        <v>-0.67508000000000001</v>
      </c>
      <c r="H14" s="4">
        <v>1.27328</v>
      </c>
      <c r="I14" s="4">
        <v>-0.59819999999999984</v>
      </c>
      <c r="J14" s="53"/>
    </row>
  </sheetData>
  <sheetProtection formatColumns="0" formatRows="0"/>
  <hyperlinks>
    <hyperlink ref="A1" location="TOC!A1" display="Table of Contents" xr:uid="{4D114622-F2BB-4B86-8794-C0775E6A6619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0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" bestFit="1" customWidth="1"/>
    <col min="2" max="2" width="12.28515625" bestFit="1" customWidth="1"/>
    <col min="3" max="3" width="110.7109375" customWidth="1"/>
  </cols>
  <sheetData>
    <row r="1" spans="1:9" x14ac:dyDescent="0.25">
      <c r="A1" s="141" t="s">
        <v>316</v>
      </c>
      <c r="B1" s="32" t="s">
        <v>351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170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171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1834</v>
      </c>
      <c r="C7" s="33" t="s">
        <v>1835</v>
      </c>
      <c r="D7" s="33" t="s">
        <v>926</v>
      </c>
      <c r="E7" s="2">
        <v>2.3789600000000002</v>
      </c>
      <c r="F7" s="2">
        <v>-0.15845999999999999</v>
      </c>
      <c r="G7" s="2">
        <v>-2.7145999999999999</v>
      </c>
      <c r="H7" s="2">
        <v>-0.30521999999999999</v>
      </c>
      <c r="I7" s="2">
        <v>3.0198200000000002</v>
      </c>
    </row>
    <row r="8" spans="1:9" x14ac:dyDescent="0.25">
      <c r="A8" s="33" t="s">
        <v>782</v>
      </c>
      <c r="B8" s="33" t="s">
        <v>1836</v>
      </c>
      <c r="C8" s="33" t="s">
        <v>1837</v>
      </c>
      <c r="D8" s="33" t="s">
        <v>926</v>
      </c>
      <c r="E8" s="2">
        <v>2.3089499999999998</v>
      </c>
      <c r="F8" s="2">
        <v>0.14962</v>
      </c>
      <c r="G8" s="2">
        <v>-2.9456600000000002</v>
      </c>
      <c r="H8" s="2">
        <v>-0.20429</v>
      </c>
      <c r="I8" s="2">
        <v>3.14995</v>
      </c>
    </row>
    <row r="9" spans="1:9" x14ac:dyDescent="0.25">
      <c r="A9" s="33" t="s">
        <v>782</v>
      </c>
      <c r="B9" s="33" t="s">
        <v>1838</v>
      </c>
      <c r="C9" s="33" t="s">
        <v>1839</v>
      </c>
      <c r="D9" s="33" t="s">
        <v>926</v>
      </c>
      <c r="E9" s="2">
        <v>1.0462899999999999</v>
      </c>
      <c r="F9" s="2">
        <v>9.3100000000000023E-3</v>
      </c>
      <c r="G9" s="2">
        <v>-1.0538700000000001</v>
      </c>
      <c r="H9" s="2">
        <v>-0.25361000000000011</v>
      </c>
      <c r="I9" s="2">
        <v>1.30748</v>
      </c>
    </row>
    <row r="10" spans="1:9" x14ac:dyDescent="0.25">
      <c r="A10" s="40" t="s">
        <v>782</v>
      </c>
      <c r="B10" s="40" t="s">
        <v>1840</v>
      </c>
      <c r="C10" s="40" t="s">
        <v>1841</v>
      </c>
      <c r="D10" s="40" t="s">
        <v>926</v>
      </c>
      <c r="E10" s="4">
        <v>1.0658099999999999</v>
      </c>
      <c r="F10" s="4">
        <v>-4.6999999999999988E-4</v>
      </c>
      <c r="G10" s="4">
        <v>-1.1674100000000001</v>
      </c>
      <c r="H10" s="4">
        <v>-0.14166999999999999</v>
      </c>
      <c r="I10" s="4">
        <v>1.30908</v>
      </c>
    </row>
  </sheetData>
  <sheetProtection formatColumns="0" formatRows="0"/>
  <hyperlinks>
    <hyperlink ref="A1" location="TOC!A1" display="Table of Contents" xr:uid="{170D3B02-1B90-4887-A411-F169D0923706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1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8.28515625" customWidth="1"/>
    <col min="2" max="2" width="12.28515625" bestFit="1" customWidth="1"/>
    <col min="3" max="3" width="64" bestFit="1" customWidth="1"/>
  </cols>
  <sheetData>
    <row r="1" spans="1:9" x14ac:dyDescent="0.25">
      <c r="A1" s="141" t="s">
        <v>316</v>
      </c>
      <c r="B1" s="32" t="s">
        <v>354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172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173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1842</v>
      </c>
      <c r="C7" s="33" t="s">
        <v>1843</v>
      </c>
      <c r="D7" s="33" t="s">
        <v>926</v>
      </c>
      <c r="E7" s="2">
        <v>1.0761499999999999</v>
      </c>
      <c r="F7" s="2">
        <v>0.15401999999999999</v>
      </c>
      <c r="G7" s="2">
        <v>-0.78125</v>
      </c>
      <c r="H7" s="2">
        <v>-0.49247000000000007</v>
      </c>
      <c r="I7" s="2">
        <v>1.27372</v>
      </c>
    </row>
    <row r="8" spans="1:9" x14ac:dyDescent="0.25">
      <c r="A8" s="33" t="s">
        <v>782</v>
      </c>
      <c r="B8" s="33" t="s">
        <v>1844</v>
      </c>
      <c r="C8" s="33" t="s">
        <v>1845</v>
      </c>
      <c r="D8" s="33" t="s">
        <v>926</v>
      </c>
      <c r="E8" s="2">
        <v>1.5359400000000001</v>
      </c>
      <c r="F8" s="2">
        <v>0.34623999999999999</v>
      </c>
      <c r="G8" s="2">
        <v>-1.68005</v>
      </c>
      <c r="H8" s="2">
        <v>-0.14087</v>
      </c>
      <c r="I8" s="2">
        <v>1.8209200000000001</v>
      </c>
    </row>
    <row r="9" spans="1:9" x14ac:dyDescent="0.25">
      <c r="A9" s="33" t="s">
        <v>782</v>
      </c>
      <c r="B9" s="33" t="s">
        <v>1846</v>
      </c>
      <c r="C9" s="33" t="s">
        <v>1847</v>
      </c>
      <c r="D9" s="33" t="s">
        <v>926</v>
      </c>
      <c r="E9" s="2">
        <v>1.6193599999999999</v>
      </c>
      <c r="F9" s="2">
        <v>-0.51197000000000004</v>
      </c>
      <c r="G9" s="2">
        <v>-0.93562000000000001</v>
      </c>
      <c r="H9" s="2">
        <v>-0.37120999999999998</v>
      </c>
      <c r="I9" s="2">
        <v>1.3068299999999999</v>
      </c>
    </row>
    <row r="10" spans="1:9" x14ac:dyDescent="0.25">
      <c r="A10" s="40" t="s">
        <v>782</v>
      </c>
      <c r="B10" s="40" t="s">
        <v>1848</v>
      </c>
      <c r="C10" s="40" t="s">
        <v>1849</v>
      </c>
      <c r="D10" s="40" t="s">
        <v>926</v>
      </c>
      <c r="E10" s="4">
        <v>2.5685500000000001</v>
      </c>
      <c r="F10" s="4">
        <v>1.171E-2</v>
      </c>
      <c r="G10" s="4">
        <v>-1.8950199999999999</v>
      </c>
      <c r="H10" s="4">
        <v>-0.19877</v>
      </c>
      <c r="I10" s="4">
        <v>2.0937899999999998</v>
      </c>
    </row>
  </sheetData>
  <sheetProtection formatColumns="0" formatRows="0"/>
  <hyperlinks>
    <hyperlink ref="A1" location="TOC!A1" display="Table of Contents" xr:uid="{11F5844F-95C4-4963-A001-B57BDB014DE2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2"/>
  <dimension ref="A1:H2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140625" customWidth="1"/>
    <col min="2" max="2" width="12.28515625" bestFit="1" customWidth="1"/>
    <col min="3" max="3" width="131.7109375" customWidth="1"/>
  </cols>
  <sheetData>
    <row r="1" spans="1:8" x14ac:dyDescent="0.25">
      <c r="A1" s="141" t="s">
        <v>316</v>
      </c>
      <c r="B1" s="32" t="s">
        <v>395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174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175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1850</v>
      </c>
      <c r="C7" s="33" t="s">
        <v>1851</v>
      </c>
      <c r="D7" s="2">
        <v>0.71399999999999986</v>
      </c>
      <c r="E7" s="2">
        <v>0.15728</v>
      </c>
      <c r="F7" s="2">
        <v>-1.2256100000000001</v>
      </c>
      <c r="G7" s="2">
        <v>0.32462000000000002</v>
      </c>
      <c r="H7" s="2">
        <v>0.90098999999999996</v>
      </c>
    </row>
    <row r="8" spans="1:8" x14ac:dyDescent="0.25">
      <c r="A8" s="33" t="s">
        <v>782</v>
      </c>
      <c r="B8" s="33" t="s">
        <v>1852</v>
      </c>
      <c r="C8" s="33" t="s">
        <v>1853</v>
      </c>
      <c r="D8" s="2">
        <v>1.45052</v>
      </c>
      <c r="E8" s="2">
        <v>-0.25790000000000002</v>
      </c>
      <c r="F8" s="2">
        <v>-2.5257700000000001</v>
      </c>
      <c r="G8" s="2">
        <v>0.22212999999999999</v>
      </c>
      <c r="H8" s="2">
        <v>2.3036400000000001</v>
      </c>
    </row>
    <row r="9" spans="1:8" x14ac:dyDescent="0.25">
      <c r="A9" s="33" t="s">
        <v>782</v>
      </c>
      <c r="B9" s="33" t="s">
        <v>1854</v>
      </c>
      <c r="C9" s="33" t="s">
        <v>1855</v>
      </c>
      <c r="D9" s="2">
        <v>0.75529999999999997</v>
      </c>
      <c r="E9" s="2">
        <v>-0.38921</v>
      </c>
      <c r="F9" s="2">
        <v>-1.61263</v>
      </c>
      <c r="G9" s="2">
        <v>0.43291000000000002</v>
      </c>
      <c r="H9" s="2">
        <v>1.1797200000000001</v>
      </c>
    </row>
    <row r="10" spans="1:8" x14ac:dyDescent="0.25">
      <c r="A10" s="33" t="s">
        <v>782</v>
      </c>
      <c r="B10" s="33" t="s">
        <v>1856</v>
      </c>
      <c r="C10" s="33" t="s">
        <v>1857</v>
      </c>
      <c r="D10" s="2">
        <v>0.76515999999999984</v>
      </c>
      <c r="E10" s="2">
        <v>-0.30307999999999991</v>
      </c>
      <c r="F10" s="2">
        <v>-1.59056</v>
      </c>
      <c r="G10" s="2">
        <v>0.38912000000000008</v>
      </c>
      <c r="H10" s="2">
        <v>1.2014400000000001</v>
      </c>
    </row>
    <row r="11" spans="1:8" x14ac:dyDescent="0.25">
      <c r="A11" s="33" t="s">
        <v>782</v>
      </c>
      <c r="B11" s="33" t="s">
        <v>1858</v>
      </c>
      <c r="C11" s="33" t="s">
        <v>1859</v>
      </c>
      <c r="D11" s="2">
        <v>0.96281999999999979</v>
      </c>
      <c r="E11" s="2">
        <v>0.75666999999999984</v>
      </c>
      <c r="F11" s="2">
        <v>-1.96671</v>
      </c>
      <c r="G11" s="2">
        <v>0.54547999999999996</v>
      </c>
      <c r="H11" s="2">
        <v>1.42123</v>
      </c>
    </row>
    <row r="12" spans="1:8" x14ac:dyDescent="0.25">
      <c r="A12" s="33" t="s">
        <v>782</v>
      </c>
      <c r="B12" s="33" t="s">
        <v>1860</v>
      </c>
      <c r="C12" s="33" t="s">
        <v>1861</v>
      </c>
      <c r="D12" s="2">
        <v>1.58219</v>
      </c>
      <c r="E12" s="2">
        <v>0.44664999999999999</v>
      </c>
      <c r="F12" s="2">
        <v>-3.1391100000000001</v>
      </c>
      <c r="G12" s="2">
        <v>0.66371000000000002</v>
      </c>
      <c r="H12" s="2">
        <v>2.4754</v>
      </c>
    </row>
    <row r="13" spans="1:8" x14ac:dyDescent="0.25">
      <c r="A13" s="33" t="s">
        <v>782</v>
      </c>
      <c r="B13" s="33" t="s">
        <v>1862</v>
      </c>
      <c r="C13" s="33" t="s">
        <v>1863</v>
      </c>
      <c r="D13" s="2">
        <v>2.153010000000001</v>
      </c>
      <c r="E13" s="2">
        <v>0.88085000000000013</v>
      </c>
      <c r="F13" s="2">
        <v>-3.10209</v>
      </c>
      <c r="G13" s="2">
        <v>0.30436999999999997</v>
      </c>
      <c r="H13" s="2">
        <v>2.79772</v>
      </c>
    </row>
    <row r="14" spans="1:8" x14ac:dyDescent="0.25">
      <c r="A14" s="33" t="s">
        <v>782</v>
      </c>
      <c r="B14" s="33" t="s">
        <v>1864</v>
      </c>
      <c r="C14" s="33" t="s">
        <v>1865</v>
      </c>
      <c r="D14" s="2">
        <v>1.41167</v>
      </c>
      <c r="E14" s="2">
        <v>0.87755000000000005</v>
      </c>
      <c r="F14" s="2">
        <v>-2.3325800000000001</v>
      </c>
      <c r="G14" s="2">
        <v>0.35354000000000002</v>
      </c>
      <c r="H14" s="2">
        <v>1.9790399999999999</v>
      </c>
    </row>
    <row r="15" spans="1:8" x14ac:dyDescent="0.25">
      <c r="A15" s="33" t="s">
        <v>782</v>
      </c>
      <c r="B15" s="33" t="s">
        <v>1866</v>
      </c>
      <c r="C15" s="33" t="s">
        <v>1867</v>
      </c>
      <c r="D15" s="2">
        <v>1.9244300000000001</v>
      </c>
      <c r="E15" s="2">
        <v>0.67593000000000014</v>
      </c>
      <c r="F15" s="2">
        <v>-2.47159</v>
      </c>
      <c r="G15" s="2">
        <v>9.4820000000000002E-2</v>
      </c>
      <c r="H15" s="2">
        <v>2.37677</v>
      </c>
    </row>
    <row r="16" spans="1:8" x14ac:dyDescent="0.25">
      <c r="A16" s="33" t="s">
        <v>782</v>
      </c>
      <c r="B16" s="33" t="s">
        <v>1868</v>
      </c>
      <c r="C16" s="33" t="s">
        <v>1869</v>
      </c>
      <c r="D16" s="2">
        <v>0.95784999999999998</v>
      </c>
      <c r="E16" s="2">
        <v>0.95740999999999998</v>
      </c>
      <c r="F16" s="2">
        <v>-1.5442400000000001</v>
      </c>
      <c r="G16" s="2">
        <v>0.17712</v>
      </c>
      <c r="H16" s="2">
        <v>1.3671199999999999</v>
      </c>
    </row>
    <row r="17" spans="1:8" x14ac:dyDescent="0.25">
      <c r="A17" s="33" t="s">
        <v>782</v>
      </c>
      <c r="B17" s="33" t="s">
        <v>1870</v>
      </c>
      <c r="C17" s="33" t="s">
        <v>1871</v>
      </c>
      <c r="D17" s="2">
        <v>1.47604</v>
      </c>
      <c r="E17" s="2">
        <v>1.0305800000000001</v>
      </c>
      <c r="F17" s="2">
        <v>-2.2516600000000002</v>
      </c>
      <c r="G17" s="2">
        <v>0.34903000000000001</v>
      </c>
      <c r="H17" s="2">
        <v>1.90263</v>
      </c>
    </row>
    <row r="18" spans="1:8" x14ac:dyDescent="0.25">
      <c r="A18" s="33" t="s">
        <v>782</v>
      </c>
      <c r="B18" s="33" t="s">
        <v>1872</v>
      </c>
      <c r="C18" s="33" t="s">
        <v>1873</v>
      </c>
      <c r="D18" s="2">
        <v>0.98567000000000005</v>
      </c>
      <c r="E18" s="2">
        <v>0.89910000000000001</v>
      </c>
      <c r="F18" s="2">
        <v>-1.54013</v>
      </c>
      <c r="G18" s="2">
        <v>0.30278999999999989</v>
      </c>
      <c r="H18" s="2">
        <v>1.2373400000000001</v>
      </c>
    </row>
    <row r="19" spans="1:8" x14ac:dyDescent="0.25">
      <c r="A19" s="33" t="s">
        <v>782</v>
      </c>
      <c r="B19" s="33" t="s">
        <v>1874</v>
      </c>
      <c r="C19" s="33" t="s">
        <v>1875</v>
      </c>
      <c r="D19" s="2">
        <v>1.76335</v>
      </c>
      <c r="E19" s="2">
        <v>0.67781000000000002</v>
      </c>
      <c r="F19" s="2">
        <v>-2.54209</v>
      </c>
      <c r="G19" s="2">
        <v>0.25982999999999989</v>
      </c>
      <c r="H19" s="2">
        <v>2.28226</v>
      </c>
    </row>
    <row r="20" spans="1:8" x14ac:dyDescent="0.25">
      <c r="A20" s="40" t="s">
        <v>782</v>
      </c>
      <c r="B20" s="40" t="s">
        <v>1876</v>
      </c>
      <c r="C20" s="40" t="s">
        <v>1877</v>
      </c>
      <c r="D20" s="4">
        <v>1.7693700000000001</v>
      </c>
      <c r="E20" s="4">
        <v>0.86812999999999996</v>
      </c>
      <c r="F20" s="4">
        <v>-2.6372200000000001</v>
      </c>
      <c r="G20" s="4">
        <v>0.38757000000000008</v>
      </c>
      <c r="H20" s="4">
        <v>2.249649999999999</v>
      </c>
    </row>
  </sheetData>
  <sheetProtection formatColumns="0" formatRows="0"/>
  <hyperlinks>
    <hyperlink ref="A1" location="TOC!A1" display="Table of Contents" xr:uid="{9421D9BD-8C2F-4BDF-AF7A-3ABC0072E391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3"/>
  <dimension ref="A1:G1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7.28515625" bestFit="1" customWidth="1"/>
    <col min="2" max="2" width="12.28515625" bestFit="1" customWidth="1"/>
    <col min="3" max="3" width="87.7109375" bestFit="1" customWidth="1"/>
  </cols>
  <sheetData>
    <row r="1" spans="1:7" x14ac:dyDescent="0.25">
      <c r="A1" s="141" t="s">
        <v>316</v>
      </c>
      <c r="B1" s="32" t="s">
        <v>348</v>
      </c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x14ac:dyDescent="0.25">
      <c r="A3" s="34" t="s">
        <v>176</v>
      </c>
      <c r="B3" s="33"/>
      <c r="C3" s="33"/>
      <c r="D3" s="33"/>
      <c r="E3" s="33"/>
      <c r="F3" s="33"/>
      <c r="G3" s="33"/>
    </row>
    <row r="4" spans="1:7" x14ac:dyDescent="0.25">
      <c r="A4" s="34" t="s">
        <v>177</v>
      </c>
      <c r="B4" s="33"/>
      <c r="C4" s="33"/>
      <c r="D4" s="33"/>
      <c r="E4" s="33"/>
      <c r="F4" s="33"/>
      <c r="G4" s="33"/>
    </row>
    <row r="5" spans="1:7" x14ac:dyDescent="0.25">
      <c r="A5" s="33"/>
      <c r="B5" s="33"/>
      <c r="C5" s="33"/>
      <c r="D5" s="33"/>
      <c r="E5" s="33"/>
      <c r="F5" s="33"/>
      <c r="G5" s="33"/>
    </row>
    <row r="6" spans="1:7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921</v>
      </c>
      <c r="F6" s="65" t="s">
        <v>775</v>
      </c>
      <c r="G6" s="65" t="s">
        <v>776</v>
      </c>
    </row>
    <row r="7" spans="1:7" x14ac:dyDescent="0.25">
      <c r="A7" s="33" t="s">
        <v>782</v>
      </c>
      <c r="B7" s="33" t="s">
        <v>1878</v>
      </c>
      <c r="C7" s="33" t="s">
        <v>1879</v>
      </c>
      <c r="D7" s="33" t="s">
        <v>927</v>
      </c>
      <c r="E7" s="33" t="s">
        <v>926</v>
      </c>
      <c r="F7" s="2">
        <v>1.4939199999999999</v>
      </c>
      <c r="G7" s="2">
        <v>0.3999299999999999</v>
      </c>
    </row>
    <row r="8" spans="1:7" x14ac:dyDescent="0.25">
      <c r="A8" s="33" t="s">
        <v>782</v>
      </c>
      <c r="B8" s="33" t="s">
        <v>1880</v>
      </c>
      <c r="C8" s="33" t="s">
        <v>1881</v>
      </c>
      <c r="D8" s="33" t="s">
        <v>927</v>
      </c>
      <c r="E8" s="33" t="s">
        <v>926</v>
      </c>
      <c r="F8" s="2">
        <v>1.2752399999999999</v>
      </c>
      <c r="G8" s="2">
        <v>0.47924</v>
      </c>
    </row>
    <row r="9" spans="1:7" x14ac:dyDescent="0.25">
      <c r="A9" s="33" t="s">
        <v>782</v>
      </c>
      <c r="B9" s="33" t="s">
        <v>1882</v>
      </c>
      <c r="C9" s="33" t="s">
        <v>1883</v>
      </c>
      <c r="D9" s="33" t="s">
        <v>927</v>
      </c>
      <c r="E9" s="33" t="s">
        <v>926</v>
      </c>
      <c r="F9" s="2">
        <v>1.2428999999999999</v>
      </c>
      <c r="G9" s="2">
        <v>0.59860000000000002</v>
      </c>
    </row>
    <row r="10" spans="1:7" x14ac:dyDescent="0.25">
      <c r="A10" s="33" t="s">
        <v>782</v>
      </c>
      <c r="B10" s="33" t="s">
        <v>1884</v>
      </c>
      <c r="C10" s="33" t="s">
        <v>1885</v>
      </c>
      <c r="D10" s="33" t="s">
        <v>927</v>
      </c>
      <c r="E10" s="33" t="s">
        <v>926</v>
      </c>
      <c r="F10" s="2">
        <v>1.2838000000000001</v>
      </c>
      <c r="G10" s="2">
        <v>-1.3853800000000001</v>
      </c>
    </row>
    <row r="11" spans="1:7" x14ac:dyDescent="0.25">
      <c r="A11" s="33" t="s">
        <v>782</v>
      </c>
      <c r="B11" s="33" t="s">
        <v>1886</v>
      </c>
      <c r="C11" s="33" t="s">
        <v>1887</v>
      </c>
      <c r="D11" s="33" t="s">
        <v>927</v>
      </c>
      <c r="E11" s="33"/>
      <c r="F11" s="2">
        <v>2.2040700000000002</v>
      </c>
      <c r="G11" s="2">
        <v>1.38561</v>
      </c>
    </row>
    <row r="12" spans="1:7" x14ac:dyDescent="0.25">
      <c r="A12" s="33" t="s">
        <v>782</v>
      </c>
      <c r="B12" s="33" t="s">
        <v>1888</v>
      </c>
      <c r="C12" s="33" t="s">
        <v>1889</v>
      </c>
      <c r="D12" s="33" t="s">
        <v>927</v>
      </c>
      <c r="E12" s="33"/>
      <c r="F12" s="2">
        <v>1.9020999999999999</v>
      </c>
      <c r="G12" s="2">
        <v>-0.85363</v>
      </c>
    </row>
    <row r="13" spans="1:7" x14ac:dyDescent="0.25">
      <c r="A13" s="33" t="s">
        <v>782</v>
      </c>
      <c r="B13" s="33" t="s">
        <v>1890</v>
      </c>
      <c r="C13" s="33" t="s">
        <v>1891</v>
      </c>
      <c r="D13" s="33" t="s">
        <v>927</v>
      </c>
      <c r="E13" s="33" t="s">
        <v>926</v>
      </c>
      <c r="F13" s="2">
        <v>1.3310500000000001</v>
      </c>
      <c r="G13" s="2">
        <v>1.36538</v>
      </c>
    </row>
    <row r="14" spans="1:7" x14ac:dyDescent="0.25">
      <c r="A14" s="33" t="s">
        <v>782</v>
      </c>
      <c r="B14" s="33" t="s">
        <v>1892</v>
      </c>
      <c r="C14" s="33" t="s">
        <v>1893</v>
      </c>
      <c r="D14" s="33" t="s">
        <v>927</v>
      </c>
      <c r="E14" s="33" t="s">
        <v>926</v>
      </c>
      <c r="F14" s="2">
        <v>2.2299099999999998</v>
      </c>
      <c r="G14" s="2">
        <v>0.73843000000000014</v>
      </c>
    </row>
    <row r="15" spans="1:7" x14ac:dyDescent="0.25">
      <c r="A15" s="33" t="s">
        <v>782</v>
      </c>
      <c r="B15" s="33" t="s">
        <v>1894</v>
      </c>
      <c r="C15" s="33" t="s">
        <v>1895</v>
      </c>
      <c r="D15" s="33" t="s">
        <v>927</v>
      </c>
      <c r="E15" s="33" t="s">
        <v>926</v>
      </c>
      <c r="F15" s="2">
        <v>1.88191</v>
      </c>
      <c r="G15" s="2">
        <v>-0.39632000000000001</v>
      </c>
    </row>
    <row r="16" spans="1:7" x14ac:dyDescent="0.25">
      <c r="A16" s="33" t="s">
        <v>782</v>
      </c>
      <c r="B16" s="33" t="s">
        <v>1896</v>
      </c>
      <c r="C16" s="33" t="s">
        <v>1897</v>
      </c>
      <c r="D16" s="33" t="s">
        <v>927</v>
      </c>
      <c r="E16" s="33" t="s">
        <v>926</v>
      </c>
      <c r="F16" s="2">
        <v>2.155110000000001</v>
      </c>
      <c r="G16" s="2">
        <v>-2.3318599999999998</v>
      </c>
    </row>
    <row r="17" spans="1:7" x14ac:dyDescent="0.25">
      <c r="A17" s="40" t="s">
        <v>782</v>
      </c>
      <c r="B17" s="40" t="s">
        <v>1898</v>
      </c>
      <c r="C17" s="40" t="s">
        <v>1899</v>
      </c>
      <c r="D17" s="40" t="s">
        <v>927</v>
      </c>
      <c r="E17" s="40"/>
      <c r="F17" s="4">
        <v>1.6013900000000001</v>
      </c>
      <c r="G17" s="4">
        <v>-0.47045999999999988</v>
      </c>
    </row>
  </sheetData>
  <sheetProtection formatColumns="0" formatRows="0"/>
  <hyperlinks>
    <hyperlink ref="A1" location="TOC!A1" display="Table of Contents" xr:uid="{865E78D0-0679-4E25-9191-BD1801832B4D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6"/>
  <dimension ref="A1:H1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28515625" customWidth="1"/>
    <col min="2" max="2" width="12.28515625" bestFit="1" customWidth="1"/>
    <col min="3" max="3" width="111.28515625" customWidth="1"/>
  </cols>
  <sheetData>
    <row r="1" spans="1:8" x14ac:dyDescent="0.25">
      <c r="A1" s="141" t="s">
        <v>316</v>
      </c>
      <c r="B1" s="32" t="s">
        <v>392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178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179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1900</v>
      </c>
      <c r="C7" s="33" t="s">
        <v>1901</v>
      </c>
      <c r="D7" s="2">
        <v>1.2304200000000001</v>
      </c>
      <c r="E7" s="2">
        <v>-1.4519200000000001</v>
      </c>
      <c r="F7" s="2">
        <v>-0.64883000000000013</v>
      </c>
      <c r="G7" s="2">
        <v>0.91200999999999999</v>
      </c>
      <c r="H7" s="2">
        <v>0.55323999999999995</v>
      </c>
    </row>
    <row r="8" spans="1:8" x14ac:dyDescent="0.25">
      <c r="A8" s="33" t="s">
        <v>782</v>
      </c>
      <c r="B8" s="33" t="s">
        <v>1902</v>
      </c>
      <c r="C8" s="33" t="s">
        <v>1903</v>
      </c>
      <c r="D8" s="2">
        <v>1.40052</v>
      </c>
      <c r="E8" s="2">
        <v>-1.44526</v>
      </c>
      <c r="F8" s="2">
        <v>-0.84297999999999995</v>
      </c>
      <c r="G8" s="2">
        <v>0.64566000000000001</v>
      </c>
      <c r="H8" s="2">
        <v>0.50982000000000005</v>
      </c>
    </row>
    <row r="9" spans="1:8" x14ac:dyDescent="0.25">
      <c r="A9" s="33" t="s">
        <v>782</v>
      </c>
      <c r="B9" s="33" t="s">
        <v>1904</v>
      </c>
      <c r="C9" s="33" t="s">
        <v>1905</v>
      </c>
      <c r="D9" s="2">
        <v>1.0363</v>
      </c>
      <c r="E9" s="2">
        <v>0.42146</v>
      </c>
      <c r="F9" s="2">
        <v>-0.86389000000000005</v>
      </c>
      <c r="G9" s="2">
        <v>0.27485999999999988</v>
      </c>
      <c r="H9" s="2">
        <v>0.37030999999999997</v>
      </c>
    </row>
    <row r="10" spans="1:8" x14ac:dyDescent="0.25">
      <c r="A10" s="33" t="s">
        <v>782</v>
      </c>
      <c r="B10" s="33" t="s">
        <v>1906</v>
      </c>
      <c r="C10" s="33" t="s">
        <v>1907</v>
      </c>
      <c r="D10" s="2">
        <v>1.0535099999999999</v>
      </c>
      <c r="E10" s="2">
        <v>0.90634000000000003</v>
      </c>
      <c r="F10" s="2">
        <v>-0.86263000000000012</v>
      </c>
      <c r="G10" s="2">
        <v>0.28349999999999997</v>
      </c>
      <c r="H10" s="2">
        <v>0.41154000000000007</v>
      </c>
    </row>
    <row r="11" spans="1:8" x14ac:dyDescent="0.25">
      <c r="A11" s="33" t="s">
        <v>782</v>
      </c>
      <c r="B11" s="33" t="s">
        <v>1908</v>
      </c>
      <c r="C11" s="33" t="s">
        <v>1909</v>
      </c>
      <c r="D11" s="2">
        <v>0.83060999999999985</v>
      </c>
      <c r="E11" s="2">
        <v>0.42832999999999999</v>
      </c>
      <c r="F11" s="2">
        <v>-0.60307999999999984</v>
      </c>
      <c r="G11" s="2">
        <v>0.18842</v>
      </c>
      <c r="H11" s="2">
        <v>0.48176999999999992</v>
      </c>
    </row>
    <row r="12" spans="1:8" x14ac:dyDescent="0.25">
      <c r="A12" s="33" t="s">
        <v>782</v>
      </c>
      <c r="B12" s="33" t="s">
        <v>1910</v>
      </c>
      <c r="C12" s="33" t="s">
        <v>1911</v>
      </c>
      <c r="D12" s="2">
        <v>0.87588000000000021</v>
      </c>
      <c r="E12" s="2">
        <v>-0.45350000000000001</v>
      </c>
      <c r="F12" s="2">
        <v>-0.41060999999999992</v>
      </c>
      <c r="G12" s="2">
        <v>0.53580000000000005</v>
      </c>
      <c r="H12" s="2">
        <v>0.54405000000000003</v>
      </c>
    </row>
    <row r="13" spans="1:8" x14ac:dyDescent="0.25">
      <c r="A13" s="33" t="s">
        <v>782</v>
      </c>
      <c r="B13" s="33" t="s">
        <v>1912</v>
      </c>
      <c r="C13" s="33" t="s">
        <v>1913</v>
      </c>
      <c r="D13" s="2">
        <v>0.88161999999999996</v>
      </c>
      <c r="E13" s="2">
        <v>0.53934999999999989</v>
      </c>
      <c r="F13" s="2">
        <v>-0.56752000000000002</v>
      </c>
      <c r="G13" s="2">
        <v>0.46994000000000008</v>
      </c>
      <c r="H13" s="2">
        <v>0.41088999999999998</v>
      </c>
    </row>
    <row r="14" spans="1:8" x14ac:dyDescent="0.25">
      <c r="A14" s="33" t="s">
        <v>782</v>
      </c>
      <c r="B14" s="33" t="s">
        <v>1914</v>
      </c>
      <c r="C14" s="33" t="s">
        <v>1915</v>
      </c>
      <c r="D14" s="2">
        <v>0.65000999999999998</v>
      </c>
      <c r="E14" s="2">
        <v>-1.393E-2</v>
      </c>
      <c r="F14" s="2">
        <v>0.17848</v>
      </c>
      <c r="G14" s="2">
        <v>0.52015999999999996</v>
      </c>
      <c r="H14" s="2">
        <v>0.41410000000000002</v>
      </c>
    </row>
    <row r="15" spans="1:8" x14ac:dyDescent="0.25">
      <c r="A15" s="33" t="s">
        <v>782</v>
      </c>
      <c r="B15" s="33" t="s">
        <v>1916</v>
      </c>
      <c r="C15" s="33" t="s">
        <v>1917</v>
      </c>
      <c r="D15" s="2">
        <v>0.62929999999999997</v>
      </c>
      <c r="E15" s="2">
        <v>0.17924999999999999</v>
      </c>
      <c r="F15" s="2">
        <v>0.26983000000000001</v>
      </c>
      <c r="G15" s="2">
        <v>0.38067999999999991</v>
      </c>
      <c r="H15" s="2">
        <v>0.39672000000000002</v>
      </c>
    </row>
    <row r="16" spans="1:8" x14ac:dyDescent="0.25">
      <c r="A16" s="40" t="s">
        <v>782</v>
      </c>
      <c r="B16" s="40" t="s">
        <v>1918</v>
      </c>
      <c r="C16" s="40" t="s">
        <v>1919</v>
      </c>
      <c r="D16" s="4">
        <v>0.57798999999999989</v>
      </c>
      <c r="E16" s="4">
        <v>1.10877</v>
      </c>
      <c r="F16" s="4">
        <v>-0.11855</v>
      </c>
      <c r="G16" s="4">
        <v>0.32332</v>
      </c>
      <c r="H16" s="4">
        <v>0.19958000000000001</v>
      </c>
    </row>
    <row r="17" spans="1:8" x14ac:dyDescent="0.25">
      <c r="A17" s="33"/>
      <c r="B17" s="33"/>
      <c r="C17" s="33"/>
      <c r="D17" s="33"/>
      <c r="E17" s="33"/>
      <c r="F17" s="2" t="str">
        <f>IFERROR(VLOOKUP(_xlfn.CONCAT($B$1,$B17),SCQ!$A$2:$J$500,6,0),"")</f>
        <v/>
      </c>
      <c r="G17" s="2" t="str">
        <f>IFERROR(VLOOKUP(_xlfn.CONCAT($B$1,$B17),SCQ!$A$2:$J$500,7,0),"")</f>
        <v/>
      </c>
      <c r="H17" s="2" t="str">
        <f>IFERROR(VLOOKUP(_xlfn.CONCAT($B$1,$B17),SCQ!$A$2:$J$500,8,0),"")</f>
        <v/>
      </c>
    </row>
    <row r="18" spans="1:8" x14ac:dyDescent="0.25">
      <c r="A18" s="33"/>
      <c r="B18" s="33"/>
      <c r="C18" s="33"/>
      <c r="D18" s="33"/>
      <c r="E18" s="33"/>
      <c r="F18" s="2" t="str">
        <f>IFERROR(VLOOKUP(_xlfn.CONCAT($B$1,$B18),SCQ!$A$2:$J$500,6,0),"")</f>
        <v/>
      </c>
      <c r="G18" s="2" t="str">
        <f>IFERROR(VLOOKUP(_xlfn.CONCAT($B$1,$B18),SCQ!$A$2:$J$500,7,0),"")</f>
        <v/>
      </c>
      <c r="H18" s="2" t="str">
        <f>IFERROR(VLOOKUP(_xlfn.CONCAT($B$1,$B18),SCQ!$A$2:$J$500,8,0),"")</f>
        <v/>
      </c>
    </row>
    <row r="19" spans="1:8" x14ac:dyDescent="0.25">
      <c r="A19" s="33"/>
      <c r="B19" s="33"/>
      <c r="C19" s="33"/>
      <c r="D19" s="33"/>
      <c r="E19" s="33"/>
      <c r="F19" s="2" t="str">
        <f>IFERROR(VLOOKUP(_xlfn.CONCAT($B$1,$B19),SCQ!$A$2:$J$500,6,0),"")</f>
        <v/>
      </c>
      <c r="G19" s="2" t="str">
        <f>IFERROR(VLOOKUP(_xlfn.CONCAT($B$1,$B19),SCQ!$A$2:$J$500,7,0),"")</f>
        <v/>
      </c>
      <c r="H19" s="2" t="str">
        <f>IFERROR(VLOOKUP(_xlfn.CONCAT($B$1,$B19),SCQ!$A$2:$J$500,8,0),"")</f>
        <v/>
      </c>
    </row>
  </sheetData>
  <sheetProtection formatColumns="0" formatRows="0"/>
  <hyperlinks>
    <hyperlink ref="A1" location="TOC!A1" display="Table of Contents" xr:uid="{A2FAE371-7A2D-4B6A-92E8-676C2A5060BE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7"/>
  <dimension ref="A1:H2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28515625" customWidth="1"/>
    <col min="2" max="2" width="12.28515625" bestFit="1" customWidth="1"/>
    <col min="3" max="3" width="99.42578125" customWidth="1"/>
  </cols>
  <sheetData>
    <row r="1" spans="1:8" x14ac:dyDescent="0.25">
      <c r="A1" s="141" t="s">
        <v>316</v>
      </c>
      <c r="B1" s="32" t="s">
        <v>349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180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181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1920</v>
      </c>
      <c r="C7" s="33" t="s">
        <v>1921</v>
      </c>
      <c r="D7" s="2">
        <v>3.9702899999999999</v>
      </c>
      <c r="E7" s="2">
        <v>-1.62039</v>
      </c>
      <c r="F7" s="2">
        <v>-2.3205499999999999</v>
      </c>
      <c r="G7" s="2">
        <v>-1.09179</v>
      </c>
      <c r="H7" s="2">
        <v>3.412339999999999</v>
      </c>
    </row>
    <row r="8" spans="1:8" x14ac:dyDescent="0.25">
      <c r="A8" s="33" t="s">
        <v>782</v>
      </c>
      <c r="B8" s="33" t="s">
        <v>1922</v>
      </c>
      <c r="C8" s="33" t="s">
        <v>1923</v>
      </c>
      <c r="D8" s="2">
        <v>3.3462200000000011</v>
      </c>
      <c r="E8" s="2">
        <v>-1.3737299999999999</v>
      </c>
      <c r="F8" s="2">
        <v>-3.081700000000001</v>
      </c>
      <c r="G8" s="2">
        <v>-0.18325</v>
      </c>
      <c r="H8" s="2">
        <v>3.2649499999999998</v>
      </c>
    </row>
    <row r="9" spans="1:8" x14ac:dyDescent="0.25">
      <c r="A9" s="33" t="s">
        <v>782</v>
      </c>
      <c r="B9" s="33" t="s">
        <v>1924</v>
      </c>
      <c r="C9" s="33" t="s">
        <v>1925</v>
      </c>
      <c r="D9" s="2">
        <v>5</v>
      </c>
      <c r="E9" s="2">
        <v>-1.6768799999999999</v>
      </c>
      <c r="F9" s="2">
        <v>-4.432529999999999</v>
      </c>
      <c r="G9" s="2">
        <v>-0.87022999999999995</v>
      </c>
      <c r="H9" s="2">
        <v>5.3027599999999993</v>
      </c>
    </row>
    <row r="10" spans="1:8" x14ac:dyDescent="0.25">
      <c r="A10" s="33" t="s">
        <v>782</v>
      </c>
      <c r="B10" s="33" t="s">
        <v>1926</v>
      </c>
      <c r="C10" s="33" t="s">
        <v>1927</v>
      </c>
      <c r="D10" s="2">
        <v>3.59144</v>
      </c>
      <c r="E10" s="2">
        <v>-1.06562</v>
      </c>
      <c r="F10" s="2">
        <v>-2.5034000000000001</v>
      </c>
      <c r="G10" s="2">
        <v>-0.84469000000000016</v>
      </c>
      <c r="H10" s="2">
        <v>3.3480899999999991</v>
      </c>
    </row>
    <row r="11" spans="1:8" x14ac:dyDescent="0.25">
      <c r="A11" s="33" t="s">
        <v>782</v>
      </c>
      <c r="B11" s="33" t="s">
        <v>1928</v>
      </c>
      <c r="C11" s="33" t="s">
        <v>1929</v>
      </c>
      <c r="D11" s="2">
        <v>1.99082</v>
      </c>
      <c r="E11" s="2">
        <v>-0.65276999999999985</v>
      </c>
      <c r="F11" s="2">
        <v>-1.4125399999999999</v>
      </c>
      <c r="G11" s="2">
        <v>-0.24812999999999999</v>
      </c>
      <c r="H11" s="2">
        <v>1.6606700000000001</v>
      </c>
    </row>
    <row r="12" spans="1:8" x14ac:dyDescent="0.25">
      <c r="A12" s="33" t="s">
        <v>782</v>
      </c>
      <c r="B12" s="33" t="s">
        <v>1930</v>
      </c>
      <c r="C12" s="33" t="s">
        <v>1931</v>
      </c>
      <c r="D12" s="2">
        <v>1.8405</v>
      </c>
      <c r="E12" s="2">
        <v>-1.5704400000000001</v>
      </c>
      <c r="F12" s="2">
        <v>-3.1851699999999998</v>
      </c>
      <c r="G12" s="2">
        <v>-0.32624999999999998</v>
      </c>
      <c r="H12" s="2">
        <v>3.5114199999999989</v>
      </c>
    </row>
    <row r="13" spans="1:8" x14ac:dyDescent="0.25">
      <c r="A13" s="33" t="s">
        <v>782</v>
      </c>
      <c r="B13" s="33" t="s">
        <v>1932</v>
      </c>
      <c r="C13" s="33" t="s">
        <v>1933</v>
      </c>
      <c r="D13" s="2">
        <v>1.99986</v>
      </c>
      <c r="E13" s="2">
        <v>-0.36403999999999997</v>
      </c>
      <c r="F13" s="2">
        <v>-2.3059400000000001</v>
      </c>
      <c r="G13" s="2">
        <v>-0.75553000000000015</v>
      </c>
      <c r="H13" s="2">
        <v>3.0614699999999999</v>
      </c>
    </row>
    <row r="14" spans="1:8" x14ac:dyDescent="0.25">
      <c r="A14" s="33" t="s">
        <v>782</v>
      </c>
      <c r="B14" s="33" t="s">
        <v>1934</v>
      </c>
      <c r="C14" s="33" t="s">
        <v>1935</v>
      </c>
      <c r="D14" s="2">
        <v>3.8128899999999999</v>
      </c>
      <c r="E14" s="2">
        <v>-1.49454</v>
      </c>
      <c r="F14" s="2">
        <v>-4.1442899999999998</v>
      </c>
      <c r="G14" s="2">
        <v>-0.87451000000000001</v>
      </c>
      <c r="H14" s="2">
        <v>5.0187999999999988</v>
      </c>
    </row>
    <row r="15" spans="1:8" x14ac:dyDescent="0.25">
      <c r="A15" s="33" t="s">
        <v>782</v>
      </c>
      <c r="B15" s="33" t="s">
        <v>1936</v>
      </c>
      <c r="C15" s="33" t="s">
        <v>1937</v>
      </c>
      <c r="D15" s="2">
        <v>2.2971400000000002</v>
      </c>
      <c r="E15" s="2">
        <v>-1.1341600000000001</v>
      </c>
      <c r="F15" s="2">
        <v>-2.6692300000000002</v>
      </c>
      <c r="G15" s="2">
        <v>-0.36249999999999999</v>
      </c>
      <c r="H15" s="2">
        <v>3.03173</v>
      </c>
    </row>
    <row r="16" spans="1:8" x14ac:dyDescent="0.25">
      <c r="A16" s="33" t="s">
        <v>782</v>
      </c>
      <c r="B16" s="33" t="s">
        <v>1938</v>
      </c>
      <c r="C16" s="33" t="s">
        <v>1939</v>
      </c>
      <c r="D16" s="2">
        <v>0.95399</v>
      </c>
      <c r="E16" s="2">
        <v>0.44213000000000008</v>
      </c>
      <c r="F16" s="2">
        <v>-1.15374</v>
      </c>
      <c r="G16" s="2">
        <v>-0.78822999999999999</v>
      </c>
      <c r="H16" s="2">
        <v>1.94197</v>
      </c>
    </row>
    <row r="17" spans="1:8" x14ac:dyDescent="0.25">
      <c r="A17" s="33" t="s">
        <v>782</v>
      </c>
      <c r="B17" s="33" t="s">
        <v>1940</v>
      </c>
      <c r="C17" s="33" t="s">
        <v>1941</v>
      </c>
      <c r="D17" s="2">
        <v>1.6487700000000001</v>
      </c>
      <c r="E17" s="2">
        <v>-0.82562999999999998</v>
      </c>
      <c r="F17" s="2">
        <v>-1.9571000000000001</v>
      </c>
      <c r="G17" s="2">
        <v>-0.80649999999999988</v>
      </c>
      <c r="H17" s="2">
        <v>2.7635999999999998</v>
      </c>
    </row>
    <row r="18" spans="1:8" x14ac:dyDescent="0.25">
      <c r="A18" s="40" t="s">
        <v>782</v>
      </c>
      <c r="B18" s="40" t="s">
        <v>1942</v>
      </c>
      <c r="C18" s="40" t="s">
        <v>1943</v>
      </c>
      <c r="D18" s="4">
        <v>1.46129</v>
      </c>
      <c r="E18" s="4">
        <v>-0.10427</v>
      </c>
      <c r="F18" s="4">
        <v>-1.4362600000000001</v>
      </c>
      <c r="G18" s="4">
        <v>-0.40117000000000008</v>
      </c>
      <c r="H18" s="4">
        <v>1.8374299999999999</v>
      </c>
    </row>
    <row r="19" spans="1:8" x14ac:dyDescent="0.25">
      <c r="A19" s="33"/>
      <c r="B19" s="33"/>
      <c r="C19" s="33"/>
      <c r="D19" s="33"/>
      <c r="E19" s="33"/>
      <c r="F19" s="2" t="str">
        <f>IFERROR(VLOOKUP(_xlfn.CONCAT($B$1,$B19),SCQ!$A$2:$J$500,6,0),"")</f>
        <v/>
      </c>
      <c r="G19" s="2" t="str">
        <f>IFERROR(VLOOKUP(_xlfn.CONCAT($B$1,$B19),SCQ!$A$2:$J$500,7,0),"")</f>
        <v/>
      </c>
      <c r="H19" s="2" t="str">
        <f>IFERROR(VLOOKUP(_xlfn.CONCAT($B$1,$B19),SCQ!$A$2:$J$500,8,0),"")</f>
        <v/>
      </c>
    </row>
    <row r="20" spans="1:8" x14ac:dyDescent="0.25">
      <c r="A20" s="33"/>
      <c r="B20" s="33"/>
      <c r="C20" s="33"/>
      <c r="D20" s="33"/>
      <c r="E20" s="33"/>
      <c r="F20" s="2" t="str">
        <f>IFERROR(VLOOKUP(_xlfn.CONCAT($B$1,$B20),SCQ!$A$2:$J$500,6,0),"")</f>
        <v/>
      </c>
      <c r="G20" s="2" t="str">
        <f>IFERROR(VLOOKUP(_xlfn.CONCAT($B$1,$B20),SCQ!$A$2:$J$500,7,0),"")</f>
        <v/>
      </c>
      <c r="H20" s="2" t="str">
        <f>IFERROR(VLOOKUP(_xlfn.CONCAT($B$1,$B20),SCQ!$A$2:$J$500,8,0),"")</f>
        <v/>
      </c>
    </row>
    <row r="21" spans="1:8" x14ac:dyDescent="0.25">
      <c r="A21" s="33"/>
      <c r="B21" s="33"/>
      <c r="C21" s="33"/>
      <c r="D21" s="33"/>
      <c r="E21" s="33"/>
      <c r="F21" s="2" t="str">
        <f>IFERROR(VLOOKUP(_xlfn.CONCAT($B$1,$B21),SCQ!$A$2:$J$500,6,0),"")</f>
        <v/>
      </c>
      <c r="G21" s="2" t="str">
        <f>IFERROR(VLOOKUP(_xlfn.CONCAT($B$1,$B21),SCQ!$A$2:$J$500,7,0),"")</f>
        <v/>
      </c>
      <c r="H21" s="2" t="str">
        <f>IFERROR(VLOOKUP(_xlfn.CONCAT($B$1,$B21),SCQ!$A$2:$J$500,8,0),"")</f>
        <v/>
      </c>
    </row>
  </sheetData>
  <sheetProtection formatColumns="0" formatRows="0"/>
  <hyperlinks>
    <hyperlink ref="A1" location="TOC!A1" display="Table of Contents" xr:uid="{C5E54711-BFCA-4D9C-B529-4BED0A45F159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40"/>
  <dimension ref="A1:J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.28515625" customWidth="1"/>
    <col min="2" max="2" width="11.42578125" bestFit="1" customWidth="1"/>
    <col min="3" max="3" width="128" customWidth="1"/>
  </cols>
  <sheetData>
    <row r="1" spans="1:10" x14ac:dyDescent="0.25">
      <c r="A1" s="141" t="s">
        <v>316</v>
      </c>
      <c r="B1" s="32" t="s">
        <v>350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182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183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</row>
    <row r="7" spans="1:10" x14ac:dyDescent="0.25">
      <c r="A7" s="33" t="s">
        <v>782</v>
      </c>
      <c r="B7" s="33" t="s">
        <v>1944</v>
      </c>
      <c r="C7" s="33" t="s">
        <v>1945</v>
      </c>
      <c r="D7" s="53" t="s">
        <v>926</v>
      </c>
      <c r="E7" s="2">
        <v>1.2723899999999999</v>
      </c>
      <c r="F7" s="2">
        <v>0.11734</v>
      </c>
      <c r="G7" s="2">
        <v>-2.9577800000000001</v>
      </c>
      <c r="H7" s="2">
        <v>-0.6159300000000002</v>
      </c>
      <c r="I7" s="2">
        <v>1.42161</v>
      </c>
      <c r="J7" s="2">
        <v>2.1520999999999999</v>
      </c>
    </row>
    <row r="8" spans="1:10" x14ac:dyDescent="0.25">
      <c r="A8" s="33" t="s">
        <v>782</v>
      </c>
      <c r="B8" s="33" t="s">
        <v>1946</v>
      </c>
      <c r="C8" s="33" t="s">
        <v>1947</v>
      </c>
      <c r="D8" s="53" t="s">
        <v>926</v>
      </c>
      <c r="E8" s="2">
        <v>2.3788100000000001</v>
      </c>
      <c r="F8" s="2">
        <v>-7.7299999999999982E-3</v>
      </c>
      <c r="G8" s="2">
        <v>-4.8537499999999989</v>
      </c>
      <c r="H8" s="2">
        <v>-0.92786999999999997</v>
      </c>
      <c r="I8" s="2">
        <v>2.2082899999999999</v>
      </c>
      <c r="J8" s="2">
        <v>3.5733299999999999</v>
      </c>
    </row>
    <row r="9" spans="1:10" x14ac:dyDescent="0.25">
      <c r="A9" s="33" t="s">
        <v>782</v>
      </c>
      <c r="B9" s="33" t="s">
        <v>1948</v>
      </c>
      <c r="C9" s="33" t="s">
        <v>1949</v>
      </c>
      <c r="D9" s="53" t="s">
        <v>926</v>
      </c>
      <c r="E9" s="2">
        <v>3.7700600000000009</v>
      </c>
      <c r="F9" s="2">
        <v>0.27982000000000001</v>
      </c>
      <c r="G9" s="2">
        <v>-6.3948099999999988</v>
      </c>
      <c r="H9" s="2">
        <v>-1.1329199999999999</v>
      </c>
      <c r="I9" s="2">
        <v>2.78206</v>
      </c>
      <c r="J9" s="2">
        <v>4.7456699999999996</v>
      </c>
    </row>
    <row r="10" spans="1:10" x14ac:dyDescent="0.25">
      <c r="A10" s="33" t="s">
        <v>782</v>
      </c>
      <c r="B10" s="33" t="s">
        <v>1950</v>
      </c>
      <c r="C10" s="33" t="s">
        <v>1951</v>
      </c>
      <c r="D10" s="53" t="s">
        <v>926</v>
      </c>
      <c r="E10" s="2">
        <v>2.4952999999999999</v>
      </c>
      <c r="F10" s="2">
        <v>-3.355000000000001E-2</v>
      </c>
      <c r="G10" s="2">
        <v>-4.06562</v>
      </c>
      <c r="H10" s="2">
        <v>-0.96148999999999996</v>
      </c>
      <c r="I10" s="2">
        <v>2.075969999999999</v>
      </c>
      <c r="J10" s="2">
        <v>2.9511400000000001</v>
      </c>
    </row>
    <row r="11" spans="1:10" x14ac:dyDescent="0.25">
      <c r="A11" s="33" t="s">
        <v>782</v>
      </c>
      <c r="B11" s="33" t="s">
        <v>1952</v>
      </c>
      <c r="C11" s="33" t="s">
        <v>1953</v>
      </c>
      <c r="D11" s="53" t="s">
        <v>926</v>
      </c>
      <c r="E11" s="2">
        <v>0.68772999999999995</v>
      </c>
      <c r="F11" s="2">
        <v>-0.35576999999999998</v>
      </c>
      <c r="G11" s="2">
        <v>-2.8437199999999998</v>
      </c>
      <c r="H11" s="2">
        <v>-0.18945000000000001</v>
      </c>
      <c r="I11" s="2">
        <v>1.9096900000000001</v>
      </c>
      <c r="J11" s="2">
        <v>1.12348</v>
      </c>
    </row>
    <row r="12" spans="1:10" x14ac:dyDescent="0.25">
      <c r="A12" s="33" t="s">
        <v>782</v>
      </c>
      <c r="B12" s="33" t="s">
        <v>1954</v>
      </c>
      <c r="C12" s="33" t="s">
        <v>1955</v>
      </c>
      <c r="D12" s="53" t="s">
        <v>926</v>
      </c>
      <c r="E12" s="2">
        <v>0.75029999999999997</v>
      </c>
      <c r="F12" s="2">
        <v>0.41641</v>
      </c>
      <c r="G12" s="2">
        <v>-2.8252799999999998</v>
      </c>
      <c r="H12" s="2">
        <v>1.0220100000000001</v>
      </c>
      <c r="I12" s="2">
        <v>1.5220100000000001</v>
      </c>
      <c r="J12" s="2">
        <v>0.28125999999999962</v>
      </c>
    </row>
    <row r="13" spans="1:10" x14ac:dyDescent="0.25">
      <c r="A13" s="40" t="s">
        <v>782</v>
      </c>
      <c r="B13" s="40" t="s">
        <v>1956</v>
      </c>
      <c r="C13" s="40" t="s">
        <v>1957</v>
      </c>
      <c r="D13" s="78" t="s">
        <v>1958</v>
      </c>
      <c r="E13" s="4">
        <v>0.52915000000000001</v>
      </c>
      <c r="F13" s="4">
        <v>0.38002999999999998</v>
      </c>
      <c r="G13" s="4">
        <v>-1.7445299999999999</v>
      </c>
      <c r="H13" s="4">
        <v>-0.16047</v>
      </c>
      <c r="I13" s="4">
        <v>1.17306</v>
      </c>
      <c r="J13" s="4">
        <v>0.73193999999999981</v>
      </c>
    </row>
  </sheetData>
  <sheetProtection formatColumns="0" formatRows="0"/>
  <hyperlinks>
    <hyperlink ref="A1" location="TOC!A1" display="Table of Contents" xr:uid="{A7662D31-FDF0-46CB-9FE4-F320192877F6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8"/>
  <dimension ref="A1:F2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3.140625" bestFit="1" customWidth="1"/>
    <col min="3" max="3" width="53.42578125" customWidth="1"/>
    <col min="4" max="4" width="12.7109375" customWidth="1"/>
    <col min="5" max="5" width="8.7109375" bestFit="1" customWidth="1"/>
  </cols>
  <sheetData>
    <row r="1" spans="1:6" x14ac:dyDescent="0.25">
      <c r="A1" s="141" t="s">
        <v>316</v>
      </c>
      <c r="B1" s="32" t="s">
        <v>393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184</v>
      </c>
      <c r="B3" s="33"/>
      <c r="C3" s="33"/>
      <c r="D3" s="33"/>
      <c r="E3" s="33"/>
      <c r="F3" s="33"/>
    </row>
    <row r="4" spans="1:6" x14ac:dyDescent="0.25">
      <c r="A4" s="34" t="s">
        <v>185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1959</v>
      </c>
      <c r="C7" s="33" t="s">
        <v>1960</v>
      </c>
      <c r="D7" s="33" t="s">
        <v>927</v>
      </c>
      <c r="E7" s="2">
        <v>3.792759999999999</v>
      </c>
      <c r="F7" s="2">
        <v>-2.9071400000000001</v>
      </c>
    </row>
    <row r="8" spans="1:6" x14ac:dyDescent="0.25">
      <c r="A8" s="33" t="s">
        <v>782</v>
      </c>
      <c r="B8" s="33" t="s">
        <v>1961</v>
      </c>
      <c r="C8" s="33" t="s">
        <v>1962</v>
      </c>
      <c r="D8" s="33" t="s">
        <v>927</v>
      </c>
      <c r="E8" s="2">
        <v>2.6831700000000001</v>
      </c>
      <c r="F8" s="2">
        <v>-0.87492999999999999</v>
      </c>
    </row>
    <row r="9" spans="1:6" x14ac:dyDescent="0.25">
      <c r="A9" s="33" t="s">
        <v>782</v>
      </c>
      <c r="B9" s="33" t="s">
        <v>1963</v>
      </c>
      <c r="C9" s="33" t="s">
        <v>1964</v>
      </c>
      <c r="D9" s="33" t="s">
        <v>927</v>
      </c>
      <c r="E9" s="2">
        <v>5</v>
      </c>
      <c r="F9" s="2">
        <v>-1.57735</v>
      </c>
    </row>
    <row r="10" spans="1:6" x14ac:dyDescent="0.25">
      <c r="A10" s="33" t="s">
        <v>782</v>
      </c>
      <c r="B10" s="33" t="s">
        <v>1965</v>
      </c>
      <c r="C10" s="33" t="s">
        <v>1966</v>
      </c>
      <c r="D10" s="33" t="s">
        <v>927</v>
      </c>
      <c r="E10" s="2">
        <v>4.7517500000000004</v>
      </c>
      <c r="F10" s="2">
        <v>-1.3162400000000001</v>
      </c>
    </row>
    <row r="11" spans="1:6" x14ac:dyDescent="0.25">
      <c r="A11" s="33" t="s">
        <v>782</v>
      </c>
      <c r="B11" s="33" t="s">
        <v>1967</v>
      </c>
      <c r="C11" s="33" t="s">
        <v>1968</v>
      </c>
      <c r="D11" s="33" t="s">
        <v>927</v>
      </c>
      <c r="E11" s="2">
        <v>5</v>
      </c>
      <c r="F11" s="2">
        <v>-1.65459</v>
      </c>
    </row>
    <row r="12" spans="1:6" x14ac:dyDescent="0.25">
      <c r="A12" s="33" t="s">
        <v>782</v>
      </c>
      <c r="B12" s="33" t="s">
        <v>1969</v>
      </c>
      <c r="C12" s="33" t="s">
        <v>1970</v>
      </c>
      <c r="D12" s="33" t="s">
        <v>927</v>
      </c>
      <c r="E12" s="2">
        <v>5</v>
      </c>
      <c r="F12" s="2">
        <v>-1.9958199999999999</v>
      </c>
    </row>
    <row r="13" spans="1:6" x14ac:dyDescent="0.25">
      <c r="A13" s="40" t="s">
        <v>782</v>
      </c>
      <c r="B13" s="40" t="s">
        <v>1971</v>
      </c>
      <c r="C13" s="40" t="s">
        <v>1972</v>
      </c>
      <c r="D13" s="40" t="s">
        <v>927</v>
      </c>
      <c r="E13" s="4">
        <v>3.48109</v>
      </c>
      <c r="F13" s="4">
        <v>-2.45702</v>
      </c>
    </row>
    <row r="14" spans="1:6" x14ac:dyDescent="0.25">
      <c r="A14" s="33"/>
      <c r="B14" s="33"/>
      <c r="C14" s="33"/>
      <c r="D14" s="33"/>
      <c r="E14" s="53"/>
      <c r="F14" s="53"/>
    </row>
    <row r="15" spans="1:6" x14ac:dyDescent="0.25">
      <c r="A15" s="33"/>
      <c r="B15" s="33"/>
      <c r="C15" s="33"/>
      <c r="D15" s="33"/>
      <c r="E15" s="53"/>
      <c r="F15" s="53"/>
    </row>
    <row r="16" spans="1:6" x14ac:dyDescent="0.25">
      <c r="A16" s="33"/>
      <c r="B16" s="33"/>
      <c r="C16" s="33"/>
      <c r="D16" s="33"/>
      <c r="E16" s="53"/>
      <c r="F16" s="53"/>
    </row>
    <row r="17" spans="1:6" x14ac:dyDescent="0.25">
      <c r="A17" s="33"/>
      <c r="B17" s="33"/>
      <c r="C17" s="33"/>
      <c r="D17" s="33"/>
      <c r="E17" s="53"/>
      <c r="F17" s="53"/>
    </row>
    <row r="18" spans="1:6" x14ac:dyDescent="0.25">
      <c r="A18" s="33"/>
      <c r="B18" s="33"/>
      <c r="C18" s="33"/>
      <c r="D18" s="33"/>
      <c r="E18" s="53"/>
      <c r="F18" s="53"/>
    </row>
    <row r="19" spans="1:6" x14ac:dyDescent="0.25">
      <c r="A19" s="33"/>
      <c r="B19" s="33"/>
      <c r="C19" s="33"/>
      <c r="D19" s="33"/>
      <c r="E19" s="53"/>
      <c r="F19" s="53"/>
    </row>
    <row r="20" spans="1:6" x14ac:dyDescent="0.25">
      <c r="A20" s="33"/>
      <c r="B20" s="33"/>
      <c r="C20" s="33"/>
      <c r="D20" s="33"/>
      <c r="E20" s="53"/>
      <c r="F20" s="53"/>
    </row>
    <row r="21" spans="1:6" x14ac:dyDescent="0.25">
      <c r="A21" s="33"/>
      <c r="B21" s="33"/>
      <c r="C21" s="33"/>
      <c r="D21" s="33"/>
      <c r="E21" s="53"/>
      <c r="F21" s="53"/>
    </row>
    <row r="22" spans="1:6" x14ac:dyDescent="0.25">
      <c r="A22" s="33"/>
      <c r="B22" s="33"/>
      <c r="C22" s="33"/>
      <c r="D22" s="33"/>
      <c r="E22" s="53"/>
      <c r="F22" s="53"/>
    </row>
    <row r="23" spans="1:6" x14ac:dyDescent="0.25">
      <c r="A23" s="33"/>
      <c r="B23" s="33"/>
      <c r="C23" s="33"/>
      <c r="D23" s="33"/>
      <c r="E23" s="53"/>
      <c r="F23" s="53"/>
    </row>
    <row r="24" spans="1:6" x14ac:dyDescent="0.25">
      <c r="A24" s="33"/>
      <c r="B24" s="33"/>
      <c r="C24" s="33"/>
      <c r="D24" s="33"/>
      <c r="E24" s="53"/>
      <c r="F24" s="53"/>
    </row>
    <row r="25" spans="1:6" x14ac:dyDescent="0.25">
      <c r="A25" s="33"/>
      <c r="B25" s="33"/>
      <c r="C25" s="33"/>
      <c r="D25" s="33"/>
      <c r="E25" s="53"/>
      <c r="F25" s="53"/>
    </row>
    <row r="26" spans="1:6" x14ac:dyDescent="0.25">
      <c r="A26" s="33"/>
      <c r="B26" s="33"/>
      <c r="C26" s="33"/>
      <c r="D26" s="33"/>
      <c r="E26" s="53"/>
      <c r="F26" s="53"/>
    </row>
    <row r="27" spans="1:6" x14ac:dyDescent="0.25">
      <c r="A27" s="33"/>
      <c r="B27" s="33"/>
      <c r="C27" s="33"/>
      <c r="D27" s="33"/>
      <c r="E27" s="53"/>
      <c r="F27" s="53"/>
    </row>
    <row r="28" spans="1:6" x14ac:dyDescent="0.25">
      <c r="A28" s="33"/>
      <c r="B28" s="33"/>
      <c r="C28" s="33"/>
      <c r="D28" s="33"/>
      <c r="E28" s="53"/>
      <c r="F28" s="53"/>
    </row>
  </sheetData>
  <sheetProtection formatColumns="0" formatRows="0"/>
  <hyperlinks>
    <hyperlink ref="A1" location="TOC!A1" display="Table of Contents" xr:uid="{BDFE6FD4-E467-4158-AFC7-346E40179CD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41"/>
  <dimension ref="A1:H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.28515625" customWidth="1"/>
    <col min="2" max="2" width="11.42578125" bestFit="1" customWidth="1"/>
    <col min="3" max="3" width="110.42578125" customWidth="1"/>
  </cols>
  <sheetData>
    <row r="1" spans="1:8" x14ac:dyDescent="0.25">
      <c r="A1" s="141" t="s">
        <v>316</v>
      </c>
      <c r="B1" s="32" t="s">
        <v>397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186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187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1973</v>
      </c>
      <c r="C7" s="33" t="s">
        <v>1974</v>
      </c>
      <c r="D7" s="2">
        <v>1.2973600000000001</v>
      </c>
      <c r="E7" s="2">
        <v>-2.96008</v>
      </c>
      <c r="F7" s="2">
        <v>-1.1157999999999999</v>
      </c>
      <c r="G7" s="2">
        <v>-0.71060000000000001</v>
      </c>
      <c r="H7" s="2">
        <v>1.8264</v>
      </c>
    </row>
    <row r="8" spans="1:8" x14ac:dyDescent="0.25">
      <c r="A8" s="33" t="s">
        <v>782</v>
      </c>
      <c r="B8" s="33" t="s">
        <v>1975</v>
      </c>
      <c r="C8" s="33" t="s">
        <v>1976</v>
      </c>
      <c r="D8" s="2">
        <v>1.84074</v>
      </c>
      <c r="E8" s="2">
        <v>-3.6452300000000002</v>
      </c>
      <c r="F8" s="2">
        <v>-2.27623</v>
      </c>
      <c r="G8" s="2">
        <v>-0.40555000000000008</v>
      </c>
      <c r="H8" s="2">
        <v>2.6817799999999989</v>
      </c>
    </row>
    <row r="9" spans="1:8" x14ac:dyDescent="0.25">
      <c r="A9" s="33" t="s">
        <v>782</v>
      </c>
      <c r="B9" s="33" t="s">
        <v>1977</v>
      </c>
      <c r="C9" s="33" t="s">
        <v>1978</v>
      </c>
      <c r="D9" s="2">
        <v>2.28085</v>
      </c>
      <c r="E9" s="2">
        <v>-4.4890299999999996</v>
      </c>
      <c r="F9" s="2">
        <v>-2.92136</v>
      </c>
      <c r="G9" s="2">
        <v>-0.31949</v>
      </c>
      <c r="H9" s="2">
        <v>3.2408500000000009</v>
      </c>
    </row>
    <row r="10" spans="1:8" x14ac:dyDescent="0.25">
      <c r="A10" s="33" t="s">
        <v>782</v>
      </c>
      <c r="B10" s="33" t="s">
        <v>1979</v>
      </c>
      <c r="C10" s="33" t="s">
        <v>1980</v>
      </c>
      <c r="D10" s="2">
        <v>2.3539599999999998</v>
      </c>
      <c r="E10" s="2">
        <v>-4.5611100000000002</v>
      </c>
      <c r="F10" s="2">
        <v>-2.9340700000000011</v>
      </c>
      <c r="G10" s="2">
        <v>-0.24876999999999999</v>
      </c>
      <c r="H10" s="2">
        <v>3.1828400000000001</v>
      </c>
    </row>
    <row r="11" spans="1:8" x14ac:dyDescent="0.25">
      <c r="A11" s="33" t="s">
        <v>782</v>
      </c>
      <c r="B11" s="33" t="s">
        <v>1981</v>
      </c>
      <c r="C11" s="33" t="s">
        <v>1982</v>
      </c>
      <c r="D11" s="2">
        <v>1.78772</v>
      </c>
      <c r="E11" s="2">
        <v>-3.2799</v>
      </c>
      <c r="F11" s="2">
        <v>-2.0474399999999999</v>
      </c>
      <c r="G11" s="2">
        <v>-0.15917000000000001</v>
      </c>
      <c r="H11" s="2">
        <v>2.20661</v>
      </c>
    </row>
    <row r="12" spans="1:8" x14ac:dyDescent="0.25">
      <c r="A12" s="33" t="s">
        <v>782</v>
      </c>
      <c r="B12" s="33" t="s">
        <v>1983</v>
      </c>
      <c r="C12" s="33" t="s">
        <v>1984</v>
      </c>
      <c r="D12" s="2">
        <v>2.0971899999999999</v>
      </c>
      <c r="E12" s="2">
        <v>-3.15957</v>
      </c>
      <c r="F12" s="2">
        <v>-2.7989899999999999</v>
      </c>
      <c r="G12" s="2">
        <v>-0.20213</v>
      </c>
      <c r="H12" s="2">
        <v>3.0011199999999998</v>
      </c>
    </row>
    <row r="13" spans="1:8" x14ac:dyDescent="0.25">
      <c r="A13" s="40" t="s">
        <v>782</v>
      </c>
      <c r="B13" s="40" t="s">
        <v>1985</v>
      </c>
      <c r="C13" s="40" t="s">
        <v>1986</v>
      </c>
      <c r="D13" s="4">
        <v>1.35538</v>
      </c>
      <c r="E13" s="4">
        <v>-1.7966800000000001</v>
      </c>
      <c r="F13" s="4">
        <v>-1.9821899999999999</v>
      </c>
      <c r="G13" s="4">
        <v>-5.9569999999999998E-2</v>
      </c>
      <c r="H13" s="4">
        <v>2.04176</v>
      </c>
    </row>
  </sheetData>
  <sheetProtection formatColumns="0" formatRows="0"/>
  <hyperlinks>
    <hyperlink ref="A1" location="TOC!A1" display="Table of Contents" xr:uid="{F9B5F4B2-C698-4B32-ACC7-5A58C81DC409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42"/>
  <dimension ref="A1:G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.28515625" customWidth="1"/>
    <col min="2" max="2" width="11.42578125" bestFit="1" customWidth="1"/>
    <col min="3" max="3" width="80.28515625" customWidth="1"/>
  </cols>
  <sheetData>
    <row r="1" spans="1:7" x14ac:dyDescent="0.25">
      <c r="A1" s="141" t="s">
        <v>316</v>
      </c>
      <c r="B1" s="32" t="s">
        <v>394</v>
      </c>
      <c r="C1" s="33"/>
      <c r="D1" s="33"/>
      <c r="E1" s="33"/>
      <c r="F1" s="33"/>
      <c r="G1" s="33"/>
    </row>
    <row r="2" spans="1:7" x14ac:dyDescent="0.25">
      <c r="A2" s="33"/>
      <c r="B2" s="33"/>
      <c r="C2" s="33"/>
      <c r="D2" s="33"/>
      <c r="E2" s="33"/>
      <c r="F2" s="33"/>
      <c r="G2" s="33"/>
    </row>
    <row r="3" spans="1:7" x14ac:dyDescent="0.25">
      <c r="A3" s="34" t="s">
        <v>188</v>
      </c>
      <c r="B3" s="33"/>
      <c r="C3" s="33"/>
      <c r="D3" s="33"/>
      <c r="E3" s="33"/>
      <c r="F3" s="33"/>
      <c r="G3" s="33"/>
    </row>
    <row r="4" spans="1:7" x14ac:dyDescent="0.25">
      <c r="A4" s="34" t="s">
        <v>189</v>
      </c>
      <c r="B4" s="33"/>
      <c r="C4" s="33"/>
      <c r="D4" s="33"/>
      <c r="E4" s="33"/>
      <c r="F4" s="33"/>
      <c r="G4" s="33"/>
    </row>
    <row r="5" spans="1:7" x14ac:dyDescent="0.25">
      <c r="A5" s="33"/>
      <c r="B5" s="33"/>
      <c r="C5" s="33"/>
      <c r="D5" s="33"/>
      <c r="E5" s="33"/>
      <c r="F5" s="33"/>
      <c r="G5" s="33"/>
    </row>
    <row r="6" spans="1:7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</row>
    <row r="7" spans="1:7" x14ac:dyDescent="0.25">
      <c r="A7" s="33" t="s">
        <v>782</v>
      </c>
      <c r="B7" s="33" t="s">
        <v>1987</v>
      </c>
      <c r="C7" s="33" t="s">
        <v>1988</v>
      </c>
      <c r="D7" s="2">
        <v>2.8350499999999998</v>
      </c>
      <c r="E7" s="2">
        <v>-0.3268299999999999</v>
      </c>
      <c r="F7" s="2">
        <v>-1.4787699999999999</v>
      </c>
      <c r="G7" s="2">
        <v>1.4787699999999999</v>
      </c>
    </row>
    <row r="8" spans="1:7" x14ac:dyDescent="0.25">
      <c r="A8" s="33" t="s">
        <v>782</v>
      </c>
      <c r="B8" s="33" t="s">
        <v>1989</v>
      </c>
      <c r="C8" s="33" t="s">
        <v>1990</v>
      </c>
      <c r="D8" s="2">
        <v>1.66632</v>
      </c>
      <c r="E8" s="2">
        <v>0.86673</v>
      </c>
      <c r="F8" s="2">
        <v>-1.1775</v>
      </c>
      <c r="G8" s="2">
        <v>1.1775</v>
      </c>
    </row>
    <row r="9" spans="1:7" x14ac:dyDescent="0.25">
      <c r="A9" s="33" t="s">
        <v>782</v>
      </c>
      <c r="B9" s="33" t="s">
        <v>1991</v>
      </c>
      <c r="C9" s="33" t="s">
        <v>1992</v>
      </c>
      <c r="D9" s="2">
        <v>2.4372400000000001</v>
      </c>
      <c r="E9" s="2">
        <v>1.57934</v>
      </c>
      <c r="F9" s="2">
        <v>-1.2226300000000001</v>
      </c>
      <c r="G9" s="2">
        <v>1.2226300000000001</v>
      </c>
    </row>
    <row r="10" spans="1:7" x14ac:dyDescent="0.25">
      <c r="A10" s="40" t="s">
        <v>782</v>
      </c>
      <c r="B10" s="40" t="s">
        <v>1993</v>
      </c>
      <c r="C10" s="40" t="s">
        <v>1994</v>
      </c>
      <c r="D10" s="4">
        <v>1.02115</v>
      </c>
      <c r="E10" s="4">
        <v>1.7317199999999999</v>
      </c>
      <c r="F10" s="4">
        <v>-0.21717</v>
      </c>
      <c r="G10" s="4">
        <v>0.21717</v>
      </c>
    </row>
  </sheetData>
  <sheetProtection formatColumns="0" formatRows="0"/>
  <hyperlinks>
    <hyperlink ref="A1" location="TOC!A1" display="Table of Contents" xr:uid="{E5B7589B-267F-4E9D-8304-A6F42B60221C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9"/>
  <dimension ref="A1:F2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3.140625" bestFit="1" customWidth="1"/>
    <col min="3" max="3" width="82.42578125" customWidth="1"/>
    <col min="4" max="4" width="12.7109375" customWidth="1"/>
    <col min="5" max="5" width="8.7109375" bestFit="1" customWidth="1"/>
  </cols>
  <sheetData>
    <row r="1" spans="1:6" x14ac:dyDescent="0.25">
      <c r="A1" s="141" t="s">
        <v>316</v>
      </c>
      <c r="B1" s="32" t="s">
        <v>398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190</v>
      </c>
      <c r="B3" s="33"/>
      <c r="C3" s="33"/>
      <c r="D3" s="33"/>
      <c r="E3" s="33"/>
      <c r="F3" s="33"/>
    </row>
    <row r="4" spans="1:6" x14ac:dyDescent="0.25">
      <c r="A4" s="34" t="s">
        <v>191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1995</v>
      </c>
      <c r="C7" s="33" t="s">
        <v>1996</v>
      </c>
      <c r="D7" s="33" t="s">
        <v>927</v>
      </c>
      <c r="E7" s="2">
        <v>5</v>
      </c>
      <c r="F7" s="2">
        <v>0.79452</v>
      </c>
    </row>
    <row r="8" spans="1:6" x14ac:dyDescent="0.25">
      <c r="A8" s="33" t="s">
        <v>782</v>
      </c>
      <c r="B8" s="33" t="s">
        <v>1997</v>
      </c>
      <c r="C8" s="33" t="s">
        <v>1998</v>
      </c>
      <c r="D8" s="33" t="s">
        <v>927</v>
      </c>
      <c r="E8" s="2">
        <v>4.6870299999999991</v>
      </c>
      <c r="F8" s="2">
        <v>0.55284</v>
      </c>
    </row>
    <row r="9" spans="1:6" x14ac:dyDescent="0.25">
      <c r="A9" s="33" t="s">
        <v>782</v>
      </c>
      <c r="B9" s="33" t="s">
        <v>1999</v>
      </c>
      <c r="C9" s="33" t="s">
        <v>2000</v>
      </c>
      <c r="D9" s="33" t="s">
        <v>927</v>
      </c>
      <c r="E9" s="2">
        <v>3.9915999999999991</v>
      </c>
      <c r="F9" s="2">
        <v>0.49135000000000001</v>
      </c>
    </row>
    <row r="10" spans="1:6" x14ac:dyDescent="0.25">
      <c r="A10" s="33" t="s">
        <v>782</v>
      </c>
      <c r="B10" s="33" t="s">
        <v>2001</v>
      </c>
      <c r="C10" s="33" t="s">
        <v>2002</v>
      </c>
      <c r="D10" s="33" t="s">
        <v>927</v>
      </c>
      <c r="E10" s="2">
        <v>2.6150799999999998</v>
      </c>
      <c r="F10" s="2">
        <v>-0.15625</v>
      </c>
    </row>
    <row r="11" spans="1:6" x14ac:dyDescent="0.25">
      <c r="A11" s="33" t="s">
        <v>782</v>
      </c>
      <c r="B11" s="33" t="s">
        <v>2003</v>
      </c>
      <c r="C11" s="33" t="s">
        <v>2004</v>
      </c>
      <c r="D11" s="33" t="s">
        <v>927</v>
      </c>
      <c r="E11" s="2">
        <v>3.7942399999999989</v>
      </c>
      <c r="F11" s="2">
        <v>0.21418999999999999</v>
      </c>
    </row>
    <row r="12" spans="1:6" x14ac:dyDescent="0.25">
      <c r="A12" s="40" t="s">
        <v>782</v>
      </c>
      <c r="B12" s="40" t="s">
        <v>2005</v>
      </c>
      <c r="C12" s="40" t="s">
        <v>2006</v>
      </c>
      <c r="D12" s="40" t="s">
        <v>927</v>
      </c>
      <c r="E12" s="4">
        <v>2.0447299999999999</v>
      </c>
      <c r="F12" s="4">
        <v>-0.45889999999999992</v>
      </c>
    </row>
    <row r="13" spans="1:6" x14ac:dyDescent="0.25">
      <c r="A13" s="33"/>
      <c r="B13" s="33"/>
      <c r="C13" s="33"/>
      <c r="D13" s="33"/>
      <c r="E13" s="53"/>
      <c r="F13" s="53"/>
    </row>
    <row r="14" spans="1:6" x14ac:dyDescent="0.25">
      <c r="A14" s="33"/>
      <c r="B14" s="33"/>
      <c r="C14" s="33"/>
      <c r="D14" s="33"/>
      <c r="E14" s="53"/>
      <c r="F14" s="53"/>
    </row>
    <row r="15" spans="1:6" x14ac:dyDescent="0.25">
      <c r="A15" s="33"/>
      <c r="B15" s="33"/>
      <c r="C15" s="33"/>
      <c r="D15" s="33"/>
      <c r="E15" s="53"/>
      <c r="F15" s="53"/>
    </row>
    <row r="16" spans="1:6" x14ac:dyDescent="0.25">
      <c r="A16" s="33"/>
      <c r="B16" s="33"/>
      <c r="C16" s="33"/>
      <c r="D16" s="33"/>
      <c r="E16" s="53"/>
      <c r="F16" s="53"/>
    </row>
    <row r="17" spans="1:6" x14ac:dyDescent="0.25">
      <c r="A17" s="33"/>
      <c r="B17" s="33"/>
      <c r="C17" s="33"/>
      <c r="D17" s="33"/>
      <c r="E17" s="53"/>
      <c r="F17" s="53"/>
    </row>
    <row r="18" spans="1:6" x14ac:dyDescent="0.25">
      <c r="A18" s="33"/>
      <c r="B18" s="33"/>
      <c r="C18" s="33"/>
      <c r="D18" s="33"/>
      <c r="E18" s="53"/>
      <c r="F18" s="53"/>
    </row>
    <row r="19" spans="1:6" x14ac:dyDescent="0.25">
      <c r="A19" s="33"/>
      <c r="B19" s="33"/>
      <c r="C19" s="33"/>
      <c r="D19" s="33"/>
      <c r="E19" s="53"/>
      <c r="F19" s="53"/>
    </row>
    <row r="20" spans="1:6" x14ac:dyDescent="0.25">
      <c r="A20" s="33"/>
      <c r="B20" s="33"/>
      <c r="C20" s="33"/>
      <c r="D20" s="33"/>
      <c r="E20" s="53"/>
      <c r="F20" s="53"/>
    </row>
    <row r="21" spans="1:6" x14ac:dyDescent="0.25">
      <c r="A21" s="33"/>
      <c r="B21" s="33"/>
      <c r="C21" s="33"/>
      <c r="D21" s="33"/>
      <c r="E21" s="53"/>
      <c r="F21" s="53"/>
    </row>
    <row r="22" spans="1:6" x14ac:dyDescent="0.25">
      <c r="A22" s="33"/>
      <c r="B22" s="33"/>
      <c r="C22" s="33"/>
      <c r="D22" s="33"/>
      <c r="E22" s="53"/>
      <c r="F22" s="53"/>
    </row>
    <row r="23" spans="1:6" x14ac:dyDescent="0.25">
      <c r="A23" s="33"/>
      <c r="B23" s="33"/>
      <c r="C23" s="33"/>
      <c r="D23" s="33"/>
      <c r="E23" s="53"/>
      <c r="F23" s="53"/>
    </row>
    <row r="24" spans="1:6" x14ac:dyDescent="0.25">
      <c r="A24" s="33"/>
      <c r="B24" s="33"/>
      <c r="C24" s="33"/>
      <c r="D24" s="33"/>
      <c r="E24" s="53"/>
      <c r="F24" s="53"/>
    </row>
    <row r="25" spans="1:6" x14ac:dyDescent="0.25">
      <c r="A25" s="33"/>
      <c r="B25" s="33"/>
      <c r="C25" s="33"/>
      <c r="D25" s="33"/>
      <c r="E25" s="53"/>
      <c r="F25" s="53"/>
    </row>
    <row r="26" spans="1:6" x14ac:dyDescent="0.25">
      <c r="A26" s="33"/>
      <c r="B26" s="33"/>
      <c r="C26" s="33"/>
      <c r="D26" s="33"/>
      <c r="E26" s="53"/>
      <c r="F26" s="53"/>
    </row>
    <row r="27" spans="1:6" x14ac:dyDescent="0.25">
      <c r="A27" s="33"/>
      <c r="B27" s="33"/>
      <c r="C27" s="33"/>
      <c r="D27" s="33"/>
      <c r="E27" s="53"/>
      <c r="F27" s="53"/>
    </row>
  </sheetData>
  <sheetProtection formatColumns="0" formatRows="0"/>
  <hyperlinks>
    <hyperlink ref="A1" location="TOC!A1" display="Table of Contents" xr:uid="{364975D2-0EDD-4018-9E93-419EDB234E59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00"/>
  <dimension ref="A1:F2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3.140625" bestFit="1" customWidth="1"/>
    <col min="3" max="3" width="82.42578125" customWidth="1"/>
    <col min="4" max="4" width="12.7109375" customWidth="1"/>
    <col min="5" max="5" width="8.7109375" bestFit="1" customWidth="1"/>
  </cols>
  <sheetData>
    <row r="1" spans="1:6" x14ac:dyDescent="0.25">
      <c r="A1" s="141" t="s">
        <v>316</v>
      </c>
      <c r="B1" s="32" t="s">
        <v>399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192</v>
      </c>
      <c r="B3" s="33"/>
      <c r="C3" s="33"/>
      <c r="D3" s="33"/>
      <c r="E3" s="33"/>
      <c r="F3" s="33"/>
    </row>
    <row r="4" spans="1:6" x14ac:dyDescent="0.25">
      <c r="A4" s="34" t="s">
        <v>193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2007</v>
      </c>
      <c r="C7" s="33" t="s">
        <v>2008</v>
      </c>
      <c r="D7" s="33" t="s">
        <v>927</v>
      </c>
      <c r="E7" s="2">
        <v>1.6037300000000001</v>
      </c>
      <c r="F7" s="2">
        <v>2.4035500000000001</v>
      </c>
    </row>
    <row r="8" spans="1:6" x14ac:dyDescent="0.25">
      <c r="A8" s="33" t="s">
        <v>782</v>
      </c>
      <c r="B8" s="33" t="s">
        <v>2009</v>
      </c>
      <c r="C8" s="33" t="s">
        <v>2010</v>
      </c>
      <c r="D8" s="33" t="s">
        <v>927</v>
      </c>
      <c r="E8" s="2">
        <v>1.4496899999999999</v>
      </c>
      <c r="F8" s="2">
        <v>-0.45306999999999992</v>
      </c>
    </row>
    <row r="9" spans="1:6" x14ac:dyDescent="0.25">
      <c r="A9" s="33" t="s">
        <v>782</v>
      </c>
      <c r="B9" s="33" t="s">
        <v>2011</v>
      </c>
      <c r="C9" s="33" t="s">
        <v>2012</v>
      </c>
      <c r="D9" s="33" t="s">
        <v>927</v>
      </c>
      <c r="E9" s="2">
        <v>1.10334</v>
      </c>
      <c r="F9" s="2">
        <v>-0.27887000000000001</v>
      </c>
    </row>
    <row r="10" spans="1:6" x14ac:dyDescent="0.25">
      <c r="A10" s="33" t="s">
        <v>782</v>
      </c>
      <c r="B10" s="33" t="s">
        <v>2013</v>
      </c>
      <c r="C10" s="33" t="s">
        <v>2014</v>
      </c>
      <c r="D10" s="33" t="s">
        <v>927</v>
      </c>
      <c r="E10" s="2">
        <v>1.77711</v>
      </c>
      <c r="F10" s="2">
        <v>-2.1852100000000001</v>
      </c>
    </row>
    <row r="11" spans="1:6" x14ac:dyDescent="0.25">
      <c r="A11" s="33" t="s">
        <v>782</v>
      </c>
      <c r="B11" s="33" t="s">
        <v>2015</v>
      </c>
      <c r="C11" s="33" t="s">
        <v>2016</v>
      </c>
      <c r="D11" s="33" t="s">
        <v>927</v>
      </c>
      <c r="E11" s="2">
        <v>4.6997200000000001</v>
      </c>
      <c r="F11" s="2">
        <v>1.8674299999999999</v>
      </c>
    </row>
    <row r="12" spans="1:6" x14ac:dyDescent="0.25">
      <c r="A12" s="40" t="s">
        <v>782</v>
      </c>
      <c r="B12" s="40" t="s">
        <v>2017</v>
      </c>
      <c r="C12" s="40" t="s">
        <v>2018</v>
      </c>
      <c r="D12" s="40" t="s">
        <v>927</v>
      </c>
      <c r="E12" s="4">
        <v>4.0406700000000004</v>
      </c>
      <c r="F12" s="4">
        <v>0.84140999999999988</v>
      </c>
    </row>
    <row r="13" spans="1:6" x14ac:dyDescent="0.25">
      <c r="A13" s="33"/>
      <c r="B13" s="33"/>
      <c r="C13" s="33"/>
      <c r="D13" s="33"/>
      <c r="E13" s="53"/>
      <c r="F13" s="53"/>
    </row>
    <row r="14" spans="1:6" x14ac:dyDescent="0.25">
      <c r="A14" s="33"/>
      <c r="B14" s="33"/>
      <c r="C14" s="33"/>
      <c r="D14" s="33"/>
      <c r="E14" s="53"/>
      <c r="F14" s="53"/>
    </row>
    <row r="15" spans="1:6" x14ac:dyDescent="0.25">
      <c r="A15" s="33"/>
      <c r="B15" s="33"/>
      <c r="C15" s="33"/>
      <c r="D15" s="33"/>
      <c r="E15" s="53"/>
      <c r="F15" s="53"/>
    </row>
    <row r="16" spans="1:6" x14ac:dyDescent="0.25">
      <c r="A16" s="33"/>
      <c r="B16" s="33"/>
      <c r="C16" s="33"/>
      <c r="D16" s="33"/>
      <c r="E16" s="53"/>
      <c r="F16" s="53"/>
    </row>
    <row r="17" spans="1:6" x14ac:dyDescent="0.25">
      <c r="A17" s="33"/>
      <c r="B17" s="33"/>
      <c r="C17" s="33"/>
      <c r="D17" s="33"/>
      <c r="E17" s="53"/>
      <c r="F17" s="53"/>
    </row>
    <row r="18" spans="1:6" x14ac:dyDescent="0.25">
      <c r="A18" s="33"/>
      <c r="B18" s="33"/>
      <c r="C18" s="33"/>
      <c r="D18" s="33"/>
      <c r="E18" s="53"/>
      <c r="F18" s="53"/>
    </row>
    <row r="19" spans="1:6" x14ac:dyDescent="0.25">
      <c r="A19" s="33"/>
      <c r="B19" s="33"/>
      <c r="C19" s="33"/>
      <c r="D19" s="33"/>
      <c r="E19" s="53"/>
      <c r="F19" s="53"/>
    </row>
    <row r="20" spans="1:6" x14ac:dyDescent="0.25">
      <c r="A20" s="33"/>
      <c r="B20" s="33"/>
      <c r="C20" s="33"/>
      <c r="D20" s="33"/>
      <c r="E20" s="53"/>
      <c r="F20" s="53"/>
    </row>
    <row r="21" spans="1:6" x14ac:dyDescent="0.25">
      <c r="A21" s="33"/>
      <c r="B21" s="33"/>
      <c r="C21" s="33"/>
      <c r="D21" s="33"/>
      <c r="E21" s="53"/>
      <c r="F21" s="53"/>
    </row>
    <row r="22" spans="1:6" x14ac:dyDescent="0.25">
      <c r="A22" s="33"/>
      <c r="B22" s="33"/>
      <c r="C22" s="33"/>
      <c r="D22" s="33"/>
      <c r="E22" s="53"/>
      <c r="F22" s="53"/>
    </row>
    <row r="23" spans="1:6" x14ac:dyDescent="0.25">
      <c r="A23" s="33"/>
      <c r="B23" s="33"/>
      <c r="C23" s="33"/>
      <c r="D23" s="33"/>
      <c r="E23" s="53"/>
      <c r="F23" s="53"/>
    </row>
    <row r="24" spans="1:6" x14ac:dyDescent="0.25">
      <c r="A24" s="33"/>
      <c r="B24" s="33"/>
      <c r="C24" s="33"/>
      <c r="D24" s="33"/>
      <c r="E24" s="53"/>
      <c r="F24" s="53"/>
    </row>
    <row r="25" spans="1:6" x14ac:dyDescent="0.25">
      <c r="A25" s="33"/>
      <c r="B25" s="33"/>
      <c r="C25" s="33"/>
      <c r="D25" s="33"/>
      <c r="E25" s="53"/>
      <c r="F25" s="53"/>
    </row>
    <row r="26" spans="1:6" x14ac:dyDescent="0.25">
      <c r="A26" s="33"/>
      <c r="B26" s="33"/>
      <c r="C26" s="33"/>
      <c r="D26" s="33"/>
      <c r="E26" s="53"/>
      <c r="F26" s="53"/>
    </row>
    <row r="27" spans="1:6" x14ac:dyDescent="0.25">
      <c r="A27" s="33"/>
      <c r="B27" s="33"/>
      <c r="C27" s="33"/>
      <c r="D27" s="33"/>
      <c r="E27" s="53"/>
      <c r="F27" s="53"/>
    </row>
  </sheetData>
  <sheetProtection formatColumns="0" formatRows="0"/>
  <hyperlinks>
    <hyperlink ref="A1" location="TOC!A1" display="Table of Contents" xr:uid="{CBFC91F4-8300-4DF3-86FE-FE09F45507F1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47"/>
  <dimension ref="A1:F1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8.42578125" bestFit="1" customWidth="1"/>
    <col min="2" max="2" width="12.28515625" bestFit="1" customWidth="1"/>
    <col min="3" max="3" width="104.42578125" bestFit="1" customWidth="1"/>
  </cols>
  <sheetData>
    <row r="1" spans="1:6" x14ac:dyDescent="0.25">
      <c r="A1" s="141" t="s">
        <v>316</v>
      </c>
      <c r="B1" s="32" t="s">
        <v>355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194</v>
      </c>
      <c r="B3" s="33"/>
      <c r="C3" s="33"/>
      <c r="D3" s="33"/>
      <c r="E3" s="33"/>
      <c r="F3" s="33"/>
    </row>
    <row r="4" spans="1:6" x14ac:dyDescent="0.25">
      <c r="A4" s="34" t="s">
        <v>195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2019</v>
      </c>
      <c r="C7" s="33" t="s">
        <v>2020</v>
      </c>
      <c r="D7" s="33" t="s">
        <v>927</v>
      </c>
      <c r="E7" s="2">
        <v>1.70912</v>
      </c>
      <c r="F7" s="2">
        <v>-0.75473000000000001</v>
      </c>
    </row>
    <row r="8" spans="1:6" x14ac:dyDescent="0.25">
      <c r="A8" s="33" t="s">
        <v>782</v>
      </c>
      <c r="B8" s="33" t="s">
        <v>2021</v>
      </c>
      <c r="C8" s="33" t="s">
        <v>2022</v>
      </c>
      <c r="D8" s="33" t="s">
        <v>927</v>
      </c>
      <c r="E8" s="2">
        <v>1.8143</v>
      </c>
      <c r="F8" s="2">
        <v>-0.23619999999999999</v>
      </c>
    </row>
    <row r="9" spans="1:6" x14ac:dyDescent="0.25">
      <c r="A9" s="33" t="s">
        <v>782</v>
      </c>
      <c r="B9" s="33" t="s">
        <v>2023</v>
      </c>
      <c r="C9" s="33" t="s">
        <v>2024</v>
      </c>
      <c r="D9" s="33" t="s">
        <v>927</v>
      </c>
      <c r="E9" s="2">
        <v>1.3594599999999999</v>
      </c>
      <c r="F9" s="2">
        <v>1.0649999999999999</v>
      </c>
    </row>
    <row r="10" spans="1:6" x14ac:dyDescent="0.25">
      <c r="A10" s="33" t="s">
        <v>782</v>
      </c>
      <c r="B10" s="33" t="s">
        <v>2025</v>
      </c>
      <c r="C10" s="33" t="s">
        <v>2026</v>
      </c>
      <c r="D10" s="33" t="s">
        <v>927</v>
      </c>
      <c r="E10" s="2">
        <v>1.5643199999999999</v>
      </c>
      <c r="F10" s="2">
        <v>1.3022400000000001</v>
      </c>
    </row>
    <row r="11" spans="1:6" x14ac:dyDescent="0.25">
      <c r="A11" s="33" t="s">
        <v>782</v>
      </c>
      <c r="B11" s="33" t="s">
        <v>2027</v>
      </c>
      <c r="C11" s="33" t="s">
        <v>2028</v>
      </c>
      <c r="D11" s="33" t="s">
        <v>927</v>
      </c>
      <c r="E11" s="2">
        <v>1.2390399999999999</v>
      </c>
      <c r="F11" s="2">
        <v>-0.57670999999999983</v>
      </c>
    </row>
    <row r="12" spans="1:6" x14ac:dyDescent="0.25">
      <c r="A12" s="33" t="s">
        <v>782</v>
      </c>
      <c r="B12" s="33" t="s">
        <v>2029</v>
      </c>
      <c r="C12" s="33" t="s">
        <v>2030</v>
      </c>
      <c r="D12" s="33" t="s">
        <v>927</v>
      </c>
      <c r="E12" s="2">
        <v>2.54732</v>
      </c>
      <c r="F12" s="2">
        <v>-1.2690900000000001</v>
      </c>
    </row>
    <row r="13" spans="1:6" x14ac:dyDescent="0.25">
      <c r="A13" s="33" t="s">
        <v>782</v>
      </c>
      <c r="B13" s="33" t="s">
        <v>2031</v>
      </c>
      <c r="C13" s="33" t="s">
        <v>2032</v>
      </c>
      <c r="D13" s="33" t="s">
        <v>927</v>
      </c>
      <c r="E13" s="2">
        <v>1.862130000000001</v>
      </c>
      <c r="F13" s="2">
        <v>0.79108999999999996</v>
      </c>
    </row>
    <row r="14" spans="1:6" x14ac:dyDescent="0.25">
      <c r="A14" s="33" t="s">
        <v>782</v>
      </c>
      <c r="B14" s="33" t="s">
        <v>2033</v>
      </c>
      <c r="C14" s="33" t="s">
        <v>2034</v>
      </c>
      <c r="D14" s="33" t="s">
        <v>927</v>
      </c>
      <c r="E14" s="2">
        <v>2.4873599999999998</v>
      </c>
      <c r="F14" s="2">
        <v>-0.62024000000000001</v>
      </c>
    </row>
    <row r="15" spans="1:6" x14ac:dyDescent="0.25">
      <c r="A15" s="33" t="s">
        <v>782</v>
      </c>
      <c r="B15" s="33" t="s">
        <v>2035</v>
      </c>
      <c r="C15" s="33" t="s">
        <v>2036</v>
      </c>
      <c r="D15" s="33" t="s">
        <v>927</v>
      </c>
      <c r="E15" s="2">
        <v>1.81491</v>
      </c>
      <c r="F15" s="2">
        <v>-0.15129999999999999</v>
      </c>
    </row>
    <row r="16" spans="1:6" x14ac:dyDescent="0.25">
      <c r="A16" s="33" t="s">
        <v>782</v>
      </c>
      <c r="B16" s="33" t="s">
        <v>2037</v>
      </c>
      <c r="C16" s="33" t="s">
        <v>2038</v>
      </c>
      <c r="D16" s="33" t="s">
        <v>927</v>
      </c>
      <c r="E16" s="2">
        <v>1.15574</v>
      </c>
      <c r="F16" s="2">
        <v>0.11877</v>
      </c>
    </row>
    <row r="17" spans="1:6" x14ac:dyDescent="0.25">
      <c r="A17" s="40" t="s">
        <v>782</v>
      </c>
      <c r="B17" s="40" t="s">
        <v>2039</v>
      </c>
      <c r="C17" s="40" t="s">
        <v>2040</v>
      </c>
      <c r="D17" s="40" t="s">
        <v>927</v>
      </c>
      <c r="E17" s="4">
        <v>1.1463099999999999</v>
      </c>
      <c r="F17" s="4">
        <v>0.33118999999999998</v>
      </c>
    </row>
  </sheetData>
  <sheetProtection formatColumns="0" formatRows="0"/>
  <hyperlinks>
    <hyperlink ref="A1" location="TOC!A1" display="Table of Contents" xr:uid="{30EE0703-3CB8-4D53-BD06-5B87C5A9FE9E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48"/>
  <dimension ref="A1:F1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8.42578125" bestFit="1" customWidth="1"/>
    <col min="2" max="2" width="12.28515625" bestFit="1" customWidth="1"/>
    <col min="3" max="3" width="106" bestFit="1" customWidth="1"/>
  </cols>
  <sheetData>
    <row r="1" spans="1:6" x14ac:dyDescent="0.25">
      <c r="A1" s="141" t="s">
        <v>316</v>
      </c>
      <c r="B1" s="32" t="s">
        <v>356</v>
      </c>
      <c r="C1" s="33"/>
      <c r="D1" s="33"/>
      <c r="E1" s="33"/>
      <c r="F1" s="33"/>
    </row>
    <row r="2" spans="1:6" x14ac:dyDescent="0.25">
      <c r="A2" s="33"/>
      <c r="B2" s="33"/>
      <c r="C2" s="33"/>
      <c r="D2" s="33"/>
      <c r="E2" s="33"/>
      <c r="F2" s="33"/>
    </row>
    <row r="3" spans="1:6" x14ac:dyDescent="0.25">
      <c r="A3" s="34" t="s">
        <v>196</v>
      </c>
      <c r="B3" s="33"/>
      <c r="C3" s="33"/>
      <c r="D3" s="33"/>
      <c r="E3" s="33"/>
      <c r="F3" s="33"/>
    </row>
    <row r="4" spans="1:6" x14ac:dyDescent="0.25">
      <c r="A4" s="34" t="s">
        <v>197</v>
      </c>
      <c r="B4" s="33"/>
      <c r="C4" s="33"/>
      <c r="D4" s="33"/>
      <c r="E4" s="33"/>
      <c r="F4" s="33"/>
    </row>
    <row r="5" spans="1:6" x14ac:dyDescent="0.25">
      <c r="A5" s="33"/>
      <c r="B5" s="33"/>
      <c r="C5" s="33"/>
      <c r="D5" s="33"/>
      <c r="E5" s="33"/>
      <c r="F5" s="33"/>
    </row>
    <row r="6" spans="1:6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</row>
    <row r="7" spans="1:6" x14ac:dyDescent="0.25">
      <c r="A7" s="33" t="s">
        <v>782</v>
      </c>
      <c r="B7" s="33" t="s">
        <v>2019</v>
      </c>
      <c r="C7" s="33" t="s">
        <v>2041</v>
      </c>
      <c r="D7" s="33" t="s">
        <v>927</v>
      </c>
      <c r="E7" s="2">
        <v>1.6757500000000001</v>
      </c>
      <c r="F7" s="2">
        <v>-2.699450000000001</v>
      </c>
    </row>
    <row r="8" spans="1:6" x14ac:dyDescent="0.25">
      <c r="A8" s="33" t="s">
        <v>782</v>
      </c>
      <c r="B8" s="33" t="s">
        <v>2021</v>
      </c>
      <c r="C8" s="33" t="s">
        <v>2042</v>
      </c>
      <c r="D8" s="33" t="s">
        <v>927</v>
      </c>
      <c r="E8" s="2">
        <v>1.50284</v>
      </c>
      <c r="F8" s="2">
        <v>-1.9021300000000001</v>
      </c>
    </row>
    <row r="9" spans="1:6" x14ac:dyDescent="0.25">
      <c r="A9" s="33" t="s">
        <v>782</v>
      </c>
      <c r="B9" s="33" t="s">
        <v>2023</v>
      </c>
      <c r="C9" s="33" t="s">
        <v>2043</v>
      </c>
      <c r="D9" s="33" t="s">
        <v>927</v>
      </c>
      <c r="E9" s="2">
        <v>0.88721999999999979</v>
      </c>
      <c r="F9" s="2">
        <v>-1.04419</v>
      </c>
    </row>
    <row r="10" spans="1:6" x14ac:dyDescent="0.25">
      <c r="A10" s="33" t="s">
        <v>782</v>
      </c>
      <c r="B10" s="33" t="s">
        <v>2025</v>
      </c>
      <c r="C10" s="33" t="s">
        <v>2044</v>
      </c>
      <c r="D10" s="33" t="s">
        <v>927</v>
      </c>
      <c r="E10" s="2">
        <v>1.22655</v>
      </c>
      <c r="F10" s="2">
        <v>7.2690000000000018E-2</v>
      </c>
    </row>
    <row r="11" spans="1:6" x14ac:dyDescent="0.25">
      <c r="A11" s="33" t="s">
        <v>782</v>
      </c>
      <c r="B11" s="33" t="s">
        <v>2027</v>
      </c>
      <c r="C11" s="33" t="s">
        <v>2045</v>
      </c>
      <c r="D11" s="33" t="s">
        <v>927</v>
      </c>
      <c r="E11" s="2">
        <v>2.105360000000001</v>
      </c>
      <c r="F11" s="2">
        <v>2.4332600000000002</v>
      </c>
    </row>
    <row r="12" spans="1:6" x14ac:dyDescent="0.25">
      <c r="A12" s="33" t="s">
        <v>782</v>
      </c>
      <c r="B12" s="33" t="s">
        <v>2029</v>
      </c>
      <c r="C12" s="33" t="s">
        <v>2046</v>
      </c>
      <c r="D12" s="33" t="s">
        <v>927</v>
      </c>
      <c r="E12" s="2">
        <v>2.08616</v>
      </c>
      <c r="F12" s="2">
        <v>0.30098000000000003</v>
      </c>
    </row>
    <row r="13" spans="1:6" x14ac:dyDescent="0.25">
      <c r="A13" s="33" t="s">
        <v>782</v>
      </c>
      <c r="B13" s="33" t="s">
        <v>2031</v>
      </c>
      <c r="C13" s="33" t="s">
        <v>2047</v>
      </c>
      <c r="D13" s="33" t="s">
        <v>927</v>
      </c>
      <c r="E13" s="2">
        <v>2.116989999999999</v>
      </c>
      <c r="F13" s="2">
        <v>1.5299799999999999</v>
      </c>
    </row>
    <row r="14" spans="1:6" x14ac:dyDescent="0.25">
      <c r="A14" s="33" t="s">
        <v>782</v>
      </c>
      <c r="B14" s="33" t="s">
        <v>2033</v>
      </c>
      <c r="C14" s="33" t="s">
        <v>2048</v>
      </c>
      <c r="D14" s="33" t="s">
        <v>927</v>
      </c>
      <c r="E14" s="2">
        <v>2.0132500000000002</v>
      </c>
      <c r="F14" s="2">
        <v>-0.55223999999999995</v>
      </c>
    </row>
    <row r="15" spans="1:6" x14ac:dyDescent="0.25">
      <c r="A15" s="33" t="s">
        <v>782</v>
      </c>
      <c r="B15" s="33" t="s">
        <v>2035</v>
      </c>
      <c r="C15" s="33" t="s">
        <v>2049</v>
      </c>
      <c r="D15" s="33" t="s">
        <v>927</v>
      </c>
      <c r="E15" s="2">
        <v>1.52603</v>
      </c>
      <c r="F15" s="2">
        <v>-1.68618</v>
      </c>
    </row>
    <row r="16" spans="1:6" x14ac:dyDescent="0.25">
      <c r="A16" s="33" t="s">
        <v>782</v>
      </c>
      <c r="B16" s="33" t="s">
        <v>2037</v>
      </c>
      <c r="C16" s="33" t="s">
        <v>2050</v>
      </c>
      <c r="D16" s="33" t="s">
        <v>927</v>
      </c>
      <c r="E16" s="2">
        <v>2.3135500000000002</v>
      </c>
      <c r="F16" s="2">
        <v>3.1705700000000001</v>
      </c>
    </row>
    <row r="17" spans="1:6" x14ac:dyDescent="0.25">
      <c r="A17" s="40" t="s">
        <v>782</v>
      </c>
      <c r="B17" s="40" t="s">
        <v>2039</v>
      </c>
      <c r="C17" s="40" t="s">
        <v>2051</v>
      </c>
      <c r="D17" s="40" t="s">
        <v>927</v>
      </c>
      <c r="E17" s="4">
        <v>1.2462899999999999</v>
      </c>
      <c r="F17" s="4">
        <v>0.37673000000000001</v>
      </c>
    </row>
  </sheetData>
  <sheetProtection formatColumns="0" formatRows="0"/>
  <hyperlinks>
    <hyperlink ref="A1" location="TOC!A1" display="Table of Contents" xr:uid="{36F7A583-E248-46ED-976D-058CC549A644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49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1.42578125" bestFit="1" customWidth="1"/>
    <col min="3" max="3" width="110.7109375" customWidth="1"/>
  </cols>
  <sheetData>
    <row r="1" spans="1:8" x14ac:dyDescent="0.25">
      <c r="A1" s="141" t="s">
        <v>316</v>
      </c>
      <c r="B1" s="32" t="s">
        <v>352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198</v>
      </c>
      <c r="B3" s="33"/>
      <c r="C3" s="33"/>
      <c r="D3" s="33"/>
      <c r="E3" s="33"/>
      <c r="F3" s="33"/>
      <c r="G3" s="33"/>
      <c r="H3" s="33"/>
    </row>
    <row r="4" spans="1:8" x14ac:dyDescent="0.25">
      <c r="A4" s="34" t="s">
        <v>199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2052</v>
      </c>
      <c r="C7" s="33" t="s">
        <v>2053</v>
      </c>
      <c r="D7" s="2">
        <v>0.87013000000000018</v>
      </c>
      <c r="E7" s="2">
        <v>1.06989</v>
      </c>
      <c r="F7" s="2">
        <v>-2.542110000000001</v>
      </c>
      <c r="G7" s="2">
        <v>1.2109099999999999</v>
      </c>
      <c r="H7" s="2">
        <v>1.3311999999999999</v>
      </c>
    </row>
    <row r="8" spans="1:8" x14ac:dyDescent="0.25">
      <c r="A8" s="33" t="s">
        <v>782</v>
      </c>
      <c r="B8" s="33" t="s">
        <v>2054</v>
      </c>
      <c r="C8" s="33" t="s">
        <v>2055</v>
      </c>
      <c r="D8" s="2">
        <v>1.1578299999999999</v>
      </c>
      <c r="E8" s="2">
        <v>0.38096000000000002</v>
      </c>
      <c r="F8" s="2">
        <v>-2.9117099999999998</v>
      </c>
      <c r="G8" s="2">
        <v>0.99153000000000013</v>
      </c>
      <c r="H8" s="2">
        <v>1.92018</v>
      </c>
    </row>
    <row r="9" spans="1:8" x14ac:dyDescent="0.25">
      <c r="A9" s="33" t="s">
        <v>782</v>
      </c>
      <c r="B9" s="33" t="s">
        <v>2056</v>
      </c>
      <c r="C9" s="33" t="s">
        <v>2057</v>
      </c>
      <c r="D9" s="2">
        <v>1.7178599999999999</v>
      </c>
      <c r="E9" s="2">
        <v>-1.1933800000000001</v>
      </c>
      <c r="F9" s="2">
        <v>-4.2364300000000004</v>
      </c>
      <c r="G9" s="2">
        <v>0.85053999999999996</v>
      </c>
      <c r="H9" s="2">
        <v>3.3858899999999998</v>
      </c>
    </row>
    <row r="10" spans="1:8" x14ac:dyDescent="0.25">
      <c r="A10" s="33" t="s">
        <v>782</v>
      </c>
      <c r="B10" s="33" t="s">
        <v>2058</v>
      </c>
      <c r="C10" s="33" t="s">
        <v>2059</v>
      </c>
      <c r="D10" s="2">
        <v>1.2293700000000001</v>
      </c>
      <c r="E10" s="2">
        <v>0.93711999999999995</v>
      </c>
      <c r="F10" s="2">
        <v>-3.0247099999999989</v>
      </c>
      <c r="G10" s="2">
        <v>0.93994000000000011</v>
      </c>
      <c r="H10" s="2">
        <v>2.0847699999999998</v>
      </c>
    </row>
    <row r="11" spans="1:8" x14ac:dyDescent="0.25">
      <c r="A11" s="33" t="s">
        <v>782</v>
      </c>
      <c r="B11" s="33" t="s">
        <v>2060</v>
      </c>
      <c r="C11" s="33" t="s">
        <v>2061</v>
      </c>
      <c r="D11" s="2">
        <v>2.725950000000001</v>
      </c>
      <c r="E11" s="2">
        <v>-1.1138300000000001</v>
      </c>
      <c r="F11" s="2">
        <v>-4.46061</v>
      </c>
      <c r="G11" s="2">
        <v>0.5788000000000002</v>
      </c>
      <c r="H11" s="2">
        <v>3.8818100000000011</v>
      </c>
    </row>
    <row r="12" spans="1:8" x14ac:dyDescent="0.25">
      <c r="A12" s="40" t="s">
        <v>782</v>
      </c>
      <c r="B12" s="40" t="s">
        <v>2062</v>
      </c>
      <c r="C12" s="40" t="s">
        <v>2063</v>
      </c>
      <c r="D12" s="4">
        <v>2.7433700000000001</v>
      </c>
      <c r="E12" s="4">
        <v>0.25724000000000002</v>
      </c>
      <c r="F12" s="4">
        <v>-4.0229200000000001</v>
      </c>
      <c r="G12" s="4">
        <v>0.53252999999999995</v>
      </c>
      <c r="H12" s="4">
        <v>3.4903900000000001</v>
      </c>
    </row>
  </sheetData>
  <sheetProtection formatColumns="0" formatRows="0"/>
  <hyperlinks>
    <hyperlink ref="A1" location="TOC!A1" display="Table of Contents" xr:uid="{81556D14-E552-408C-B520-B9F514143065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84"/>
  <dimension ref="A1:D5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42578125" customWidth="1"/>
    <col min="2" max="2" width="107.42578125" bestFit="1" customWidth="1"/>
    <col min="6" max="6" width="8.710937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200</v>
      </c>
      <c r="B3" s="33"/>
      <c r="C3" s="33"/>
      <c r="D3" s="33"/>
    </row>
    <row r="4" spans="1:4" x14ac:dyDescent="0.25">
      <c r="A4" s="34" t="s">
        <v>2064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s="139" customFormat="1" x14ac:dyDescent="0.25">
      <c r="A7" s="38" t="s">
        <v>440</v>
      </c>
      <c r="B7" s="38"/>
      <c r="C7" s="138"/>
      <c r="D7" s="138"/>
    </row>
    <row r="8" spans="1:4" x14ac:dyDescent="0.25">
      <c r="A8" s="59" t="s">
        <v>2065</v>
      </c>
      <c r="B8" s="59" t="s">
        <v>2066</v>
      </c>
      <c r="C8" s="33"/>
      <c r="D8" s="33"/>
    </row>
    <row r="9" spans="1:4" x14ac:dyDescent="0.25">
      <c r="A9" s="33" t="s">
        <v>2067</v>
      </c>
      <c r="B9" s="33" t="s">
        <v>2068</v>
      </c>
      <c r="C9" s="33"/>
      <c r="D9" s="33"/>
    </row>
    <row r="10" spans="1:4" x14ac:dyDescent="0.25">
      <c r="A10" s="33" t="s">
        <v>2069</v>
      </c>
      <c r="B10" s="33" t="s">
        <v>2070</v>
      </c>
      <c r="C10" s="33"/>
      <c r="D10" s="33"/>
    </row>
    <row r="11" spans="1:4" x14ac:dyDescent="0.25">
      <c r="A11" s="33" t="s">
        <v>2071</v>
      </c>
      <c r="B11" s="33" t="s">
        <v>2072</v>
      </c>
      <c r="C11" s="33"/>
      <c r="D11" s="33"/>
    </row>
    <row r="12" spans="1:4" x14ac:dyDescent="0.25">
      <c r="A12" s="33" t="s">
        <v>2073</v>
      </c>
      <c r="B12" s="33" t="s">
        <v>2074</v>
      </c>
      <c r="C12" s="33"/>
      <c r="D12" s="33"/>
    </row>
    <row r="13" spans="1:4" x14ac:dyDescent="0.25">
      <c r="A13" s="33" t="s">
        <v>2075</v>
      </c>
      <c r="B13" s="33" t="s">
        <v>2076</v>
      </c>
      <c r="C13" s="33"/>
      <c r="D13" s="33"/>
    </row>
    <row r="14" spans="1:4" x14ac:dyDescent="0.25">
      <c r="A14" s="33" t="s">
        <v>2077</v>
      </c>
      <c r="B14" s="33" t="s">
        <v>2078</v>
      </c>
      <c r="C14" s="33"/>
      <c r="D14" s="33"/>
    </row>
    <row r="15" spans="1:4" x14ac:dyDescent="0.25">
      <c r="A15" s="33" t="s">
        <v>2079</v>
      </c>
      <c r="B15" s="33" t="s">
        <v>2080</v>
      </c>
      <c r="C15" s="33"/>
      <c r="D15" s="33"/>
    </row>
    <row r="16" spans="1:4" x14ac:dyDescent="0.25">
      <c r="A16" s="33" t="s">
        <v>2081</v>
      </c>
      <c r="B16" s="33" t="s">
        <v>2082</v>
      </c>
      <c r="C16" s="33"/>
      <c r="D16" s="33"/>
    </row>
    <row r="17" spans="1:4" x14ac:dyDescent="0.25">
      <c r="A17" s="33" t="s">
        <v>2083</v>
      </c>
      <c r="B17" s="33" t="s">
        <v>2084</v>
      </c>
      <c r="C17" s="33"/>
      <c r="D17" s="33"/>
    </row>
    <row r="18" spans="1:4" x14ac:dyDescent="0.25">
      <c r="A18" s="33" t="s">
        <v>2085</v>
      </c>
      <c r="B18" s="33" t="s">
        <v>2086</v>
      </c>
      <c r="C18" s="33"/>
      <c r="D18" s="33"/>
    </row>
    <row r="19" spans="1:4" x14ac:dyDescent="0.25">
      <c r="A19" s="33" t="s">
        <v>2087</v>
      </c>
      <c r="B19" s="33" t="s">
        <v>2088</v>
      </c>
      <c r="C19" s="33"/>
      <c r="D19" s="33"/>
    </row>
    <row r="20" spans="1:4" x14ac:dyDescent="0.25">
      <c r="A20" s="33" t="s">
        <v>2089</v>
      </c>
      <c r="B20" s="33" t="s">
        <v>2090</v>
      </c>
      <c r="C20" s="33"/>
      <c r="D20" s="33"/>
    </row>
    <row r="21" spans="1:4" x14ac:dyDescent="0.25">
      <c r="A21" s="33" t="s">
        <v>2091</v>
      </c>
      <c r="B21" s="33" t="s">
        <v>2092</v>
      </c>
      <c r="C21" s="33"/>
      <c r="D21" s="33"/>
    </row>
    <row r="22" spans="1:4" x14ac:dyDescent="0.25">
      <c r="A22" s="33" t="s">
        <v>2093</v>
      </c>
      <c r="B22" s="33" t="s">
        <v>2094</v>
      </c>
      <c r="C22" s="33"/>
      <c r="D22" s="33"/>
    </row>
    <row r="23" spans="1:4" x14ac:dyDescent="0.25">
      <c r="A23" s="33" t="s">
        <v>2095</v>
      </c>
      <c r="B23" s="33" t="s">
        <v>2096</v>
      </c>
      <c r="C23" s="33"/>
      <c r="D23" s="33"/>
    </row>
    <row r="24" spans="1:4" x14ac:dyDescent="0.25">
      <c r="A24" s="33" t="s">
        <v>2097</v>
      </c>
      <c r="B24" s="33" t="s">
        <v>2098</v>
      </c>
      <c r="C24" s="33"/>
      <c r="D24" s="33"/>
    </row>
    <row r="25" spans="1:4" x14ac:dyDescent="0.25">
      <c r="A25" s="33" t="s">
        <v>2099</v>
      </c>
      <c r="B25" s="33" t="s">
        <v>2100</v>
      </c>
      <c r="C25" s="33"/>
      <c r="D25" s="33"/>
    </row>
    <row r="26" spans="1:4" x14ac:dyDescent="0.25">
      <c r="A26" s="33" t="s">
        <v>2101</v>
      </c>
      <c r="B26" s="33" t="s">
        <v>2102</v>
      </c>
      <c r="C26" s="33"/>
      <c r="D26" s="33"/>
    </row>
    <row r="27" spans="1:4" x14ac:dyDescent="0.25">
      <c r="A27" s="40" t="s">
        <v>2103</v>
      </c>
      <c r="B27" s="40" t="s">
        <v>2104</v>
      </c>
      <c r="C27" s="33"/>
      <c r="D27" s="33"/>
    </row>
    <row r="28" spans="1:4" s="139" customFormat="1" x14ac:dyDescent="0.25">
      <c r="A28" s="38" t="s">
        <v>497</v>
      </c>
      <c r="B28" s="38"/>
      <c r="C28" s="138"/>
      <c r="D28" s="138"/>
    </row>
    <row r="29" spans="1:4" x14ac:dyDescent="0.25">
      <c r="A29" s="59" t="s">
        <v>405</v>
      </c>
      <c r="B29" s="59" t="s">
        <v>2105</v>
      </c>
      <c r="C29" s="33"/>
      <c r="D29" s="33"/>
    </row>
    <row r="30" spans="1:4" x14ac:dyDescent="0.25">
      <c r="A30" s="33" t="s">
        <v>358</v>
      </c>
      <c r="B30" s="33" t="s">
        <v>2106</v>
      </c>
      <c r="C30" s="33"/>
      <c r="D30" s="33"/>
    </row>
    <row r="31" spans="1:4" x14ac:dyDescent="0.25">
      <c r="A31" s="33" t="s">
        <v>408</v>
      </c>
      <c r="B31" s="33" t="s">
        <v>2107</v>
      </c>
      <c r="C31" s="33"/>
      <c r="D31" s="33"/>
    </row>
    <row r="32" spans="1:4" x14ac:dyDescent="0.25">
      <c r="A32" s="33" t="s">
        <v>359</v>
      </c>
      <c r="B32" s="33" t="s">
        <v>2108</v>
      </c>
      <c r="C32" s="33"/>
      <c r="D32" s="33"/>
    </row>
    <row r="33" spans="1:4" x14ac:dyDescent="0.25">
      <c r="A33" s="33" t="s">
        <v>364</v>
      </c>
      <c r="B33" s="33" t="s">
        <v>2109</v>
      </c>
      <c r="C33" s="33"/>
      <c r="D33" s="33"/>
    </row>
    <row r="34" spans="1:4" x14ac:dyDescent="0.25">
      <c r="A34" s="33" t="s">
        <v>362</v>
      </c>
      <c r="B34" s="33" t="s">
        <v>2110</v>
      </c>
      <c r="C34" s="33"/>
      <c r="D34" s="33"/>
    </row>
    <row r="35" spans="1:4" x14ac:dyDescent="0.25">
      <c r="A35" s="33" t="s">
        <v>361</v>
      </c>
      <c r="B35" s="33" t="s">
        <v>2111</v>
      </c>
      <c r="C35" s="33"/>
      <c r="D35" s="33"/>
    </row>
    <row r="36" spans="1:4" x14ac:dyDescent="0.25">
      <c r="A36" s="33" t="s">
        <v>360</v>
      </c>
      <c r="B36" s="33" t="s">
        <v>2112</v>
      </c>
      <c r="C36" s="33"/>
      <c r="D36" s="33"/>
    </row>
    <row r="37" spans="1:4" x14ac:dyDescent="0.25">
      <c r="A37" s="33" t="s">
        <v>404</v>
      </c>
      <c r="B37" s="33" t="s">
        <v>2113</v>
      </c>
      <c r="C37" s="33"/>
      <c r="D37" s="33"/>
    </row>
    <row r="38" spans="1:4" x14ac:dyDescent="0.25">
      <c r="A38" s="33" t="s">
        <v>407</v>
      </c>
      <c r="B38" s="33" t="s">
        <v>2114</v>
      </c>
      <c r="C38" s="33"/>
      <c r="D38" s="33"/>
    </row>
    <row r="39" spans="1:4" x14ac:dyDescent="0.25">
      <c r="A39" s="33" t="s">
        <v>410</v>
      </c>
      <c r="B39" s="33" t="s">
        <v>2115</v>
      </c>
      <c r="C39" s="33"/>
      <c r="D39" s="33"/>
    </row>
    <row r="40" spans="1:4" x14ac:dyDescent="0.25">
      <c r="A40" s="33" t="s">
        <v>415</v>
      </c>
      <c r="B40" s="33" t="s">
        <v>2116</v>
      </c>
      <c r="C40" s="33"/>
      <c r="D40" s="33"/>
    </row>
    <row r="41" spans="1:4" x14ac:dyDescent="0.25">
      <c r="A41" s="33" t="s">
        <v>403</v>
      </c>
      <c r="B41" s="33" t="s">
        <v>2117</v>
      </c>
      <c r="C41" s="33"/>
      <c r="D41" s="33"/>
    </row>
    <row r="42" spans="1:4" x14ac:dyDescent="0.25">
      <c r="A42" s="33" t="s">
        <v>363</v>
      </c>
      <c r="B42" s="33" t="s">
        <v>2118</v>
      </c>
      <c r="C42" s="33"/>
      <c r="D42" s="33"/>
    </row>
    <row r="43" spans="1:4" x14ac:dyDescent="0.25">
      <c r="A43" s="33" t="s">
        <v>401</v>
      </c>
      <c r="B43" s="33" t="s">
        <v>2119</v>
      </c>
      <c r="C43" s="33"/>
      <c r="D43" s="33"/>
    </row>
    <row r="44" spans="1:4" x14ac:dyDescent="0.25">
      <c r="A44" s="33" t="s">
        <v>402</v>
      </c>
      <c r="B44" s="33" t="s">
        <v>2120</v>
      </c>
      <c r="C44" s="33"/>
      <c r="D44" s="33"/>
    </row>
    <row r="45" spans="1:4" x14ac:dyDescent="0.25">
      <c r="A45" s="33" t="s">
        <v>412</v>
      </c>
      <c r="B45" s="33" t="s">
        <v>2121</v>
      </c>
      <c r="C45" s="33"/>
      <c r="D45" s="33"/>
    </row>
    <row r="46" spans="1:4" x14ac:dyDescent="0.25">
      <c r="A46" s="33" t="s">
        <v>400</v>
      </c>
      <c r="B46" s="33" t="s">
        <v>2122</v>
      </c>
      <c r="C46" s="33"/>
      <c r="D46" s="33"/>
    </row>
    <row r="47" spans="1:4" x14ac:dyDescent="0.25">
      <c r="A47" s="33" t="s">
        <v>409</v>
      </c>
      <c r="B47" s="33" t="s">
        <v>2123</v>
      </c>
      <c r="C47" s="33"/>
      <c r="D47" s="33"/>
    </row>
    <row r="48" spans="1:4" x14ac:dyDescent="0.25">
      <c r="A48" s="33" t="s">
        <v>406</v>
      </c>
      <c r="B48" s="33" t="s">
        <v>2124</v>
      </c>
      <c r="C48" s="33"/>
      <c r="D48" s="33"/>
    </row>
    <row r="49" spans="1:4" x14ac:dyDescent="0.25">
      <c r="A49" s="33" t="s">
        <v>411</v>
      </c>
      <c r="B49" s="33" t="s">
        <v>2125</v>
      </c>
      <c r="C49" s="33"/>
      <c r="D49" s="33"/>
    </row>
    <row r="50" spans="1:4" x14ac:dyDescent="0.25">
      <c r="A50" s="33" t="s">
        <v>414</v>
      </c>
      <c r="B50" s="33" t="s">
        <v>2126</v>
      </c>
      <c r="C50" s="33"/>
      <c r="D50" s="33"/>
    </row>
    <row r="51" spans="1:4" x14ac:dyDescent="0.25">
      <c r="A51" s="40" t="s">
        <v>413</v>
      </c>
      <c r="B51" s="40" t="s">
        <v>2127</v>
      </c>
      <c r="C51" s="33"/>
      <c r="D51" s="33"/>
    </row>
  </sheetData>
  <sheetProtection formatColumns="0" formatRows="0"/>
  <phoneticPr fontId="30" type="noConversion"/>
  <hyperlinks>
    <hyperlink ref="A1" location="TOC!A1" display="Table of Contents" xr:uid="{0C767D83-2D0E-41F4-8DF6-7330D594D8D9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59"/>
  <dimension ref="A1:D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7109375" customWidth="1"/>
    <col min="2" max="2" width="23.42578125" bestFit="1" customWidth="1"/>
    <col min="3" max="3" width="145.28515625" bestFit="1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202</v>
      </c>
      <c r="B3" s="33"/>
      <c r="C3" s="33"/>
      <c r="D3" s="33"/>
    </row>
    <row r="4" spans="1:4" x14ac:dyDescent="0.25">
      <c r="A4" s="34" t="s">
        <v>203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42" t="s">
        <v>545</v>
      </c>
      <c r="B6" s="42" t="s">
        <v>546</v>
      </c>
      <c r="C6" s="42" t="s">
        <v>547</v>
      </c>
      <c r="D6" s="33"/>
    </row>
    <row r="7" spans="1:4" x14ac:dyDescent="0.25">
      <c r="A7" s="95">
        <v>8</v>
      </c>
      <c r="B7" s="33" t="s">
        <v>2128</v>
      </c>
      <c r="C7" s="33" t="s">
        <v>2129</v>
      </c>
      <c r="D7" s="33"/>
    </row>
    <row r="8" spans="1:4" x14ac:dyDescent="0.25">
      <c r="A8" s="95">
        <v>7</v>
      </c>
      <c r="B8" s="33" t="s">
        <v>2130</v>
      </c>
      <c r="C8" s="33" t="s">
        <v>2131</v>
      </c>
      <c r="D8" s="33"/>
    </row>
    <row r="9" spans="1:4" x14ac:dyDescent="0.25">
      <c r="A9" s="95">
        <v>6</v>
      </c>
      <c r="B9" s="33" t="s">
        <v>2132</v>
      </c>
      <c r="C9" s="33" t="s">
        <v>2133</v>
      </c>
      <c r="D9" s="33"/>
    </row>
    <row r="10" spans="1:4" x14ac:dyDescent="0.25">
      <c r="A10" s="95">
        <v>5</v>
      </c>
      <c r="B10" s="33" t="s">
        <v>2134</v>
      </c>
      <c r="C10" s="33" t="s">
        <v>2135</v>
      </c>
      <c r="D10" s="33"/>
    </row>
    <row r="11" spans="1:4" x14ac:dyDescent="0.25">
      <c r="A11" s="95">
        <v>4</v>
      </c>
      <c r="B11" s="33" t="s">
        <v>2136</v>
      </c>
      <c r="C11" s="33" t="s">
        <v>2137</v>
      </c>
      <c r="D11" s="33"/>
    </row>
    <row r="12" spans="1:4" x14ac:dyDescent="0.25">
      <c r="A12" s="95">
        <v>3</v>
      </c>
      <c r="B12" s="33" t="s">
        <v>2138</v>
      </c>
      <c r="C12" s="33" t="s">
        <v>2139</v>
      </c>
      <c r="D12" s="33"/>
    </row>
    <row r="13" spans="1:4" x14ac:dyDescent="0.25">
      <c r="A13" s="95">
        <v>2</v>
      </c>
      <c r="B13" s="33" t="s">
        <v>2140</v>
      </c>
      <c r="C13" s="33" t="s">
        <v>2141</v>
      </c>
      <c r="D13" s="33"/>
    </row>
    <row r="14" spans="1:4" x14ac:dyDescent="0.25">
      <c r="A14" s="96">
        <v>1</v>
      </c>
      <c r="B14" s="40" t="s">
        <v>2142</v>
      </c>
      <c r="C14" s="40" t="s">
        <v>2143</v>
      </c>
      <c r="D14" s="33"/>
    </row>
  </sheetData>
  <sheetProtection formatColumns="0" formatRows="0"/>
  <hyperlinks>
    <hyperlink ref="A1" location="TOC!A1" display="Table of Contents" xr:uid="{5A1249B9-27B0-4364-A050-AA2E51D38B85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7"/>
  <dimension ref="A1:AB3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9.140625" customWidth="1"/>
    <col min="2" max="8" width="9.140625" style="9" customWidth="1"/>
    <col min="9" max="9" width="11.7109375" style="9" customWidth="1"/>
    <col min="10" max="24" width="9.140625" style="9" customWidth="1"/>
    <col min="27" max="28" width="0" hidden="1" customWidth="1"/>
  </cols>
  <sheetData>
    <row r="1" spans="1:28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x14ac:dyDescent="0.25">
      <c r="A3" s="34" t="s">
        <v>204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x14ac:dyDescent="0.25">
      <c r="A4" s="34" t="s">
        <v>205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65" t="s">
        <v>566</v>
      </c>
      <c r="B6" s="109" t="s">
        <v>400</v>
      </c>
      <c r="C6" s="109" t="s">
        <v>401</v>
      </c>
      <c r="D6" s="109" t="s">
        <v>358</v>
      </c>
      <c r="E6" s="109" t="s">
        <v>402</v>
      </c>
      <c r="F6" s="109" t="s">
        <v>403</v>
      </c>
      <c r="G6" s="109" t="s">
        <v>404</v>
      </c>
      <c r="H6" s="109" t="s">
        <v>359</v>
      </c>
      <c r="I6" s="109" t="s">
        <v>405</v>
      </c>
      <c r="J6" s="109" t="s">
        <v>406</v>
      </c>
      <c r="K6" s="109" t="s">
        <v>407</v>
      </c>
      <c r="L6" s="109" t="s">
        <v>408</v>
      </c>
      <c r="M6" s="109" t="s">
        <v>409</v>
      </c>
      <c r="N6" s="109" t="s">
        <v>361</v>
      </c>
      <c r="O6" s="109" t="s">
        <v>363</v>
      </c>
      <c r="P6" s="109" t="s">
        <v>410</v>
      </c>
      <c r="Q6" s="109" t="s">
        <v>411</v>
      </c>
      <c r="R6" s="109" t="s">
        <v>364</v>
      </c>
      <c r="S6" s="109" t="s">
        <v>412</v>
      </c>
      <c r="T6" s="109" t="s">
        <v>413</v>
      </c>
      <c r="U6" s="109" t="s">
        <v>414</v>
      </c>
      <c r="V6" s="109" t="s">
        <v>415</v>
      </c>
      <c r="W6" s="109" t="s">
        <v>360</v>
      </c>
      <c r="X6" s="109" t="s">
        <v>362</v>
      </c>
      <c r="Y6" s="33"/>
      <c r="Z6" s="33"/>
      <c r="AA6" s="33"/>
      <c r="AB6" s="33"/>
    </row>
    <row r="7" spans="1:28" x14ac:dyDescent="0.25">
      <c r="A7" t="s">
        <v>2982</v>
      </c>
      <c r="B7" s="9">
        <v>0.79</v>
      </c>
      <c r="C7" s="9">
        <v>0.84</v>
      </c>
      <c r="D7" s="9">
        <v>0.91</v>
      </c>
      <c r="E7" s="9">
        <v>0.77</v>
      </c>
      <c r="F7" s="9">
        <v>0.71</v>
      </c>
      <c r="G7" s="9">
        <v>0.91</v>
      </c>
      <c r="H7" s="9">
        <v>0.75</v>
      </c>
      <c r="I7" s="9">
        <v>0.68</v>
      </c>
      <c r="J7" s="9">
        <v>0.82</v>
      </c>
      <c r="K7" s="9">
        <v>0.88</v>
      </c>
      <c r="L7" s="9">
        <v>0.92</v>
      </c>
      <c r="M7" s="9">
        <v>0.88</v>
      </c>
      <c r="N7" s="9">
        <v>0.8</v>
      </c>
      <c r="O7" s="9">
        <v>0.8</v>
      </c>
      <c r="P7" s="9">
        <v>0.73</v>
      </c>
      <c r="Q7" s="9">
        <v>0.9</v>
      </c>
      <c r="R7" s="9">
        <v>0.75</v>
      </c>
      <c r="S7" s="9">
        <v>0.89</v>
      </c>
      <c r="T7" s="9">
        <v>0.94</v>
      </c>
      <c r="U7" s="9">
        <v>0.76</v>
      </c>
      <c r="V7" s="9">
        <v>0.73</v>
      </c>
      <c r="W7" s="9">
        <v>0.79</v>
      </c>
      <c r="X7" s="9">
        <v>0.79</v>
      </c>
      <c r="AA7" t="s">
        <v>570</v>
      </c>
      <c r="AB7" t="str">
        <f>VLOOKUP(AA7,GroupLabels!$E$2:$H$145,3,0)</f>
        <v>Australia - English</v>
      </c>
    </row>
    <row r="8" spans="1:28" x14ac:dyDescent="0.25">
      <c r="A8" t="s">
        <v>2985</v>
      </c>
      <c r="B8" s="9">
        <v>0.8</v>
      </c>
      <c r="C8" s="9">
        <v>0.88</v>
      </c>
      <c r="D8" s="9">
        <v>0.92</v>
      </c>
      <c r="E8" s="9">
        <v>0.81</v>
      </c>
      <c r="F8" s="9">
        <v>0.82</v>
      </c>
      <c r="G8" s="9">
        <v>0.94</v>
      </c>
      <c r="H8" s="9">
        <v>0.78</v>
      </c>
      <c r="I8" s="9">
        <v>0.84</v>
      </c>
      <c r="J8" s="9">
        <v>0.83</v>
      </c>
      <c r="K8" s="9">
        <v>0.92</v>
      </c>
      <c r="L8" s="9">
        <v>0.87</v>
      </c>
      <c r="M8" s="9">
        <v>0.91</v>
      </c>
      <c r="N8" s="9">
        <v>0.85</v>
      </c>
      <c r="O8" s="9">
        <v>0.82</v>
      </c>
      <c r="P8" s="9">
        <v>0.78</v>
      </c>
      <c r="Q8" s="9">
        <v>0.92</v>
      </c>
      <c r="R8" s="9">
        <v>0.83</v>
      </c>
      <c r="S8" s="9">
        <v>0.85</v>
      </c>
      <c r="T8" s="9">
        <v>0.95</v>
      </c>
      <c r="U8" s="9">
        <v>0.78</v>
      </c>
      <c r="V8" s="9">
        <v>0.79</v>
      </c>
      <c r="W8" s="9">
        <v>0.83</v>
      </c>
      <c r="X8" s="9">
        <v>0.84</v>
      </c>
      <c r="AA8" t="s">
        <v>578</v>
      </c>
      <c r="AB8" t="str">
        <f>VLOOKUP(AA8,GroupLabels!$E$2:$H$145,3,0)</f>
        <v>Brunei Darussalam - English</v>
      </c>
    </row>
    <row r="9" spans="1:28" x14ac:dyDescent="0.25">
      <c r="A9" t="s">
        <v>3044</v>
      </c>
      <c r="B9" s="9">
        <v>0.89</v>
      </c>
      <c r="C9" s="9">
        <v>0.81</v>
      </c>
      <c r="D9" s="9">
        <v>0.94</v>
      </c>
      <c r="E9" s="9">
        <v>0.81</v>
      </c>
      <c r="F9" s="9">
        <v>0.75</v>
      </c>
      <c r="G9" s="9">
        <v>0.95</v>
      </c>
      <c r="H9" s="9">
        <v>0.77</v>
      </c>
      <c r="I9" s="9">
        <v>0.83</v>
      </c>
      <c r="J9" s="9">
        <v>0.9</v>
      </c>
      <c r="K9" s="9">
        <v>0.91</v>
      </c>
      <c r="L9" s="9">
        <v>0.94</v>
      </c>
      <c r="M9" s="9">
        <v>0.95</v>
      </c>
      <c r="N9" s="9">
        <v>0.83</v>
      </c>
      <c r="O9" s="9">
        <v>0.72</v>
      </c>
      <c r="P9" s="9">
        <v>0.78</v>
      </c>
      <c r="Q9" s="9">
        <v>0.95</v>
      </c>
      <c r="R9" s="9">
        <v>0.83</v>
      </c>
      <c r="S9" s="9">
        <v>0.86</v>
      </c>
      <c r="T9" s="9">
        <v>0.91</v>
      </c>
      <c r="U9" s="9">
        <v>0.81</v>
      </c>
      <c r="V9" s="9">
        <v>0.87</v>
      </c>
      <c r="W9" s="9">
        <v>0.78</v>
      </c>
      <c r="X9" s="9">
        <v>0.68</v>
      </c>
      <c r="AA9" t="s">
        <v>594</v>
      </c>
      <c r="AB9" t="str">
        <f>VLOOKUP(AA9,GroupLabels!$E$2:$H$145,3,0)</f>
        <v>Dominican Republic - Spanish</v>
      </c>
    </row>
    <row r="10" spans="1:28" x14ac:dyDescent="0.25">
      <c r="A10" t="s">
        <v>2920</v>
      </c>
      <c r="B10" s="9">
        <v>0.85</v>
      </c>
      <c r="C10" s="9">
        <v>0.47</v>
      </c>
      <c r="D10" s="9">
        <v>0.92</v>
      </c>
      <c r="E10" s="9">
        <v>0.71</v>
      </c>
      <c r="F10" s="9">
        <v>0.77</v>
      </c>
      <c r="G10" s="9">
        <v>0.95</v>
      </c>
      <c r="H10" s="9">
        <v>0.74</v>
      </c>
      <c r="I10" s="9">
        <v>0.48</v>
      </c>
      <c r="J10" s="9">
        <v>0.78</v>
      </c>
      <c r="K10" s="9">
        <v>0.88</v>
      </c>
      <c r="L10" s="9">
        <v>0.96</v>
      </c>
      <c r="M10" s="9">
        <v>0.77</v>
      </c>
      <c r="N10" s="9">
        <v>0.83</v>
      </c>
      <c r="O10" s="9">
        <v>0.46</v>
      </c>
      <c r="P10" s="9">
        <v>0.76</v>
      </c>
      <c r="Q10" s="9">
        <v>0.82</v>
      </c>
      <c r="R10" s="9">
        <v>0.81</v>
      </c>
      <c r="S10" s="9">
        <v>0.62</v>
      </c>
      <c r="T10" s="9">
        <v>0.88</v>
      </c>
      <c r="U10" s="9">
        <v>0.59</v>
      </c>
      <c r="V10" s="9">
        <v>0.68</v>
      </c>
      <c r="W10" s="9">
        <v>0.83</v>
      </c>
      <c r="X10" s="9">
        <v>0.79</v>
      </c>
      <c r="AA10" t="s">
        <v>604</v>
      </c>
      <c r="AB10" t="str">
        <f>VLOOKUP(AA10,GroupLabels!$E$2:$H$145,3,0)</f>
        <v>Georgia - Azerbaijani</v>
      </c>
    </row>
    <row r="11" spans="1:28" x14ac:dyDescent="0.25">
      <c r="A11" t="s">
        <v>3136</v>
      </c>
      <c r="B11" s="9">
        <v>0.86</v>
      </c>
      <c r="C11" s="9">
        <v>0.72</v>
      </c>
      <c r="D11" s="9">
        <v>0.95</v>
      </c>
      <c r="E11" s="9">
        <v>0.87</v>
      </c>
      <c r="F11" s="9">
        <v>0.66</v>
      </c>
      <c r="G11" s="9">
        <v>0.95</v>
      </c>
      <c r="H11" s="9">
        <v>0.79</v>
      </c>
      <c r="I11" s="9">
        <v>0.69</v>
      </c>
      <c r="J11" s="9">
        <v>0.87</v>
      </c>
      <c r="K11" s="9">
        <v>0.92</v>
      </c>
      <c r="L11" s="9">
        <v>0.96</v>
      </c>
      <c r="M11" s="9">
        <v>0.91</v>
      </c>
      <c r="N11" s="9">
        <v>0.85</v>
      </c>
      <c r="O11" s="9">
        <v>0.79</v>
      </c>
      <c r="P11" s="9">
        <v>0.77</v>
      </c>
      <c r="Q11" s="9">
        <v>0.91</v>
      </c>
      <c r="R11" s="9">
        <v>0.84</v>
      </c>
      <c r="S11" s="9">
        <v>0.85</v>
      </c>
      <c r="T11" s="9">
        <v>0.93</v>
      </c>
      <c r="U11" s="9">
        <v>0.77</v>
      </c>
      <c r="V11" s="9">
        <v>0.83</v>
      </c>
      <c r="W11" s="9">
        <v>0.81</v>
      </c>
      <c r="X11" s="9">
        <v>0.79</v>
      </c>
      <c r="AA11" t="s">
        <v>605</v>
      </c>
      <c r="AB11" t="str">
        <f>VLOOKUP(AA11,GroupLabels!$E$2:$H$145,3,0)</f>
        <v>Georgia - Georgian</v>
      </c>
    </row>
    <row r="12" spans="1:28" x14ac:dyDescent="0.25">
      <c r="A12" t="s">
        <v>3211</v>
      </c>
      <c r="B12" s="9">
        <v>0.84</v>
      </c>
      <c r="C12" s="9">
        <v>0.62</v>
      </c>
      <c r="D12" s="9">
        <v>0.95</v>
      </c>
      <c r="E12" s="9">
        <v>0.89</v>
      </c>
      <c r="F12" s="9">
        <v>0.03</v>
      </c>
      <c r="G12" s="9">
        <v>0.91</v>
      </c>
      <c r="H12" s="9">
        <v>0.83</v>
      </c>
      <c r="I12" s="9">
        <v>0.84</v>
      </c>
      <c r="J12" s="9">
        <v>0.74</v>
      </c>
      <c r="K12" s="9">
        <v>0.93</v>
      </c>
      <c r="L12" s="9">
        <v>0.97</v>
      </c>
      <c r="M12" s="9">
        <v>0.87</v>
      </c>
      <c r="N12" s="9">
        <v>0.93</v>
      </c>
      <c r="O12" s="9">
        <v>0.81</v>
      </c>
      <c r="P12" s="9">
        <v>0.82</v>
      </c>
      <c r="Q12" s="9">
        <v>0.89</v>
      </c>
      <c r="R12" s="9">
        <v>0.76</v>
      </c>
      <c r="S12" s="9">
        <v>0.76</v>
      </c>
      <c r="T12" s="9">
        <v>0.92</v>
      </c>
      <c r="U12" s="9">
        <v>0.71</v>
      </c>
      <c r="V12" s="9">
        <v>0.43</v>
      </c>
      <c r="W12" s="9">
        <v>0.83</v>
      </c>
      <c r="X12" s="9">
        <v>0.88</v>
      </c>
      <c r="AA12" t="s">
        <v>606</v>
      </c>
      <c r="AB12" t="str">
        <f>VLOOKUP(AA12,GroupLabels!$E$2:$H$145,3,0)</f>
        <v>Georgia - Russian</v>
      </c>
    </row>
    <row r="13" spans="1:28" x14ac:dyDescent="0.25">
      <c r="A13" t="s">
        <v>767</v>
      </c>
      <c r="B13" s="9">
        <v>0.67</v>
      </c>
      <c r="C13" s="9">
        <v>0.84</v>
      </c>
      <c r="D13" s="9">
        <v>0.86</v>
      </c>
      <c r="E13" s="9">
        <v>0.74</v>
      </c>
      <c r="F13" s="9">
        <v>0.78</v>
      </c>
      <c r="G13" s="9">
        <v>0.85</v>
      </c>
      <c r="H13" s="9">
        <v>0.75</v>
      </c>
      <c r="I13" s="9">
        <v>0.59</v>
      </c>
      <c r="J13" s="9">
        <v>0.76</v>
      </c>
      <c r="K13" s="9">
        <v>0.81</v>
      </c>
      <c r="L13" s="9">
        <v>0.9</v>
      </c>
      <c r="M13" s="9">
        <v>0.88</v>
      </c>
      <c r="N13" s="9">
        <v>0.74</v>
      </c>
      <c r="O13" s="9">
        <v>0.7</v>
      </c>
      <c r="P13" s="9">
        <v>0.65</v>
      </c>
      <c r="Q13" s="9">
        <v>0.78</v>
      </c>
      <c r="R13" s="9">
        <v>0.74</v>
      </c>
      <c r="S13" s="9">
        <v>0.85</v>
      </c>
      <c r="T13" s="9">
        <v>0.92</v>
      </c>
      <c r="U13" s="9">
        <v>0.75</v>
      </c>
      <c r="V13" s="9">
        <v>0.68</v>
      </c>
      <c r="W13" s="9">
        <v>0.78</v>
      </c>
      <c r="X13" s="9">
        <v>0.74</v>
      </c>
      <c r="AA13" t="s">
        <v>607</v>
      </c>
      <c r="AB13" t="str">
        <f>VLOOKUP(AA13,GroupLabels!$E$2:$H$145,3,0)</f>
        <v>Germany - German</v>
      </c>
    </row>
    <row r="14" spans="1:28" x14ac:dyDescent="0.25">
      <c r="A14" t="s">
        <v>3278</v>
      </c>
      <c r="B14" s="9">
        <v>0.76</v>
      </c>
      <c r="C14" s="9">
        <v>0.85</v>
      </c>
      <c r="D14" s="9">
        <v>0.91</v>
      </c>
      <c r="E14" s="9">
        <v>0.88</v>
      </c>
      <c r="F14" s="9">
        <v>0.83</v>
      </c>
      <c r="G14" s="9">
        <v>0.91</v>
      </c>
      <c r="H14" s="9">
        <v>0.84</v>
      </c>
      <c r="I14" s="9">
        <v>0.73</v>
      </c>
      <c r="J14" s="9">
        <v>0.89</v>
      </c>
      <c r="K14" s="9">
        <v>0.86</v>
      </c>
      <c r="L14" s="9">
        <v>0.9</v>
      </c>
      <c r="M14" s="9">
        <v>0.9</v>
      </c>
      <c r="N14" s="9">
        <v>0.82</v>
      </c>
      <c r="O14" s="9">
        <v>0.78</v>
      </c>
      <c r="P14" s="9">
        <v>0.73</v>
      </c>
      <c r="Q14" s="9">
        <v>0.87</v>
      </c>
      <c r="R14" s="9">
        <v>0.84</v>
      </c>
      <c r="S14" s="9">
        <v>0.84</v>
      </c>
      <c r="T14" s="9">
        <v>0.95</v>
      </c>
      <c r="U14" s="9">
        <v>0.79</v>
      </c>
      <c r="V14" s="9">
        <v>0.79</v>
      </c>
      <c r="W14" s="9">
        <v>0.83</v>
      </c>
      <c r="X14" s="9">
        <v>0.8</v>
      </c>
      <c r="AA14" t="s">
        <v>610</v>
      </c>
      <c r="AB14" t="str">
        <f>VLOOKUP(AA14,GroupLabels!$E$2:$H$145,3,0)</f>
        <v>Hong Kong (China) - Chinese</v>
      </c>
    </row>
    <row r="15" spans="1:28" x14ac:dyDescent="0.25">
      <c r="A15" t="s">
        <v>2993</v>
      </c>
      <c r="B15" s="9">
        <v>0.81</v>
      </c>
      <c r="C15" s="9">
        <v>0.86</v>
      </c>
      <c r="D15" s="9">
        <v>0.91</v>
      </c>
      <c r="E15" s="9">
        <v>0.81</v>
      </c>
      <c r="F15" s="9">
        <v>0.8</v>
      </c>
      <c r="G15" s="9">
        <v>0.91</v>
      </c>
      <c r="H15" s="9">
        <v>0.82</v>
      </c>
      <c r="I15" s="9">
        <v>0.7</v>
      </c>
      <c r="J15" s="9">
        <v>0.88</v>
      </c>
      <c r="K15" s="9">
        <v>0.85</v>
      </c>
      <c r="L15" s="9">
        <v>0.92</v>
      </c>
      <c r="M15" s="9">
        <v>0.89</v>
      </c>
      <c r="N15" s="9">
        <v>0.84</v>
      </c>
      <c r="O15" s="9">
        <v>0.81</v>
      </c>
      <c r="P15" s="9">
        <v>0.71</v>
      </c>
      <c r="Q15" s="9">
        <v>0.91</v>
      </c>
      <c r="R15" s="9">
        <v>0.8</v>
      </c>
      <c r="S15" s="9">
        <v>0.82</v>
      </c>
      <c r="T15" s="9">
        <v>0.94</v>
      </c>
      <c r="U15" s="9">
        <v>0.81</v>
      </c>
      <c r="V15" s="9">
        <v>0.77</v>
      </c>
      <c r="W15" s="9">
        <v>0.79</v>
      </c>
      <c r="X15" s="9">
        <v>0.81</v>
      </c>
      <c r="AA15" t="s">
        <v>611</v>
      </c>
      <c r="AB15" t="str">
        <f>VLOOKUP(AA15,GroupLabels!$E$2:$H$145,3,0)</f>
        <v>Hong Kong (China) - English</v>
      </c>
    </row>
    <row r="16" spans="1:28" x14ac:dyDescent="0.25">
      <c r="A16" t="s">
        <v>3122</v>
      </c>
      <c r="B16" s="9">
        <v>0.56999999999999995</v>
      </c>
      <c r="C16" s="9">
        <v>0.84</v>
      </c>
      <c r="D16" s="9">
        <v>0.89</v>
      </c>
      <c r="E16" s="9">
        <v>0.73</v>
      </c>
      <c r="F16" s="9">
        <v>0.79</v>
      </c>
      <c r="G16" s="9">
        <v>0.97</v>
      </c>
      <c r="H16" s="9">
        <v>0.75</v>
      </c>
      <c r="I16" s="9">
        <v>0.64</v>
      </c>
      <c r="J16" s="9">
        <v>0.75</v>
      </c>
      <c r="K16" s="9">
        <v>0.87</v>
      </c>
      <c r="L16" s="9">
        <v>0.92</v>
      </c>
      <c r="M16" s="9">
        <v>0.95</v>
      </c>
      <c r="N16" s="9">
        <v>0.78</v>
      </c>
      <c r="O16" s="9">
        <v>0.69</v>
      </c>
      <c r="P16" s="9">
        <v>0.59</v>
      </c>
      <c r="Q16" s="9">
        <v>0.88</v>
      </c>
      <c r="R16" s="9">
        <v>0.75</v>
      </c>
      <c r="S16" s="9">
        <v>0.87</v>
      </c>
      <c r="T16" s="9">
        <v>0.95</v>
      </c>
      <c r="U16" s="9">
        <v>0.79</v>
      </c>
      <c r="V16" s="9">
        <v>0.6</v>
      </c>
      <c r="W16" s="9">
        <v>0.85</v>
      </c>
      <c r="X16" s="9">
        <v>0.76</v>
      </c>
      <c r="AA16" t="s">
        <v>613</v>
      </c>
      <c r="AB16" t="str">
        <f>VLOOKUP(AA16,GroupLabels!$E$2:$H$145,3,0)</f>
        <v>Iceland - Icelandic</v>
      </c>
    </row>
    <row r="17" spans="1:28" x14ac:dyDescent="0.25">
      <c r="A17" t="s">
        <v>3154</v>
      </c>
      <c r="B17" s="9">
        <v>0.86</v>
      </c>
      <c r="C17" s="9">
        <v>0.82</v>
      </c>
      <c r="D17" s="9">
        <v>0.94</v>
      </c>
      <c r="E17" s="9">
        <v>0.89</v>
      </c>
      <c r="F17" s="9">
        <v>0.83</v>
      </c>
      <c r="G17" s="9">
        <v>0.91</v>
      </c>
      <c r="H17" s="9">
        <v>0.86</v>
      </c>
      <c r="I17" s="9">
        <v>0.79</v>
      </c>
      <c r="J17" s="9">
        <v>0.9</v>
      </c>
      <c r="K17" s="9">
        <v>0.9</v>
      </c>
      <c r="L17" s="9">
        <v>0.94</v>
      </c>
      <c r="M17" s="9">
        <v>0.91</v>
      </c>
      <c r="N17" s="9">
        <v>0.87</v>
      </c>
      <c r="O17" s="9">
        <v>0.85</v>
      </c>
      <c r="P17" s="9">
        <v>0.77</v>
      </c>
      <c r="Q17" s="9">
        <v>0.9</v>
      </c>
      <c r="R17" s="9">
        <v>0.88</v>
      </c>
      <c r="S17" s="9">
        <v>0.87</v>
      </c>
      <c r="T17" s="9">
        <v>0.95</v>
      </c>
      <c r="U17" s="9">
        <v>0.81</v>
      </c>
      <c r="V17" s="9">
        <v>0.82</v>
      </c>
      <c r="W17" s="9">
        <v>0.85</v>
      </c>
      <c r="X17" s="9">
        <v>0.84</v>
      </c>
      <c r="AA17" t="s">
        <v>627</v>
      </c>
      <c r="AB17" t="str">
        <f>VLOOKUP(AA17,GroupLabels!$E$2:$H$145,3,0)</f>
        <v>Korea - Korean</v>
      </c>
    </row>
    <row r="18" spans="1:28" x14ac:dyDescent="0.25">
      <c r="A18" t="s">
        <v>3007</v>
      </c>
      <c r="B18" s="9">
        <v>0.84</v>
      </c>
      <c r="C18" s="9">
        <v>0.84</v>
      </c>
      <c r="D18" s="9">
        <v>0.91</v>
      </c>
      <c r="E18" s="9">
        <v>0.84</v>
      </c>
      <c r="F18" s="9">
        <v>0.79</v>
      </c>
      <c r="G18" s="9">
        <v>0.95</v>
      </c>
      <c r="H18" s="9">
        <v>0.83</v>
      </c>
      <c r="I18" s="9">
        <v>0.8</v>
      </c>
      <c r="J18" s="9">
        <v>0.91</v>
      </c>
      <c r="K18" s="9">
        <v>0.87</v>
      </c>
      <c r="L18" s="9">
        <v>0.92</v>
      </c>
      <c r="M18" s="9">
        <v>0.89</v>
      </c>
      <c r="N18" s="9">
        <v>0.8</v>
      </c>
      <c r="O18" s="9">
        <v>0.77</v>
      </c>
      <c r="P18" s="9">
        <v>0.82</v>
      </c>
      <c r="Q18" s="9">
        <v>0.94</v>
      </c>
      <c r="R18" s="9">
        <v>0.81</v>
      </c>
      <c r="S18" s="9">
        <v>0.83</v>
      </c>
      <c r="T18" s="9">
        <v>0.95</v>
      </c>
      <c r="U18" s="9">
        <v>0.83</v>
      </c>
      <c r="V18" s="9">
        <v>0.82</v>
      </c>
      <c r="W18" s="9">
        <v>0.78</v>
      </c>
      <c r="X18" s="9">
        <v>0.72</v>
      </c>
      <c r="AA18" t="s">
        <v>644</v>
      </c>
      <c r="AB18" t="str">
        <f>VLOOKUP(AA18,GroupLabels!$E$2:$H$145,3,0)</f>
        <v>Macao (China) - English</v>
      </c>
    </row>
    <row r="19" spans="1:28" x14ac:dyDescent="0.25">
      <c r="A19" t="s">
        <v>3200</v>
      </c>
      <c r="B19" s="9">
        <v>0.52</v>
      </c>
      <c r="C19" s="9">
        <v>0.73</v>
      </c>
      <c r="D19" s="9">
        <v>0.89</v>
      </c>
      <c r="E19" s="9">
        <v>0.85</v>
      </c>
      <c r="F19" s="9">
        <v>0.5</v>
      </c>
      <c r="G19" s="9">
        <v>0.9</v>
      </c>
      <c r="H19" s="9">
        <v>0.36</v>
      </c>
      <c r="I19" s="9">
        <v>0.39</v>
      </c>
      <c r="J19" s="9">
        <v>0.8</v>
      </c>
      <c r="K19" s="9">
        <v>0.67</v>
      </c>
      <c r="L19" s="9">
        <v>0.77</v>
      </c>
      <c r="M19" s="9">
        <v>0.95</v>
      </c>
      <c r="N19" s="9">
        <v>0.59</v>
      </c>
      <c r="O19" s="9">
        <v>0.13</v>
      </c>
      <c r="P19" s="9">
        <v>0.73</v>
      </c>
      <c r="Q19" s="9">
        <v>0.77</v>
      </c>
      <c r="R19" s="9">
        <v>0.45</v>
      </c>
      <c r="S19" s="9">
        <v>0.89</v>
      </c>
      <c r="T19" s="9">
        <v>0.47</v>
      </c>
      <c r="U19" s="9">
        <v>0.49</v>
      </c>
      <c r="V19" s="9">
        <v>-0.54</v>
      </c>
      <c r="W19" s="9">
        <v>0.95</v>
      </c>
      <c r="X19" s="9">
        <v>0.87</v>
      </c>
      <c r="AA19" t="s">
        <v>645</v>
      </c>
      <c r="AB19" t="str">
        <f>VLOOKUP(AA19,GroupLabels!$E$2:$H$145,3,0)</f>
        <v>Macao (China) - Portuguese</v>
      </c>
    </row>
    <row r="20" spans="1:28" x14ac:dyDescent="0.25">
      <c r="A20" t="s">
        <v>3279</v>
      </c>
      <c r="B20" s="9">
        <v>0.8</v>
      </c>
      <c r="C20" s="9">
        <v>0.8</v>
      </c>
      <c r="D20" s="9">
        <v>0.92</v>
      </c>
      <c r="E20" s="9">
        <v>0.87</v>
      </c>
      <c r="F20" s="9">
        <v>0.89</v>
      </c>
      <c r="G20" s="9">
        <v>0.91</v>
      </c>
      <c r="H20" s="9">
        <v>0.85</v>
      </c>
      <c r="I20" s="9">
        <v>0.84</v>
      </c>
      <c r="J20" s="9">
        <v>0.9</v>
      </c>
      <c r="K20" s="9">
        <v>0.86</v>
      </c>
      <c r="L20" s="9">
        <v>0.91</v>
      </c>
      <c r="M20" s="9">
        <v>0.93</v>
      </c>
      <c r="N20" s="9">
        <v>0.81</v>
      </c>
      <c r="O20" s="9">
        <v>0.8</v>
      </c>
      <c r="P20" s="9">
        <v>0.81</v>
      </c>
      <c r="Q20" s="9">
        <v>0.9</v>
      </c>
      <c r="R20" s="9">
        <v>0.86</v>
      </c>
      <c r="S20" s="9">
        <v>0.87</v>
      </c>
      <c r="T20" s="9">
        <v>0.95</v>
      </c>
      <c r="U20" s="9">
        <v>0.78</v>
      </c>
      <c r="V20" s="9">
        <v>0.86</v>
      </c>
      <c r="W20" s="9">
        <v>0.79</v>
      </c>
      <c r="X20" s="9">
        <v>0.78</v>
      </c>
      <c r="AA20" t="s">
        <v>646</v>
      </c>
      <c r="AB20" t="str">
        <f>VLOOKUP(AA20,GroupLabels!$E$2:$H$145,3,0)</f>
        <v>Macao (China) - Chinese</v>
      </c>
    </row>
    <row r="21" spans="1:28" x14ac:dyDescent="0.25">
      <c r="A21" t="s">
        <v>3013</v>
      </c>
      <c r="B21" s="9">
        <v>0.89</v>
      </c>
      <c r="C21" s="9">
        <v>0.88</v>
      </c>
      <c r="D21" s="9">
        <v>0.95</v>
      </c>
      <c r="E21" s="9">
        <v>0.82</v>
      </c>
      <c r="F21" s="9">
        <v>0.83</v>
      </c>
      <c r="G21" s="9">
        <v>0.92</v>
      </c>
      <c r="H21" s="9">
        <v>0.79</v>
      </c>
      <c r="I21" s="9">
        <v>0.85</v>
      </c>
      <c r="J21" s="9">
        <v>0.93</v>
      </c>
      <c r="K21" s="9">
        <v>0.91</v>
      </c>
      <c r="L21" s="9">
        <v>0.93</v>
      </c>
      <c r="M21" s="9">
        <v>0.91</v>
      </c>
      <c r="N21" s="9">
        <v>0.87</v>
      </c>
      <c r="O21" s="9">
        <v>0.82</v>
      </c>
      <c r="P21" s="9">
        <v>0.84</v>
      </c>
      <c r="Q21" s="9">
        <v>0.95</v>
      </c>
      <c r="R21" s="9">
        <v>0.85</v>
      </c>
      <c r="S21" s="9">
        <v>0.87</v>
      </c>
      <c r="T21" s="9">
        <v>0.96</v>
      </c>
      <c r="U21" s="9">
        <v>0.7</v>
      </c>
      <c r="V21" s="9">
        <v>0.86</v>
      </c>
      <c r="W21" s="9">
        <v>0.81</v>
      </c>
      <c r="X21" s="9">
        <v>0.85</v>
      </c>
      <c r="AA21" t="s">
        <v>649</v>
      </c>
      <c r="AB21" t="str">
        <f>VLOOKUP(AA21,GroupLabels!$E$2:$H$145,3,0)</f>
        <v>Malaysia - English</v>
      </c>
    </row>
    <row r="22" spans="1:28" x14ac:dyDescent="0.25">
      <c r="A22" t="s">
        <v>3179</v>
      </c>
      <c r="B22" s="9">
        <v>0.85</v>
      </c>
      <c r="C22" s="9">
        <v>0.84</v>
      </c>
      <c r="D22" s="9">
        <v>0.94</v>
      </c>
      <c r="E22" s="9">
        <v>0.84</v>
      </c>
      <c r="F22" s="9">
        <v>0.82</v>
      </c>
      <c r="G22" s="9">
        <v>0.94</v>
      </c>
      <c r="H22" s="9">
        <v>0.89</v>
      </c>
      <c r="I22" s="9">
        <v>0.89</v>
      </c>
      <c r="J22" s="9">
        <v>0.89</v>
      </c>
      <c r="K22" s="9">
        <v>0.93</v>
      </c>
      <c r="L22" s="9">
        <v>0.91</v>
      </c>
      <c r="M22" s="9">
        <v>0.92</v>
      </c>
      <c r="N22" s="9">
        <v>0.89</v>
      </c>
      <c r="O22" s="9">
        <v>0.85</v>
      </c>
      <c r="P22" s="9">
        <v>0.75</v>
      </c>
      <c r="Q22" s="9">
        <v>0.91</v>
      </c>
      <c r="R22" s="9">
        <v>0.84</v>
      </c>
      <c r="S22" s="9">
        <v>0.86</v>
      </c>
      <c r="T22" s="9">
        <v>0.97</v>
      </c>
      <c r="U22" s="9">
        <v>0.77</v>
      </c>
      <c r="V22" s="9">
        <v>0.87</v>
      </c>
      <c r="W22" s="9">
        <v>0.85</v>
      </c>
      <c r="X22" s="9">
        <v>0.87</v>
      </c>
      <c r="AA22" t="s">
        <v>650</v>
      </c>
      <c r="AB22" t="str">
        <f>VLOOKUP(AA22,GroupLabels!$E$2:$H$145,3,0)</f>
        <v>Malaysia - Malay</v>
      </c>
    </row>
    <row r="23" spans="1:28" x14ac:dyDescent="0.25">
      <c r="A23" t="s">
        <v>3175</v>
      </c>
      <c r="B23" s="9">
        <v>0.83</v>
      </c>
      <c r="C23" s="9">
        <v>0.75</v>
      </c>
      <c r="D23" s="9">
        <v>0.93</v>
      </c>
      <c r="E23" s="9">
        <v>0.85</v>
      </c>
      <c r="F23" s="9">
        <v>0.78</v>
      </c>
      <c r="G23" s="9">
        <v>0.88</v>
      </c>
      <c r="H23" s="9">
        <v>0.81</v>
      </c>
      <c r="I23" s="9">
        <v>0.68</v>
      </c>
      <c r="J23" s="9">
        <v>0.88</v>
      </c>
      <c r="K23" s="9">
        <v>0.88</v>
      </c>
      <c r="L23" s="9">
        <v>0.92</v>
      </c>
      <c r="M23" s="9">
        <v>0.94</v>
      </c>
      <c r="N23" s="9">
        <v>0.84</v>
      </c>
      <c r="O23" s="9">
        <v>0.75</v>
      </c>
      <c r="P23" s="9">
        <v>0.78</v>
      </c>
      <c r="Q23" s="9">
        <v>0.89</v>
      </c>
      <c r="R23" s="9">
        <v>0.82</v>
      </c>
      <c r="S23" s="9">
        <v>0.87</v>
      </c>
      <c r="T23" s="9">
        <v>0.94</v>
      </c>
      <c r="U23" s="9">
        <v>0.78</v>
      </c>
      <c r="V23" s="9">
        <v>0.85</v>
      </c>
      <c r="W23" s="9">
        <v>0.76</v>
      </c>
      <c r="X23" s="9">
        <v>0.79</v>
      </c>
      <c r="AA23" t="s">
        <v>657</v>
      </c>
      <c r="AB23" t="str">
        <f>VLOOKUP(AA23,GroupLabels!$E$2:$H$145,3,0)</f>
        <v>Mongolia - Mongolian</v>
      </c>
    </row>
    <row r="24" spans="1:28" x14ac:dyDescent="0.25">
      <c r="A24" t="s">
        <v>2906</v>
      </c>
      <c r="B24" s="9">
        <v>0.76</v>
      </c>
      <c r="C24" s="9">
        <v>0.8</v>
      </c>
      <c r="D24" s="9">
        <v>0.92</v>
      </c>
      <c r="E24" s="9">
        <v>0.83</v>
      </c>
      <c r="F24" s="9">
        <v>0.73</v>
      </c>
      <c r="G24" s="9">
        <v>0.89</v>
      </c>
      <c r="H24" s="9">
        <v>0.83</v>
      </c>
      <c r="I24" s="9">
        <v>0.8</v>
      </c>
      <c r="J24" s="9">
        <v>0.91</v>
      </c>
      <c r="K24" s="9">
        <v>0.9</v>
      </c>
      <c r="L24" s="9">
        <v>0.92</v>
      </c>
      <c r="M24" s="9">
        <v>0.93</v>
      </c>
      <c r="N24" s="9">
        <v>0.78</v>
      </c>
      <c r="O24" s="9">
        <v>0.69</v>
      </c>
      <c r="P24" s="9">
        <v>0.78</v>
      </c>
      <c r="Q24" s="9">
        <v>0.86</v>
      </c>
      <c r="R24" s="9">
        <v>0.73</v>
      </c>
      <c r="S24" s="9">
        <v>0.85</v>
      </c>
      <c r="T24" s="9">
        <v>0.95</v>
      </c>
      <c r="U24" s="9">
        <v>0.8</v>
      </c>
      <c r="V24" s="9">
        <v>0.82</v>
      </c>
      <c r="W24" s="9">
        <v>0.71</v>
      </c>
      <c r="X24" s="9">
        <v>0.72</v>
      </c>
      <c r="AA24" t="s">
        <v>660</v>
      </c>
      <c r="AB24" t="str">
        <f>VLOOKUP(AA24,GroupLabels!$E$2:$H$145,3,0)</f>
        <v>Morocco - Arabic</v>
      </c>
    </row>
    <row r="25" spans="1:28" x14ac:dyDescent="0.25">
      <c r="A25" t="s">
        <v>3187</v>
      </c>
      <c r="B25" s="9">
        <v>0.62</v>
      </c>
      <c r="C25" s="9">
        <v>0.84</v>
      </c>
      <c r="D25" s="9">
        <v>0.86</v>
      </c>
      <c r="E25" s="9">
        <v>0.73</v>
      </c>
      <c r="F25" s="9">
        <v>0.74</v>
      </c>
      <c r="G25" s="9">
        <v>0.89</v>
      </c>
      <c r="H25" s="9">
        <v>0.68</v>
      </c>
      <c r="I25" s="9">
        <v>0.71</v>
      </c>
      <c r="J25" s="9">
        <v>0.76</v>
      </c>
      <c r="K25" s="9">
        <v>0.78</v>
      </c>
      <c r="L25" s="9">
        <v>0.85</v>
      </c>
      <c r="M25" s="9">
        <v>0.86</v>
      </c>
      <c r="N25" s="9">
        <v>0.7</v>
      </c>
      <c r="O25" s="9">
        <v>0.78</v>
      </c>
      <c r="P25" s="9">
        <v>0.65</v>
      </c>
      <c r="Q25" s="9">
        <v>0.82</v>
      </c>
      <c r="R25" s="9">
        <v>0.73</v>
      </c>
      <c r="S25" s="9">
        <v>0.8</v>
      </c>
      <c r="T25" s="9">
        <v>0.92</v>
      </c>
      <c r="U25" s="9">
        <v>0.75</v>
      </c>
      <c r="V25" s="9">
        <v>0.7</v>
      </c>
      <c r="W25" s="9">
        <v>0.72</v>
      </c>
      <c r="X25" s="9">
        <v>0.7</v>
      </c>
      <c r="AA25" t="s">
        <v>661</v>
      </c>
      <c r="AB25" t="str">
        <f>VLOOKUP(AA25,GroupLabels!$E$2:$H$145,3,0)</f>
        <v>Netherlands - Dutch</v>
      </c>
    </row>
    <row r="26" spans="1:28" x14ac:dyDescent="0.25">
      <c r="A26" t="s">
        <v>3056</v>
      </c>
      <c r="B26" s="9">
        <v>0.93</v>
      </c>
      <c r="C26" s="9">
        <v>0.82</v>
      </c>
      <c r="D26" s="9">
        <v>0.95</v>
      </c>
      <c r="E26" s="9">
        <v>0.88</v>
      </c>
      <c r="F26" s="9">
        <v>0.69</v>
      </c>
      <c r="G26" s="9">
        <v>0.94</v>
      </c>
      <c r="H26" s="9">
        <v>0.84</v>
      </c>
      <c r="I26" s="9">
        <v>0.8</v>
      </c>
      <c r="J26" s="9">
        <v>0.9</v>
      </c>
      <c r="K26" s="9">
        <v>0.92</v>
      </c>
      <c r="L26" s="9">
        <v>0.94</v>
      </c>
      <c r="M26" s="9">
        <v>0.95</v>
      </c>
      <c r="N26" s="9">
        <v>0.83</v>
      </c>
      <c r="O26" s="9">
        <v>0.83</v>
      </c>
      <c r="P26" s="9">
        <v>0.78</v>
      </c>
      <c r="Q26" s="9">
        <v>0.91</v>
      </c>
      <c r="R26" s="9">
        <v>0.86</v>
      </c>
      <c r="S26" s="9">
        <v>0.85</v>
      </c>
      <c r="T26" s="9">
        <v>0.94</v>
      </c>
      <c r="U26" s="9">
        <v>0.78</v>
      </c>
      <c r="V26" s="9">
        <v>0.84</v>
      </c>
      <c r="W26" s="9">
        <v>0.79</v>
      </c>
      <c r="X26" s="9">
        <v>0.74</v>
      </c>
      <c r="AA26" t="s">
        <v>668</v>
      </c>
      <c r="AB26" t="str">
        <f>VLOOKUP(AA26,GroupLabels!$E$2:$H$145,3,0)</f>
        <v>Peru - Spanish</v>
      </c>
    </row>
    <row r="27" spans="1:28" x14ac:dyDescent="0.25">
      <c r="A27" t="s">
        <v>2912</v>
      </c>
      <c r="B27" s="9">
        <v>0.88</v>
      </c>
      <c r="C27" s="9">
        <v>0.84</v>
      </c>
      <c r="D27" s="9">
        <v>0.96</v>
      </c>
      <c r="E27" s="9">
        <v>0.9</v>
      </c>
      <c r="F27" s="9">
        <v>0.82</v>
      </c>
      <c r="G27" s="9">
        <v>0.95</v>
      </c>
      <c r="H27" s="9">
        <v>0.89</v>
      </c>
      <c r="I27" s="9">
        <v>0.88</v>
      </c>
      <c r="J27" s="9">
        <v>0.9</v>
      </c>
      <c r="K27" s="9">
        <v>0.95</v>
      </c>
      <c r="L27" s="9">
        <v>0.96</v>
      </c>
      <c r="M27" s="9">
        <v>0.95</v>
      </c>
      <c r="N27" s="9">
        <v>0.9</v>
      </c>
      <c r="O27" s="9">
        <v>0.82</v>
      </c>
      <c r="P27" s="9">
        <v>0.86</v>
      </c>
      <c r="Q27" s="9">
        <v>0.93</v>
      </c>
      <c r="R27" s="9">
        <v>0.87</v>
      </c>
      <c r="S27" s="9">
        <v>0.85</v>
      </c>
      <c r="T27" s="9">
        <v>0.96</v>
      </c>
      <c r="U27" s="9">
        <v>0.81</v>
      </c>
      <c r="V27" s="9">
        <v>0.91</v>
      </c>
      <c r="W27" s="9">
        <v>0.87</v>
      </c>
      <c r="X27" s="9">
        <v>0.89</v>
      </c>
      <c r="AA27" t="s">
        <v>672</v>
      </c>
      <c r="AB27" t="str">
        <f>VLOOKUP(AA27,GroupLabels!$E$2:$H$145,3,0)</f>
        <v>Qatar - Arabic</v>
      </c>
    </row>
    <row r="28" spans="1:28" x14ac:dyDescent="0.25">
      <c r="A28" t="s">
        <v>3020</v>
      </c>
      <c r="B28" s="9">
        <v>0.94</v>
      </c>
      <c r="C28" s="9">
        <v>0.87</v>
      </c>
      <c r="D28" s="9">
        <v>0.95</v>
      </c>
      <c r="E28" s="9">
        <v>0.87</v>
      </c>
      <c r="F28" s="9">
        <v>0.75</v>
      </c>
      <c r="G28" s="9">
        <v>0.96</v>
      </c>
      <c r="H28" s="9">
        <v>0.83</v>
      </c>
      <c r="I28" s="9">
        <v>0.79</v>
      </c>
      <c r="J28" s="9">
        <v>0.84</v>
      </c>
      <c r="K28" s="9">
        <v>0.95</v>
      </c>
      <c r="L28" s="9">
        <v>0.95</v>
      </c>
      <c r="M28" s="9">
        <v>0.91</v>
      </c>
      <c r="N28" s="9">
        <v>0.83</v>
      </c>
      <c r="O28" s="9">
        <v>0.83</v>
      </c>
      <c r="P28" s="9">
        <v>0.84</v>
      </c>
      <c r="Q28" s="9">
        <v>0.94</v>
      </c>
      <c r="R28" s="9">
        <v>0.81</v>
      </c>
      <c r="S28" s="9">
        <v>0.88</v>
      </c>
      <c r="T28" s="9">
        <v>0.94</v>
      </c>
      <c r="U28" s="9">
        <v>0.84</v>
      </c>
      <c r="V28" s="9">
        <v>0.85</v>
      </c>
      <c r="W28" s="9">
        <v>0.83</v>
      </c>
      <c r="X28" s="9">
        <v>0.8</v>
      </c>
      <c r="AA28" t="s">
        <v>673</v>
      </c>
      <c r="AB28" t="str">
        <f>VLOOKUP(AA28,GroupLabels!$E$2:$H$145,3,0)</f>
        <v>Qatar - English</v>
      </c>
    </row>
    <row r="29" spans="1:28" x14ac:dyDescent="0.25">
      <c r="A29" t="s">
        <v>3207</v>
      </c>
      <c r="B29" s="9">
        <v>0.82</v>
      </c>
      <c r="C29" s="9">
        <v>0.8</v>
      </c>
      <c r="D29" s="9">
        <v>0.94</v>
      </c>
      <c r="E29" s="9">
        <v>0.84</v>
      </c>
      <c r="F29" s="9">
        <v>0.77</v>
      </c>
      <c r="G29" s="9">
        <v>0.91</v>
      </c>
      <c r="H29" s="9">
        <v>0.85</v>
      </c>
      <c r="I29" s="9">
        <v>0.7</v>
      </c>
      <c r="J29" s="9">
        <v>0.89</v>
      </c>
      <c r="K29" s="9">
        <v>0.9</v>
      </c>
      <c r="L29" s="9">
        <v>0.93</v>
      </c>
      <c r="M29" s="9">
        <v>0.92</v>
      </c>
      <c r="N29" s="9">
        <v>0.84</v>
      </c>
      <c r="O29" s="9">
        <v>0.8</v>
      </c>
      <c r="P29" s="9">
        <v>0.76</v>
      </c>
      <c r="Q29" s="9">
        <v>0.87</v>
      </c>
      <c r="R29" s="9">
        <v>0.83</v>
      </c>
      <c r="S29" s="9">
        <v>0.84</v>
      </c>
      <c r="T29" s="9">
        <v>0.93</v>
      </c>
      <c r="U29" s="9">
        <v>0.74</v>
      </c>
      <c r="V29" s="9">
        <v>0.79</v>
      </c>
      <c r="W29" s="9">
        <v>0.82</v>
      </c>
      <c r="X29" s="9">
        <v>0.8</v>
      </c>
      <c r="AA29" t="s">
        <v>675</v>
      </c>
      <c r="AB29" t="str">
        <f>VLOOKUP(AA29,GroupLabels!$E$2:$H$145,3,0)</f>
        <v>Romania - Romanian</v>
      </c>
    </row>
    <row r="30" spans="1:28" x14ac:dyDescent="0.25">
      <c r="A30" s="3" t="s">
        <v>3282</v>
      </c>
      <c r="B30" s="10">
        <v>0.82</v>
      </c>
      <c r="C30" s="10">
        <v>0.83</v>
      </c>
      <c r="D30" s="10">
        <v>0.94</v>
      </c>
      <c r="E30" s="10">
        <v>0.86</v>
      </c>
      <c r="F30" s="10">
        <v>0.87</v>
      </c>
      <c r="G30" s="10">
        <v>0.93</v>
      </c>
      <c r="H30" s="10">
        <v>0.88</v>
      </c>
      <c r="I30" s="10">
        <v>0.77</v>
      </c>
      <c r="J30" s="10">
        <v>0.91</v>
      </c>
      <c r="K30" s="10">
        <v>0.9</v>
      </c>
      <c r="L30" s="10">
        <v>0.91</v>
      </c>
      <c r="M30" s="10">
        <v>0.93</v>
      </c>
      <c r="N30" s="10">
        <v>0.82</v>
      </c>
      <c r="O30" s="10">
        <v>0.84</v>
      </c>
      <c r="P30" s="10">
        <v>0.81</v>
      </c>
      <c r="Q30" s="10">
        <v>0.93</v>
      </c>
      <c r="R30" s="10">
        <v>0.86</v>
      </c>
      <c r="S30" s="10">
        <v>0.84</v>
      </c>
      <c r="T30" s="10">
        <v>0.94</v>
      </c>
      <c r="U30" s="10">
        <v>0.76</v>
      </c>
      <c r="V30" s="10">
        <v>0.83</v>
      </c>
      <c r="W30" s="10">
        <v>0.82</v>
      </c>
      <c r="X30" s="10">
        <v>0.82</v>
      </c>
      <c r="AA30" t="s">
        <v>693</v>
      </c>
      <c r="AB30" t="str">
        <f>VLOOKUP(AA30,GroupLabels!$E$2:$H$145,3,0)</f>
        <v>Chinese Taipei - Chinese</v>
      </c>
    </row>
  </sheetData>
  <sheetProtection formatColumns="0" formatRows="0"/>
  <sortState xmlns:xlrd2="http://schemas.microsoft.com/office/spreadsheetml/2017/richdata2" ref="A7:AB29">
    <sortCondition ref="A7:A29"/>
  </sortState>
  <hyperlinks>
    <hyperlink ref="A1" location="TOC!A1" display="Table of Contents" xr:uid="{D0345F7E-FD2B-4241-92AD-27F7EA7C024D}"/>
  </hyperlinks>
  <pageMargins left="0.7" right="0.7" top="0.75" bottom="0.75" header="0.3" footer="0.3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8"/>
  <dimension ref="A1:AB2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2.42578125" customWidth="1"/>
    <col min="3" max="7" width="9.140625" style="8" customWidth="1"/>
    <col min="8" max="8" width="11.7109375" style="8" customWidth="1"/>
    <col min="9" max="24" width="9.140625" style="8" customWidth="1"/>
    <col min="27" max="28" width="0" hidden="1"/>
  </cols>
  <sheetData>
    <row r="1" spans="1:28" x14ac:dyDescent="0.25">
      <c r="A1" s="141" t="s">
        <v>316</v>
      </c>
      <c r="B1" s="98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x14ac:dyDescent="0.25">
      <c r="A2" s="33"/>
      <c r="B2" s="7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x14ac:dyDescent="0.25">
      <c r="A3" s="34" t="s">
        <v>206</v>
      </c>
      <c r="B3" s="7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x14ac:dyDescent="0.25">
      <c r="A4" s="111" t="s">
        <v>207</v>
      </c>
      <c r="B4" s="7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x14ac:dyDescent="0.25">
      <c r="A5" s="33"/>
      <c r="B5" s="7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65" t="s">
        <v>566</v>
      </c>
      <c r="B6" s="65" t="s">
        <v>400</v>
      </c>
      <c r="C6" s="79" t="s">
        <v>401</v>
      </c>
      <c r="D6" s="79" t="s">
        <v>402</v>
      </c>
      <c r="E6" s="79" t="s">
        <v>404</v>
      </c>
      <c r="F6" s="79" t="s">
        <v>359</v>
      </c>
      <c r="G6" s="79" t="s">
        <v>406</v>
      </c>
      <c r="H6" s="79" t="s">
        <v>407</v>
      </c>
      <c r="I6" s="79" t="s">
        <v>408</v>
      </c>
      <c r="J6" s="79" t="s">
        <v>409</v>
      </c>
      <c r="K6" s="79" t="s">
        <v>360</v>
      </c>
      <c r="L6" s="79" t="s">
        <v>361</v>
      </c>
      <c r="M6" s="79" t="s">
        <v>362</v>
      </c>
      <c r="N6" s="79" t="s">
        <v>363</v>
      </c>
      <c r="O6" s="79" t="s">
        <v>411</v>
      </c>
      <c r="P6" s="79" t="s">
        <v>364</v>
      </c>
      <c r="Q6" s="79" t="s">
        <v>412</v>
      </c>
      <c r="R6" s="79" t="s">
        <v>413</v>
      </c>
      <c r="S6" s="79" t="s">
        <v>414</v>
      </c>
      <c r="T6" s="79" t="s">
        <v>358</v>
      </c>
      <c r="U6" s="79" t="s">
        <v>403</v>
      </c>
      <c r="V6" s="79" t="s">
        <v>405</v>
      </c>
      <c r="W6" s="79" t="s">
        <v>410</v>
      </c>
      <c r="X6" s="79" t="s">
        <v>415</v>
      </c>
      <c r="Y6" s="33"/>
      <c r="Z6" s="33"/>
      <c r="AA6" s="33"/>
      <c r="AB6" s="33"/>
    </row>
    <row r="7" spans="1:28" x14ac:dyDescent="0.25">
      <c r="A7" t="s">
        <v>2982</v>
      </c>
      <c r="B7" s="33">
        <v>4</v>
      </c>
      <c r="C7" s="73">
        <v>4</v>
      </c>
      <c r="D7" s="73">
        <v>4</v>
      </c>
      <c r="E7" s="73">
        <v>4</v>
      </c>
      <c r="F7" s="73">
        <v>5</v>
      </c>
      <c r="G7" s="73">
        <v>6</v>
      </c>
      <c r="H7" s="73">
        <v>7</v>
      </c>
      <c r="I7" s="73">
        <v>7</v>
      </c>
      <c r="J7" s="73">
        <v>9</v>
      </c>
      <c r="K7" s="73">
        <v>4</v>
      </c>
      <c r="L7" s="73">
        <v>6</v>
      </c>
      <c r="M7" s="73">
        <v>4</v>
      </c>
      <c r="N7" s="73">
        <v>4</v>
      </c>
      <c r="O7" s="73">
        <v>8</v>
      </c>
      <c r="P7" s="73">
        <v>6</v>
      </c>
      <c r="Q7" s="73">
        <v>8</v>
      </c>
      <c r="R7" s="73">
        <v>14</v>
      </c>
      <c r="S7" s="73">
        <v>5</v>
      </c>
      <c r="T7" s="73">
        <v>15</v>
      </c>
      <c r="U7" s="73">
        <v>8</v>
      </c>
      <c r="V7" s="73">
        <v>5</v>
      </c>
      <c r="W7" s="73">
        <v>5</v>
      </c>
      <c r="X7" s="73">
        <v>9</v>
      </c>
      <c r="Y7" s="33"/>
      <c r="Z7" s="33"/>
      <c r="AA7" s="33" t="s">
        <v>570</v>
      </c>
      <c r="AB7" t="str">
        <f>VLOOKUP(AA7,GroupLabels!$E$2:$H$145,3,0)</f>
        <v>Australia - English</v>
      </c>
    </row>
    <row r="8" spans="1:28" x14ac:dyDescent="0.25">
      <c r="A8" t="s">
        <v>3044</v>
      </c>
      <c r="B8" s="33">
        <v>4</v>
      </c>
      <c r="C8" s="73">
        <v>4</v>
      </c>
      <c r="D8" s="73">
        <v>4</v>
      </c>
      <c r="E8" s="73">
        <v>4</v>
      </c>
      <c r="F8" s="73">
        <v>5</v>
      </c>
      <c r="G8" s="73">
        <v>6</v>
      </c>
      <c r="H8" s="73">
        <v>7</v>
      </c>
      <c r="I8" s="73">
        <v>7</v>
      </c>
      <c r="J8" s="73">
        <v>9</v>
      </c>
      <c r="K8" s="73">
        <v>4</v>
      </c>
      <c r="L8" s="73">
        <v>6</v>
      </c>
      <c r="M8" s="73">
        <v>4</v>
      </c>
      <c r="N8" s="73">
        <v>4</v>
      </c>
      <c r="O8" s="73">
        <v>8</v>
      </c>
      <c r="P8" s="73">
        <v>6</v>
      </c>
      <c r="Q8" s="73">
        <v>8</v>
      </c>
      <c r="R8" s="73">
        <v>14</v>
      </c>
      <c r="S8" s="73">
        <v>5</v>
      </c>
      <c r="T8" s="73">
        <v>15</v>
      </c>
      <c r="U8" s="73">
        <v>8</v>
      </c>
      <c r="V8" s="73">
        <v>5</v>
      </c>
      <c r="W8" s="73">
        <v>5</v>
      </c>
      <c r="X8" s="73">
        <v>9</v>
      </c>
      <c r="Y8" s="33"/>
      <c r="Z8" s="33"/>
      <c r="AA8" s="33" t="s">
        <v>594</v>
      </c>
      <c r="AB8" t="str">
        <f>VLOOKUP(AA8,GroupLabels!$E$2:$H$145,3,0)</f>
        <v>Dominican Republic - Spanish</v>
      </c>
    </row>
    <row r="9" spans="1:28" x14ac:dyDescent="0.25">
      <c r="A9" t="s">
        <v>2920</v>
      </c>
      <c r="B9" s="33">
        <v>4</v>
      </c>
      <c r="C9" s="73">
        <v>4</v>
      </c>
      <c r="D9" s="73">
        <v>4</v>
      </c>
      <c r="E9" s="73">
        <v>4</v>
      </c>
      <c r="F9" s="73">
        <v>5</v>
      </c>
      <c r="G9" s="73">
        <v>6</v>
      </c>
      <c r="H9" s="73">
        <v>7</v>
      </c>
      <c r="I9" s="73">
        <v>7</v>
      </c>
      <c r="J9" s="73">
        <v>9</v>
      </c>
      <c r="K9" s="73">
        <v>4</v>
      </c>
      <c r="L9" s="73">
        <v>6</v>
      </c>
      <c r="M9" s="73">
        <v>4</v>
      </c>
      <c r="N9" s="73">
        <v>4</v>
      </c>
      <c r="O9" s="73">
        <v>8</v>
      </c>
      <c r="P9" s="73">
        <v>6</v>
      </c>
      <c r="Q9" s="73">
        <v>8</v>
      </c>
      <c r="R9" s="73">
        <v>14</v>
      </c>
      <c r="S9" s="73">
        <v>5</v>
      </c>
      <c r="T9" s="73">
        <v>15</v>
      </c>
      <c r="U9" s="73">
        <v>8</v>
      </c>
      <c r="V9" s="73">
        <v>5</v>
      </c>
      <c r="W9" s="73">
        <v>5</v>
      </c>
      <c r="X9" s="73">
        <v>9</v>
      </c>
      <c r="Y9" s="33"/>
      <c r="Z9" s="33"/>
      <c r="AA9" s="33" t="s">
        <v>604</v>
      </c>
      <c r="AB9" t="str">
        <f>VLOOKUP(AA9,GroupLabels!$E$2:$H$145,3,0)</f>
        <v>Georgia - Azerbaijani</v>
      </c>
    </row>
    <row r="10" spans="1:28" x14ac:dyDescent="0.25">
      <c r="A10" t="s">
        <v>3136</v>
      </c>
      <c r="B10" s="33">
        <v>4</v>
      </c>
      <c r="C10" s="73">
        <v>4</v>
      </c>
      <c r="D10" s="73">
        <v>4</v>
      </c>
      <c r="E10" s="73">
        <v>4</v>
      </c>
      <c r="F10" s="73">
        <v>5</v>
      </c>
      <c r="G10" s="73">
        <v>6</v>
      </c>
      <c r="H10" s="73">
        <v>7</v>
      </c>
      <c r="I10" s="73">
        <v>7</v>
      </c>
      <c r="J10" s="73">
        <v>9</v>
      </c>
      <c r="K10" s="73">
        <v>4</v>
      </c>
      <c r="L10" s="73">
        <v>6</v>
      </c>
      <c r="M10" s="73">
        <v>4</v>
      </c>
      <c r="N10" s="73">
        <v>4</v>
      </c>
      <c r="O10" s="73">
        <v>8</v>
      </c>
      <c r="P10" s="73">
        <v>6</v>
      </c>
      <c r="Q10" s="73">
        <v>8</v>
      </c>
      <c r="R10" s="73">
        <v>14</v>
      </c>
      <c r="S10" s="73">
        <v>5</v>
      </c>
      <c r="T10" s="73">
        <v>15</v>
      </c>
      <c r="U10" s="73">
        <v>8</v>
      </c>
      <c r="V10" s="73">
        <v>5</v>
      </c>
      <c r="W10" s="73">
        <v>5</v>
      </c>
      <c r="X10" s="73">
        <v>9</v>
      </c>
      <c r="Y10" s="33"/>
      <c r="Z10" s="33"/>
      <c r="AA10" s="33" t="s">
        <v>605</v>
      </c>
      <c r="AB10" t="str">
        <f>VLOOKUP(AA10,GroupLabels!$E$2:$H$145,3,0)</f>
        <v>Georgia - Georgian</v>
      </c>
    </row>
    <row r="11" spans="1:28" x14ac:dyDescent="0.25">
      <c r="A11" t="s">
        <v>3211</v>
      </c>
      <c r="B11" s="33">
        <v>4</v>
      </c>
      <c r="C11" s="73">
        <v>4</v>
      </c>
      <c r="D11" s="73">
        <v>4</v>
      </c>
      <c r="E11" s="73">
        <v>4</v>
      </c>
      <c r="F11" s="73">
        <v>5</v>
      </c>
      <c r="G11" s="73">
        <v>6</v>
      </c>
      <c r="H11" s="73">
        <v>7</v>
      </c>
      <c r="I11" s="73">
        <v>7</v>
      </c>
      <c r="J11" s="73">
        <v>9</v>
      </c>
      <c r="K11" s="73">
        <v>4</v>
      </c>
      <c r="L11" s="73">
        <v>6</v>
      </c>
      <c r="M11" s="73">
        <v>4</v>
      </c>
      <c r="N11" s="73">
        <v>4</v>
      </c>
      <c r="O11" s="73">
        <v>8</v>
      </c>
      <c r="P11" s="73">
        <v>6</v>
      </c>
      <c r="Q11" s="73">
        <v>8</v>
      </c>
      <c r="R11" s="73">
        <v>14</v>
      </c>
      <c r="S11" s="73">
        <v>5</v>
      </c>
      <c r="T11" s="73">
        <v>15</v>
      </c>
      <c r="U11" s="73">
        <v>8</v>
      </c>
      <c r="V11" s="73">
        <v>5</v>
      </c>
      <c r="W11" s="73">
        <v>5</v>
      </c>
      <c r="X11" s="73">
        <v>9</v>
      </c>
      <c r="Y11" s="33"/>
      <c r="Z11" s="33"/>
      <c r="AA11" s="33" t="s">
        <v>606</v>
      </c>
      <c r="AB11" t="str">
        <f>VLOOKUP(AA11,GroupLabels!$E$2:$H$145,3,0)</f>
        <v>Georgia - Russian</v>
      </c>
    </row>
    <row r="12" spans="1:28" x14ac:dyDescent="0.25">
      <c r="A12" t="s">
        <v>767</v>
      </c>
      <c r="B12" s="33">
        <v>4</v>
      </c>
      <c r="C12" s="73">
        <v>4</v>
      </c>
      <c r="D12" s="73">
        <v>4</v>
      </c>
      <c r="E12" s="73">
        <v>4</v>
      </c>
      <c r="F12" s="73">
        <v>5</v>
      </c>
      <c r="G12" s="73">
        <v>6</v>
      </c>
      <c r="H12" s="73">
        <v>7</v>
      </c>
      <c r="I12" s="73">
        <v>7</v>
      </c>
      <c r="J12" s="73">
        <v>9</v>
      </c>
      <c r="K12" s="73">
        <v>4</v>
      </c>
      <c r="L12" s="73">
        <v>6</v>
      </c>
      <c r="M12" s="73">
        <v>4</v>
      </c>
      <c r="N12" s="73">
        <v>4</v>
      </c>
      <c r="O12" s="73">
        <v>8</v>
      </c>
      <c r="P12" s="73">
        <v>6</v>
      </c>
      <c r="Q12" s="73">
        <v>8</v>
      </c>
      <c r="R12" s="73">
        <v>14</v>
      </c>
      <c r="S12" s="73">
        <v>5</v>
      </c>
      <c r="T12" s="73">
        <v>15</v>
      </c>
      <c r="U12" s="73">
        <v>8</v>
      </c>
      <c r="V12" s="73">
        <v>5</v>
      </c>
      <c r="W12" s="73">
        <v>5</v>
      </c>
      <c r="X12" s="73">
        <v>9</v>
      </c>
      <c r="Y12" s="33"/>
      <c r="Z12" s="33"/>
      <c r="AA12" s="33" t="s">
        <v>607</v>
      </c>
      <c r="AB12" t="str">
        <f>VLOOKUP(AA12,GroupLabels!$E$2:$H$145,3,0)</f>
        <v>Germany - German</v>
      </c>
    </row>
    <row r="13" spans="1:28" x14ac:dyDescent="0.25">
      <c r="A13" t="s">
        <v>3278</v>
      </c>
      <c r="B13" s="33">
        <v>4</v>
      </c>
      <c r="C13" s="73">
        <v>4</v>
      </c>
      <c r="D13" s="73">
        <v>4</v>
      </c>
      <c r="E13" s="73">
        <v>4</v>
      </c>
      <c r="F13" s="73">
        <v>5</v>
      </c>
      <c r="G13" s="73">
        <v>6</v>
      </c>
      <c r="H13" s="73">
        <v>7</v>
      </c>
      <c r="I13" s="73">
        <v>7</v>
      </c>
      <c r="J13" s="73">
        <v>9</v>
      </c>
      <c r="K13" s="73">
        <v>4</v>
      </c>
      <c r="L13" s="73">
        <v>6</v>
      </c>
      <c r="M13" s="73">
        <v>4</v>
      </c>
      <c r="N13" s="73">
        <v>4</v>
      </c>
      <c r="O13" s="73">
        <v>8</v>
      </c>
      <c r="P13" s="73">
        <v>6</v>
      </c>
      <c r="Q13" s="73">
        <v>8</v>
      </c>
      <c r="R13" s="73">
        <v>14</v>
      </c>
      <c r="S13" s="73">
        <v>5</v>
      </c>
      <c r="T13" s="73">
        <v>15</v>
      </c>
      <c r="U13" s="73">
        <v>8</v>
      </c>
      <c r="V13" s="73">
        <v>5</v>
      </c>
      <c r="W13" s="73">
        <v>5</v>
      </c>
      <c r="X13" s="73">
        <v>9</v>
      </c>
      <c r="Y13" s="33"/>
      <c r="Z13" s="33"/>
      <c r="AA13" s="33" t="s">
        <v>610</v>
      </c>
      <c r="AB13" t="str">
        <f>VLOOKUP(AA13,GroupLabels!$E$2:$H$145,3,0)</f>
        <v>Hong Kong (China) - Chinese</v>
      </c>
    </row>
    <row r="14" spans="1:28" x14ac:dyDescent="0.25">
      <c r="A14" t="s">
        <v>2993</v>
      </c>
      <c r="B14" s="33">
        <v>4</v>
      </c>
      <c r="C14" s="73">
        <v>4</v>
      </c>
      <c r="D14" s="73">
        <v>4</v>
      </c>
      <c r="E14" s="73">
        <v>4</v>
      </c>
      <c r="F14" s="73">
        <v>5</v>
      </c>
      <c r="G14" s="73">
        <v>6</v>
      </c>
      <c r="H14" s="73">
        <v>7</v>
      </c>
      <c r="I14" s="73">
        <v>7</v>
      </c>
      <c r="J14" s="73">
        <v>9</v>
      </c>
      <c r="K14" s="73">
        <v>4</v>
      </c>
      <c r="L14" s="73">
        <v>6</v>
      </c>
      <c r="M14" s="73">
        <v>4</v>
      </c>
      <c r="N14" s="73">
        <v>4</v>
      </c>
      <c r="O14" s="73">
        <v>8</v>
      </c>
      <c r="P14" s="73">
        <v>6</v>
      </c>
      <c r="Q14" s="73">
        <v>8</v>
      </c>
      <c r="R14" s="73">
        <v>14</v>
      </c>
      <c r="S14" s="73">
        <v>5</v>
      </c>
      <c r="T14" s="73">
        <v>15</v>
      </c>
      <c r="U14" s="73">
        <v>8</v>
      </c>
      <c r="V14" s="73">
        <v>5</v>
      </c>
      <c r="W14" s="73">
        <v>5</v>
      </c>
      <c r="X14" s="73">
        <v>9</v>
      </c>
      <c r="Y14" s="33"/>
      <c r="Z14" s="33"/>
      <c r="AA14" s="33" t="s">
        <v>611</v>
      </c>
      <c r="AB14" t="str">
        <f>VLOOKUP(AA14,GroupLabels!$E$2:$H$145,3,0)</f>
        <v>Hong Kong (China) - English</v>
      </c>
    </row>
    <row r="15" spans="1:28" x14ac:dyDescent="0.25">
      <c r="A15" t="s">
        <v>3122</v>
      </c>
      <c r="B15" s="33">
        <v>4</v>
      </c>
      <c r="C15" s="73">
        <v>4</v>
      </c>
      <c r="D15" s="73">
        <v>4</v>
      </c>
      <c r="E15" s="73">
        <v>4</v>
      </c>
      <c r="F15" s="73">
        <v>5</v>
      </c>
      <c r="G15" s="73">
        <v>6</v>
      </c>
      <c r="H15" s="73">
        <v>7</v>
      </c>
      <c r="I15" s="73">
        <v>7</v>
      </c>
      <c r="J15" s="73">
        <v>9</v>
      </c>
      <c r="K15" s="73">
        <v>4</v>
      </c>
      <c r="L15" s="73">
        <v>6</v>
      </c>
      <c r="M15" s="73">
        <v>4</v>
      </c>
      <c r="N15" s="73">
        <v>4</v>
      </c>
      <c r="O15" s="73">
        <v>8</v>
      </c>
      <c r="P15" s="73">
        <v>6</v>
      </c>
      <c r="Q15" s="73">
        <v>8</v>
      </c>
      <c r="R15" s="73">
        <v>14</v>
      </c>
      <c r="S15" s="73">
        <v>5</v>
      </c>
      <c r="T15" s="73">
        <v>15</v>
      </c>
      <c r="U15" s="73">
        <v>8</v>
      </c>
      <c r="V15" s="73">
        <v>5</v>
      </c>
      <c r="W15" s="73">
        <v>5</v>
      </c>
      <c r="X15" s="73">
        <v>9</v>
      </c>
      <c r="Y15" s="33"/>
      <c r="Z15" s="33"/>
      <c r="AA15" s="33" t="s">
        <v>613</v>
      </c>
      <c r="AB15" t="str">
        <f>VLOOKUP(AA15,GroupLabels!$E$2:$H$145,3,0)</f>
        <v>Iceland - Icelandic</v>
      </c>
    </row>
    <row r="16" spans="1:28" x14ac:dyDescent="0.25">
      <c r="A16" t="s">
        <v>3154</v>
      </c>
      <c r="B16" s="33">
        <v>4</v>
      </c>
      <c r="C16" s="73">
        <v>4</v>
      </c>
      <c r="D16" s="73">
        <v>4</v>
      </c>
      <c r="E16" s="73">
        <v>4</v>
      </c>
      <c r="F16" s="73">
        <v>5</v>
      </c>
      <c r="G16" s="73">
        <v>6</v>
      </c>
      <c r="H16" s="73">
        <v>7</v>
      </c>
      <c r="I16" s="73">
        <v>7</v>
      </c>
      <c r="J16" s="73">
        <v>9</v>
      </c>
      <c r="K16" s="73">
        <v>4</v>
      </c>
      <c r="L16" s="73">
        <v>6</v>
      </c>
      <c r="M16" s="73">
        <v>4</v>
      </c>
      <c r="N16" s="73">
        <v>4</v>
      </c>
      <c r="O16" s="73">
        <v>8</v>
      </c>
      <c r="P16" s="73">
        <v>6</v>
      </c>
      <c r="Q16" s="73">
        <v>8</v>
      </c>
      <c r="R16" s="73">
        <v>14</v>
      </c>
      <c r="S16" s="73">
        <v>5</v>
      </c>
      <c r="T16" s="73">
        <v>15</v>
      </c>
      <c r="U16" s="73">
        <v>8</v>
      </c>
      <c r="V16" s="73">
        <v>5</v>
      </c>
      <c r="W16" s="73">
        <v>4</v>
      </c>
      <c r="X16" s="73">
        <v>9</v>
      </c>
      <c r="Y16" s="33"/>
      <c r="Z16" s="33"/>
      <c r="AA16" s="33" t="s">
        <v>627</v>
      </c>
      <c r="AB16" t="str">
        <f>VLOOKUP(AA16,GroupLabels!$E$2:$H$145,3,0)</f>
        <v>Korea - Korean</v>
      </c>
    </row>
    <row r="17" spans="1:28" x14ac:dyDescent="0.25">
      <c r="A17" t="s">
        <v>3007</v>
      </c>
      <c r="B17" s="33">
        <v>4</v>
      </c>
      <c r="C17" s="73">
        <v>4</v>
      </c>
      <c r="D17" s="73">
        <v>4</v>
      </c>
      <c r="E17" s="73">
        <v>4</v>
      </c>
      <c r="F17" s="73">
        <v>5</v>
      </c>
      <c r="G17" s="73">
        <v>6</v>
      </c>
      <c r="H17" s="73">
        <v>7</v>
      </c>
      <c r="I17" s="73">
        <v>7</v>
      </c>
      <c r="J17" s="73">
        <v>9</v>
      </c>
      <c r="K17" s="73">
        <v>4</v>
      </c>
      <c r="L17" s="73">
        <v>6</v>
      </c>
      <c r="M17" s="73">
        <v>4</v>
      </c>
      <c r="N17" s="73">
        <v>4</v>
      </c>
      <c r="O17" s="73">
        <v>8</v>
      </c>
      <c r="P17" s="73">
        <v>6</v>
      </c>
      <c r="Q17" s="73">
        <v>8</v>
      </c>
      <c r="R17" s="73">
        <v>14</v>
      </c>
      <c r="S17" s="73">
        <v>5</v>
      </c>
      <c r="T17" s="73">
        <v>15</v>
      </c>
      <c r="U17" s="73">
        <v>8</v>
      </c>
      <c r="V17" s="73">
        <v>5</v>
      </c>
      <c r="W17" s="73">
        <v>5</v>
      </c>
      <c r="X17" s="73">
        <v>9</v>
      </c>
      <c r="Y17" s="33"/>
      <c r="Z17" s="33"/>
      <c r="AA17" s="33" t="s">
        <v>644</v>
      </c>
      <c r="AB17" t="str">
        <f>VLOOKUP(AA17,GroupLabels!$E$2:$H$145,3,0)</f>
        <v>Macao (China) - English</v>
      </c>
    </row>
    <row r="18" spans="1:28" x14ac:dyDescent="0.25">
      <c r="A18" t="s">
        <v>3200</v>
      </c>
      <c r="B18" s="33">
        <v>4</v>
      </c>
      <c r="C18" s="73">
        <v>4</v>
      </c>
      <c r="D18" s="73">
        <v>4</v>
      </c>
      <c r="E18" s="73">
        <v>4</v>
      </c>
      <c r="F18" s="73">
        <v>5</v>
      </c>
      <c r="G18" s="73">
        <v>6</v>
      </c>
      <c r="H18" s="73">
        <v>7</v>
      </c>
      <c r="I18" s="73">
        <v>7</v>
      </c>
      <c r="J18" s="73">
        <v>9</v>
      </c>
      <c r="K18" s="73">
        <v>4</v>
      </c>
      <c r="L18" s="73">
        <v>6</v>
      </c>
      <c r="M18" s="73">
        <v>4</v>
      </c>
      <c r="N18" s="73">
        <v>4</v>
      </c>
      <c r="O18" s="73">
        <v>8</v>
      </c>
      <c r="P18" s="73">
        <v>6</v>
      </c>
      <c r="Q18" s="73">
        <v>8</v>
      </c>
      <c r="R18" s="73">
        <v>14</v>
      </c>
      <c r="S18" s="73">
        <v>5</v>
      </c>
      <c r="T18" s="73">
        <v>15</v>
      </c>
      <c r="U18" s="73">
        <v>8</v>
      </c>
      <c r="V18" s="73">
        <v>5</v>
      </c>
      <c r="W18" s="73">
        <v>5</v>
      </c>
      <c r="X18" s="73">
        <v>9</v>
      </c>
      <c r="Y18" s="33"/>
      <c r="Z18" s="33"/>
      <c r="AA18" s="33" t="s">
        <v>645</v>
      </c>
      <c r="AB18" t="str">
        <f>VLOOKUP(AA18,GroupLabels!$E$2:$H$145,3,0)</f>
        <v>Macao (China) - Portuguese</v>
      </c>
    </row>
    <row r="19" spans="1:28" x14ac:dyDescent="0.25">
      <c r="A19" t="s">
        <v>3279</v>
      </c>
      <c r="B19" s="33">
        <v>4</v>
      </c>
      <c r="C19" s="73">
        <v>4</v>
      </c>
      <c r="D19" s="73">
        <v>4</v>
      </c>
      <c r="E19" s="73">
        <v>4</v>
      </c>
      <c r="F19" s="73">
        <v>5</v>
      </c>
      <c r="G19" s="73">
        <v>6</v>
      </c>
      <c r="H19" s="73">
        <v>7</v>
      </c>
      <c r="I19" s="73">
        <v>7</v>
      </c>
      <c r="J19" s="73">
        <v>9</v>
      </c>
      <c r="K19" s="73">
        <v>4</v>
      </c>
      <c r="L19" s="73">
        <v>6</v>
      </c>
      <c r="M19" s="73">
        <v>4</v>
      </c>
      <c r="N19" s="73">
        <v>4</v>
      </c>
      <c r="O19" s="73">
        <v>8</v>
      </c>
      <c r="P19" s="73">
        <v>6</v>
      </c>
      <c r="Q19" s="73">
        <v>8</v>
      </c>
      <c r="R19" s="73">
        <v>14</v>
      </c>
      <c r="S19" s="73">
        <v>5</v>
      </c>
      <c r="T19" s="73">
        <v>15</v>
      </c>
      <c r="U19" s="73">
        <v>8</v>
      </c>
      <c r="V19" s="73">
        <v>5</v>
      </c>
      <c r="W19" s="73">
        <v>5</v>
      </c>
      <c r="X19" s="73">
        <v>9</v>
      </c>
      <c r="Y19" s="33"/>
      <c r="Z19" s="33"/>
      <c r="AA19" s="33" t="s">
        <v>646</v>
      </c>
      <c r="AB19" t="str">
        <f>VLOOKUP(AA19,GroupLabels!$E$2:$H$145,3,0)</f>
        <v>Macao (China) - Chinese</v>
      </c>
    </row>
    <row r="20" spans="1:28" x14ac:dyDescent="0.25">
      <c r="A20" t="s">
        <v>3013</v>
      </c>
      <c r="B20" s="33">
        <v>4</v>
      </c>
      <c r="C20" s="73">
        <v>4</v>
      </c>
      <c r="D20" s="73">
        <v>4</v>
      </c>
      <c r="E20" s="73">
        <v>4</v>
      </c>
      <c r="F20" s="73">
        <v>5</v>
      </c>
      <c r="G20" s="73">
        <v>6</v>
      </c>
      <c r="H20" s="73">
        <v>7</v>
      </c>
      <c r="I20" s="73">
        <v>7</v>
      </c>
      <c r="J20" s="73">
        <v>9</v>
      </c>
      <c r="K20" s="73">
        <v>4</v>
      </c>
      <c r="L20" s="73">
        <v>6</v>
      </c>
      <c r="M20" s="73">
        <v>4</v>
      </c>
      <c r="N20" s="73">
        <v>4</v>
      </c>
      <c r="O20" s="73">
        <v>8</v>
      </c>
      <c r="P20" s="73">
        <v>6</v>
      </c>
      <c r="Q20" s="73">
        <v>8</v>
      </c>
      <c r="R20" s="73">
        <v>14</v>
      </c>
      <c r="S20" s="73">
        <v>5</v>
      </c>
      <c r="T20" s="73">
        <v>15</v>
      </c>
      <c r="U20" s="73">
        <v>8</v>
      </c>
      <c r="V20" s="73">
        <v>5</v>
      </c>
      <c r="W20" s="73">
        <v>5</v>
      </c>
      <c r="X20" s="73">
        <v>9</v>
      </c>
      <c r="Y20" s="33"/>
      <c r="Z20" s="33"/>
      <c r="AA20" s="33" t="s">
        <v>649</v>
      </c>
      <c r="AB20" t="str">
        <f>VLOOKUP(AA20,GroupLabels!$E$2:$H$145,3,0)</f>
        <v>Malaysia - English</v>
      </c>
    </row>
    <row r="21" spans="1:28" x14ac:dyDescent="0.25">
      <c r="A21" t="s">
        <v>3179</v>
      </c>
      <c r="B21" s="33">
        <v>4</v>
      </c>
      <c r="C21" s="73">
        <v>4</v>
      </c>
      <c r="D21" s="73">
        <v>4</v>
      </c>
      <c r="E21" s="73">
        <v>4</v>
      </c>
      <c r="F21" s="73">
        <v>5</v>
      </c>
      <c r="G21" s="73">
        <v>6</v>
      </c>
      <c r="H21" s="73">
        <v>7</v>
      </c>
      <c r="I21" s="73">
        <v>7</v>
      </c>
      <c r="J21" s="73">
        <v>9</v>
      </c>
      <c r="K21" s="73">
        <v>4</v>
      </c>
      <c r="L21" s="73">
        <v>6</v>
      </c>
      <c r="M21" s="73">
        <v>4</v>
      </c>
      <c r="N21" s="73">
        <v>4</v>
      </c>
      <c r="O21" s="73">
        <v>8</v>
      </c>
      <c r="P21" s="73">
        <v>6</v>
      </c>
      <c r="Q21" s="73">
        <v>8</v>
      </c>
      <c r="R21" s="73">
        <v>14</v>
      </c>
      <c r="S21" s="73">
        <v>5</v>
      </c>
      <c r="T21" s="73">
        <v>14</v>
      </c>
      <c r="U21" s="73">
        <v>8</v>
      </c>
      <c r="V21" s="73">
        <v>4</v>
      </c>
      <c r="W21" s="73">
        <v>4</v>
      </c>
      <c r="X21" s="73">
        <v>9</v>
      </c>
      <c r="Y21" s="33"/>
      <c r="Z21" s="33"/>
      <c r="AA21" s="33" t="s">
        <v>650</v>
      </c>
      <c r="AB21" t="str">
        <f>VLOOKUP(AA21,GroupLabels!$E$2:$H$145,3,0)</f>
        <v>Malaysia - Malay</v>
      </c>
    </row>
    <row r="22" spans="1:28" x14ac:dyDescent="0.25">
      <c r="A22" t="s">
        <v>3175</v>
      </c>
      <c r="B22" s="33">
        <v>4</v>
      </c>
      <c r="C22" s="73">
        <v>4</v>
      </c>
      <c r="D22" s="73">
        <v>4</v>
      </c>
      <c r="E22" s="73">
        <v>4</v>
      </c>
      <c r="F22" s="73">
        <v>5</v>
      </c>
      <c r="G22" s="73">
        <v>6</v>
      </c>
      <c r="H22" s="73">
        <v>7</v>
      </c>
      <c r="I22" s="73">
        <v>7</v>
      </c>
      <c r="J22" s="73">
        <v>9</v>
      </c>
      <c r="K22" s="73">
        <v>4</v>
      </c>
      <c r="L22" s="73">
        <v>6</v>
      </c>
      <c r="M22" s="73">
        <v>4</v>
      </c>
      <c r="N22" s="73">
        <v>4</v>
      </c>
      <c r="O22" s="73">
        <v>8</v>
      </c>
      <c r="P22" s="73">
        <v>6</v>
      </c>
      <c r="Q22" s="73">
        <v>8</v>
      </c>
      <c r="R22" s="73">
        <v>14</v>
      </c>
      <c r="S22" s="73">
        <v>5</v>
      </c>
      <c r="T22" s="73">
        <v>15</v>
      </c>
      <c r="U22" s="73">
        <v>8</v>
      </c>
      <c r="V22" s="73">
        <v>5</v>
      </c>
      <c r="W22" s="73">
        <v>5</v>
      </c>
      <c r="X22" s="73">
        <v>8</v>
      </c>
      <c r="Y22" s="33"/>
      <c r="Z22" s="33"/>
      <c r="AA22" s="33" t="s">
        <v>657</v>
      </c>
      <c r="AB22" t="str">
        <f>VLOOKUP(AA22,GroupLabels!$E$2:$H$145,3,0)</f>
        <v>Mongolia - Mongolian</v>
      </c>
    </row>
    <row r="23" spans="1:28" x14ac:dyDescent="0.25">
      <c r="A23" t="s">
        <v>2906</v>
      </c>
      <c r="B23" s="33">
        <v>4</v>
      </c>
      <c r="C23" s="73">
        <v>4</v>
      </c>
      <c r="D23" s="73">
        <v>4</v>
      </c>
      <c r="E23" s="73">
        <v>4</v>
      </c>
      <c r="F23" s="73">
        <v>5</v>
      </c>
      <c r="G23" s="73">
        <v>6</v>
      </c>
      <c r="H23" s="73">
        <v>7</v>
      </c>
      <c r="I23" s="73">
        <v>7</v>
      </c>
      <c r="J23" s="73">
        <v>9</v>
      </c>
      <c r="K23" s="73">
        <v>4</v>
      </c>
      <c r="L23" s="73">
        <v>6</v>
      </c>
      <c r="M23" s="73">
        <v>4</v>
      </c>
      <c r="N23" s="73">
        <v>4</v>
      </c>
      <c r="O23" s="73">
        <v>8</v>
      </c>
      <c r="P23" s="73">
        <v>6</v>
      </c>
      <c r="Q23" s="73">
        <v>8</v>
      </c>
      <c r="R23" s="73">
        <v>14</v>
      </c>
      <c r="S23" s="73">
        <v>5</v>
      </c>
      <c r="T23" s="73">
        <v>15</v>
      </c>
      <c r="U23" s="73">
        <v>8</v>
      </c>
      <c r="V23" s="73">
        <v>5</v>
      </c>
      <c r="W23" s="73">
        <v>5</v>
      </c>
      <c r="X23" s="73">
        <v>8</v>
      </c>
      <c r="Y23" s="33"/>
      <c r="Z23" s="33"/>
      <c r="AA23" s="33" t="s">
        <v>660</v>
      </c>
      <c r="AB23" t="str">
        <f>VLOOKUP(AA23,GroupLabels!$E$2:$H$145,3,0)</f>
        <v>Morocco - Arabic</v>
      </c>
    </row>
    <row r="24" spans="1:28" x14ac:dyDescent="0.25">
      <c r="A24" t="s">
        <v>3187</v>
      </c>
      <c r="B24" s="33">
        <v>4</v>
      </c>
      <c r="C24" s="73">
        <v>4</v>
      </c>
      <c r="D24" s="73">
        <v>4</v>
      </c>
      <c r="E24" s="73">
        <v>4</v>
      </c>
      <c r="F24" s="73">
        <v>5</v>
      </c>
      <c r="G24" s="73">
        <v>6</v>
      </c>
      <c r="H24" s="73">
        <v>7</v>
      </c>
      <c r="I24" s="73">
        <v>7</v>
      </c>
      <c r="J24" s="73">
        <v>9</v>
      </c>
      <c r="K24" s="73">
        <v>4</v>
      </c>
      <c r="L24" s="73">
        <v>6</v>
      </c>
      <c r="M24" s="73">
        <v>4</v>
      </c>
      <c r="N24" s="73">
        <v>4</v>
      </c>
      <c r="O24" s="73">
        <v>8</v>
      </c>
      <c r="P24" s="73">
        <v>6</v>
      </c>
      <c r="Q24" s="73">
        <v>8</v>
      </c>
      <c r="R24" s="73">
        <v>14</v>
      </c>
      <c r="S24" s="73">
        <v>5</v>
      </c>
      <c r="T24" s="73">
        <v>15</v>
      </c>
      <c r="U24" s="73">
        <v>7</v>
      </c>
      <c r="V24" s="73">
        <v>5</v>
      </c>
      <c r="W24" s="73">
        <v>5</v>
      </c>
      <c r="X24" s="73">
        <v>9</v>
      </c>
      <c r="Y24" s="33"/>
      <c r="Z24" s="33"/>
      <c r="AA24" s="33" t="s">
        <v>661</v>
      </c>
      <c r="AB24" t="str">
        <f>VLOOKUP(AA24,GroupLabels!$E$2:$H$145,3,0)</f>
        <v>Netherlands - Dutch</v>
      </c>
    </row>
    <row r="25" spans="1:28" x14ac:dyDescent="0.25">
      <c r="A25" t="s">
        <v>3056</v>
      </c>
      <c r="B25" s="33">
        <v>4</v>
      </c>
      <c r="C25" s="73">
        <v>4</v>
      </c>
      <c r="D25" s="73">
        <v>4</v>
      </c>
      <c r="E25" s="73">
        <v>4</v>
      </c>
      <c r="F25" s="73">
        <v>5</v>
      </c>
      <c r="G25" s="73">
        <v>6</v>
      </c>
      <c r="H25" s="73">
        <v>7</v>
      </c>
      <c r="I25" s="73">
        <v>7</v>
      </c>
      <c r="J25" s="73">
        <v>9</v>
      </c>
      <c r="K25" s="73">
        <v>4</v>
      </c>
      <c r="L25" s="73">
        <v>6</v>
      </c>
      <c r="M25" s="73">
        <v>4</v>
      </c>
      <c r="N25" s="73">
        <v>4</v>
      </c>
      <c r="O25" s="73">
        <v>8</v>
      </c>
      <c r="P25" s="73">
        <v>6</v>
      </c>
      <c r="Q25" s="73">
        <v>8</v>
      </c>
      <c r="R25" s="73">
        <v>14</v>
      </c>
      <c r="S25" s="73">
        <v>5</v>
      </c>
      <c r="T25" s="73">
        <v>15</v>
      </c>
      <c r="U25" s="73">
        <v>8</v>
      </c>
      <c r="V25" s="73">
        <v>5</v>
      </c>
      <c r="W25" s="73">
        <v>5</v>
      </c>
      <c r="X25" s="73">
        <v>9</v>
      </c>
      <c r="Y25" s="33"/>
      <c r="Z25" s="33"/>
      <c r="AA25" s="33" t="s">
        <v>668</v>
      </c>
      <c r="AB25" t="str">
        <f>VLOOKUP(AA25,GroupLabels!$E$2:$H$145,3,0)</f>
        <v>Peru - Spanish</v>
      </c>
    </row>
    <row r="26" spans="1:28" x14ac:dyDescent="0.25">
      <c r="A26" t="s">
        <v>2912</v>
      </c>
      <c r="B26" s="33">
        <v>4</v>
      </c>
      <c r="C26" s="73">
        <v>4</v>
      </c>
      <c r="D26" s="73">
        <v>4</v>
      </c>
      <c r="E26" s="73">
        <v>4</v>
      </c>
      <c r="F26" s="73">
        <v>5</v>
      </c>
      <c r="G26" s="73">
        <v>6</v>
      </c>
      <c r="H26" s="73">
        <v>7</v>
      </c>
      <c r="I26" s="73">
        <v>7</v>
      </c>
      <c r="J26" s="73">
        <v>9</v>
      </c>
      <c r="K26" s="73">
        <v>4</v>
      </c>
      <c r="L26" s="73">
        <v>6</v>
      </c>
      <c r="M26" s="73">
        <v>4</v>
      </c>
      <c r="N26" s="73">
        <v>4</v>
      </c>
      <c r="O26" s="73">
        <v>8</v>
      </c>
      <c r="P26" s="73">
        <v>6</v>
      </c>
      <c r="Q26" s="73">
        <v>8</v>
      </c>
      <c r="R26" s="73">
        <v>14</v>
      </c>
      <c r="S26" s="73">
        <v>5</v>
      </c>
      <c r="T26" s="73">
        <v>15</v>
      </c>
      <c r="U26" s="73">
        <v>8</v>
      </c>
      <c r="V26" s="73">
        <v>5</v>
      </c>
      <c r="W26" s="73">
        <v>5</v>
      </c>
      <c r="X26" s="73">
        <v>9</v>
      </c>
      <c r="Y26" s="33"/>
      <c r="Z26" s="33"/>
      <c r="AA26" s="33" t="s">
        <v>672</v>
      </c>
      <c r="AB26" t="str">
        <f>VLOOKUP(AA26,GroupLabels!$E$2:$H$145,3,0)</f>
        <v>Qatar - Arabic</v>
      </c>
    </row>
    <row r="27" spans="1:28" x14ac:dyDescent="0.25">
      <c r="A27" t="s">
        <v>3020</v>
      </c>
      <c r="B27" s="33">
        <v>4</v>
      </c>
      <c r="C27" s="73">
        <v>4</v>
      </c>
      <c r="D27" s="73">
        <v>4</v>
      </c>
      <c r="E27" s="73">
        <v>4</v>
      </c>
      <c r="F27" s="73">
        <v>5</v>
      </c>
      <c r="G27" s="73">
        <v>6</v>
      </c>
      <c r="H27" s="73">
        <v>7</v>
      </c>
      <c r="I27" s="73">
        <v>7</v>
      </c>
      <c r="J27" s="73">
        <v>9</v>
      </c>
      <c r="K27" s="73">
        <v>4</v>
      </c>
      <c r="L27" s="73">
        <v>6</v>
      </c>
      <c r="M27" s="73">
        <v>4</v>
      </c>
      <c r="N27" s="73">
        <v>4</v>
      </c>
      <c r="O27" s="73">
        <v>8</v>
      </c>
      <c r="P27" s="73">
        <v>6</v>
      </c>
      <c r="Q27" s="73">
        <v>8</v>
      </c>
      <c r="R27" s="73">
        <v>14</v>
      </c>
      <c r="S27" s="73">
        <v>5</v>
      </c>
      <c r="T27" s="73">
        <v>15</v>
      </c>
      <c r="U27" s="73">
        <v>8</v>
      </c>
      <c r="V27" s="73">
        <v>5</v>
      </c>
      <c r="W27" s="73">
        <v>5</v>
      </c>
      <c r="X27" s="73">
        <v>9</v>
      </c>
      <c r="Y27" s="33"/>
      <c r="Z27" s="33"/>
      <c r="AA27" s="33" t="s">
        <v>673</v>
      </c>
      <c r="AB27" t="str">
        <f>VLOOKUP(AA27,GroupLabels!$E$2:$H$145,3,0)</f>
        <v>Qatar - English</v>
      </c>
    </row>
    <row r="28" spans="1:28" x14ac:dyDescent="0.25">
      <c r="A28" t="s">
        <v>3207</v>
      </c>
      <c r="B28" s="33">
        <v>4</v>
      </c>
      <c r="C28" s="73">
        <v>4</v>
      </c>
      <c r="D28" s="73">
        <v>4</v>
      </c>
      <c r="E28" s="73">
        <v>4</v>
      </c>
      <c r="F28" s="73">
        <v>5</v>
      </c>
      <c r="G28" s="73">
        <v>6</v>
      </c>
      <c r="H28" s="73">
        <v>7</v>
      </c>
      <c r="I28" s="73">
        <v>7</v>
      </c>
      <c r="J28" s="73">
        <v>9</v>
      </c>
      <c r="K28" s="73">
        <v>4</v>
      </c>
      <c r="L28" s="73">
        <v>6</v>
      </c>
      <c r="M28" s="73">
        <v>4</v>
      </c>
      <c r="N28" s="73">
        <v>4</v>
      </c>
      <c r="O28" s="73">
        <v>8</v>
      </c>
      <c r="P28" s="73">
        <v>6</v>
      </c>
      <c r="Q28" s="73">
        <v>8</v>
      </c>
      <c r="R28" s="73">
        <v>14</v>
      </c>
      <c r="S28" s="73">
        <v>5</v>
      </c>
      <c r="T28" s="73">
        <v>15</v>
      </c>
      <c r="U28" s="73">
        <v>8</v>
      </c>
      <c r="V28" s="73">
        <v>5</v>
      </c>
      <c r="W28" s="73">
        <v>4</v>
      </c>
      <c r="X28" s="73">
        <v>9</v>
      </c>
      <c r="Y28" s="33"/>
      <c r="Z28" s="33"/>
      <c r="AA28" s="33" t="s">
        <v>675</v>
      </c>
      <c r="AB28" t="str">
        <f>VLOOKUP(AA28,GroupLabels!$E$2:$H$145,3,0)</f>
        <v>Romania - Romanian</v>
      </c>
    </row>
    <row r="29" spans="1:28" x14ac:dyDescent="0.25">
      <c r="A29" s="3" t="s">
        <v>3282</v>
      </c>
      <c r="B29" s="40">
        <v>4</v>
      </c>
      <c r="C29" s="75">
        <v>4</v>
      </c>
      <c r="D29" s="75">
        <v>4</v>
      </c>
      <c r="E29" s="75">
        <v>4</v>
      </c>
      <c r="F29" s="75">
        <v>5</v>
      </c>
      <c r="G29" s="75">
        <v>6</v>
      </c>
      <c r="H29" s="75">
        <v>7</v>
      </c>
      <c r="I29" s="75">
        <v>7</v>
      </c>
      <c r="J29" s="75">
        <v>9</v>
      </c>
      <c r="K29" s="75">
        <v>4</v>
      </c>
      <c r="L29" s="75">
        <v>6</v>
      </c>
      <c r="M29" s="75">
        <v>4</v>
      </c>
      <c r="N29" s="75">
        <v>4</v>
      </c>
      <c r="O29" s="75">
        <v>8</v>
      </c>
      <c r="P29" s="75">
        <v>6</v>
      </c>
      <c r="Q29" s="75">
        <v>8</v>
      </c>
      <c r="R29" s="75">
        <v>14</v>
      </c>
      <c r="S29" s="75">
        <v>5</v>
      </c>
      <c r="T29" s="75">
        <v>15</v>
      </c>
      <c r="U29" s="75">
        <v>8</v>
      </c>
      <c r="V29" s="75">
        <v>5</v>
      </c>
      <c r="W29" s="75">
        <v>5</v>
      </c>
      <c r="X29" s="75">
        <v>9</v>
      </c>
      <c r="Y29" s="33"/>
      <c r="Z29" s="33"/>
      <c r="AA29" s="33" t="s">
        <v>693</v>
      </c>
      <c r="AB29" t="str">
        <f>VLOOKUP(AA29,GroupLabels!$E$2:$H$145,3,0)</f>
        <v>Chinese Taipei - Chinese</v>
      </c>
    </row>
  </sheetData>
  <sheetProtection formatColumns="0" formatRows="0"/>
  <sortState xmlns:xlrd2="http://schemas.microsoft.com/office/spreadsheetml/2017/richdata2" ref="A7:AB28">
    <sortCondition ref="A7:A28"/>
  </sortState>
  <hyperlinks>
    <hyperlink ref="A1" location="TOC!A1" display="Table of Contents" xr:uid="{2B6B6F4D-A4F0-43B8-9E56-F1952F2BF90B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9"/>
  <dimension ref="A1:AB3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1.7109375" customWidth="1"/>
    <col min="2" max="9" width="9.140625" style="8" customWidth="1"/>
    <col min="27" max="28" width="0" hidden="1"/>
  </cols>
  <sheetData>
    <row r="1" spans="1:28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x14ac:dyDescent="0.25">
      <c r="A3" s="34" t="s">
        <v>208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x14ac:dyDescent="0.25">
      <c r="A4" s="111" t="s">
        <v>209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65" t="s">
        <v>566</v>
      </c>
      <c r="B6" s="79" t="s">
        <v>401</v>
      </c>
      <c r="C6" s="79" t="s">
        <v>358</v>
      </c>
      <c r="D6" s="79" t="s">
        <v>359</v>
      </c>
      <c r="E6" s="79" t="s">
        <v>360</v>
      </c>
      <c r="F6" s="79" t="s">
        <v>361</v>
      </c>
      <c r="G6" s="79" t="s">
        <v>362</v>
      </c>
      <c r="H6" s="79" t="s">
        <v>363</v>
      </c>
      <c r="I6" s="79" t="s">
        <v>364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x14ac:dyDescent="0.25">
      <c r="A7" t="s">
        <v>2982</v>
      </c>
      <c r="B7" s="73">
        <v>2</v>
      </c>
      <c r="C7" s="73">
        <v>11</v>
      </c>
      <c r="D7" s="73">
        <v>4</v>
      </c>
      <c r="E7" s="73">
        <v>4</v>
      </c>
      <c r="F7" s="73">
        <v>4</v>
      </c>
      <c r="G7" s="73">
        <v>4</v>
      </c>
      <c r="H7" s="73">
        <v>4</v>
      </c>
      <c r="I7" s="73">
        <v>4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 t="s">
        <v>570</v>
      </c>
      <c r="AB7" t="str">
        <f>VLOOKUP(AA7,GroupLabels!$E$2:$H$145,3,0)</f>
        <v>Australia - English</v>
      </c>
    </row>
    <row r="8" spans="1:28" x14ac:dyDescent="0.25">
      <c r="A8" t="s">
        <v>2985</v>
      </c>
      <c r="B8" s="73">
        <v>2</v>
      </c>
      <c r="C8" s="73">
        <v>11</v>
      </c>
      <c r="D8" s="73">
        <v>4</v>
      </c>
      <c r="E8" s="73">
        <v>4</v>
      </c>
      <c r="F8" s="73">
        <v>4</v>
      </c>
      <c r="G8" s="73">
        <v>4</v>
      </c>
      <c r="H8" s="73">
        <v>4</v>
      </c>
      <c r="I8" s="73">
        <v>4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 t="s">
        <v>578</v>
      </c>
      <c r="AB8" t="str">
        <f>VLOOKUP(AA8,GroupLabels!$E$2:$H$145,3,0)</f>
        <v>Brunei Darussalam - English</v>
      </c>
    </row>
    <row r="9" spans="1:28" x14ac:dyDescent="0.25">
      <c r="A9" t="s">
        <v>3044</v>
      </c>
      <c r="B9" s="73">
        <v>2</v>
      </c>
      <c r="C9" s="73">
        <v>11</v>
      </c>
      <c r="D9" s="73">
        <v>4</v>
      </c>
      <c r="E9" s="73">
        <v>4</v>
      </c>
      <c r="F9" s="73">
        <v>4</v>
      </c>
      <c r="G9" s="73">
        <v>4</v>
      </c>
      <c r="H9" s="73">
        <v>4</v>
      </c>
      <c r="I9" s="73">
        <v>4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 t="s">
        <v>594</v>
      </c>
      <c r="AB9" t="str">
        <f>VLOOKUP(AA9,GroupLabels!$E$2:$H$145,3,0)</f>
        <v>Dominican Republic - Spanish</v>
      </c>
    </row>
    <row r="10" spans="1:28" x14ac:dyDescent="0.25">
      <c r="A10" t="s">
        <v>2920</v>
      </c>
      <c r="B10" s="73">
        <v>2</v>
      </c>
      <c r="C10" s="73">
        <v>11</v>
      </c>
      <c r="D10" s="73">
        <v>4</v>
      </c>
      <c r="E10" s="73">
        <v>4</v>
      </c>
      <c r="F10" s="73">
        <v>4</v>
      </c>
      <c r="G10" s="73">
        <v>4</v>
      </c>
      <c r="H10" s="73">
        <v>4</v>
      </c>
      <c r="I10" s="73">
        <v>4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 t="s">
        <v>604</v>
      </c>
      <c r="AB10" t="str">
        <f>VLOOKUP(AA10,GroupLabels!$E$2:$H$145,3,0)</f>
        <v>Georgia - Azerbaijani</v>
      </c>
    </row>
    <row r="11" spans="1:28" x14ac:dyDescent="0.25">
      <c r="A11" t="s">
        <v>3136</v>
      </c>
      <c r="B11" s="73">
        <v>2</v>
      </c>
      <c r="C11" s="73">
        <v>11</v>
      </c>
      <c r="D11" s="73">
        <v>4</v>
      </c>
      <c r="E11" s="73">
        <v>4</v>
      </c>
      <c r="F11" s="73">
        <v>4</v>
      </c>
      <c r="G11" s="73">
        <v>4</v>
      </c>
      <c r="H11" s="73">
        <v>4</v>
      </c>
      <c r="I11" s="73">
        <v>4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605</v>
      </c>
      <c r="AB11" t="str">
        <f>VLOOKUP(AA11,GroupLabels!$E$2:$H$145,3,0)</f>
        <v>Georgia - Georgian</v>
      </c>
    </row>
    <row r="12" spans="1:28" x14ac:dyDescent="0.25">
      <c r="A12" t="s">
        <v>3211</v>
      </c>
      <c r="B12" s="73">
        <v>2</v>
      </c>
      <c r="C12" s="73">
        <v>11</v>
      </c>
      <c r="D12" s="73">
        <v>4</v>
      </c>
      <c r="E12" s="73">
        <v>4</v>
      </c>
      <c r="F12" s="73">
        <v>4</v>
      </c>
      <c r="G12" s="73">
        <v>4</v>
      </c>
      <c r="H12" s="73">
        <v>4</v>
      </c>
      <c r="I12" s="73">
        <v>4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606</v>
      </c>
      <c r="AB12" t="str">
        <f>VLOOKUP(AA12,GroupLabels!$E$2:$H$145,3,0)</f>
        <v>Georgia - Russian</v>
      </c>
    </row>
    <row r="13" spans="1:28" x14ac:dyDescent="0.25">
      <c r="A13" t="s">
        <v>767</v>
      </c>
      <c r="B13" s="73">
        <v>2</v>
      </c>
      <c r="C13" s="73">
        <v>11</v>
      </c>
      <c r="D13" s="73">
        <v>4</v>
      </c>
      <c r="E13" s="73">
        <v>4</v>
      </c>
      <c r="F13" s="73">
        <v>4</v>
      </c>
      <c r="G13" s="73">
        <v>4</v>
      </c>
      <c r="H13" s="73">
        <v>4</v>
      </c>
      <c r="I13" s="73">
        <v>4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607</v>
      </c>
      <c r="AB13" t="str">
        <f>VLOOKUP(AA13,GroupLabels!$E$2:$H$145,3,0)</f>
        <v>Germany - German</v>
      </c>
    </row>
    <row r="14" spans="1:28" x14ac:dyDescent="0.25">
      <c r="A14" t="s">
        <v>3278</v>
      </c>
      <c r="B14" s="73">
        <v>2</v>
      </c>
      <c r="C14" s="73">
        <v>11</v>
      </c>
      <c r="D14" s="73">
        <v>4</v>
      </c>
      <c r="E14" s="73">
        <v>4</v>
      </c>
      <c r="F14" s="73">
        <v>4</v>
      </c>
      <c r="G14" s="73">
        <v>4</v>
      </c>
      <c r="H14" s="73">
        <v>4</v>
      </c>
      <c r="I14" s="73">
        <v>4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 t="s">
        <v>610</v>
      </c>
      <c r="AB14" t="str">
        <f>VLOOKUP(AA14,GroupLabels!$E$2:$H$145,3,0)</f>
        <v>Hong Kong (China) - Chinese</v>
      </c>
    </row>
    <row r="15" spans="1:28" x14ac:dyDescent="0.25">
      <c r="A15" t="s">
        <v>2993</v>
      </c>
      <c r="B15" s="73">
        <v>2</v>
      </c>
      <c r="C15" s="73">
        <v>11</v>
      </c>
      <c r="D15" s="73">
        <v>4</v>
      </c>
      <c r="E15" s="73">
        <v>4</v>
      </c>
      <c r="F15" s="73">
        <v>4</v>
      </c>
      <c r="G15" s="73">
        <v>4</v>
      </c>
      <c r="H15" s="73">
        <v>4</v>
      </c>
      <c r="I15" s="73">
        <v>4</v>
      </c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 t="s">
        <v>611</v>
      </c>
      <c r="AB15" t="str">
        <f>VLOOKUP(AA15,GroupLabels!$E$2:$H$145,3,0)</f>
        <v>Hong Kong (China) - English</v>
      </c>
    </row>
    <row r="16" spans="1:28" x14ac:dyDescent="0.25">
      <c r="A16" t="s">
        <v>3122</v>
      </c>
      <c r="B16" s="73">
        <v>2</v>
      </c>
      <c r="C16" s="73">
        <v>11</v>
      </c>
      <c r="D16" s="73">
        <v>4</v>
      </c>
      <c r="E16" s="73">
        <v>4</v>
      </c>
      <c r="F16" s="73">
        <v>4</v>
      </c>
      <c r="G16" s="73">
        <v>4</v>
      </c>
      <c r="H16" s="73">
        <v>4</v>
      </c>
      <c r="I16" s="73">
        <v>4</v>
      </c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 t="s">
        <v>613</v>
      </c>
      <c r="AB16" t="str">
        <f>VLOOKUP(AA16,GroupLabels!$E$2:$H$145,3,0)</f>
        <v>Iceland - Icelandic</v>
      </c>
    </row>
    <row r="17" spans="1:28" x14ac:dyDescent="0.25">
      <c r="A17" t="s">
        <v>3154</v>
      </c>
      <c r="B17" s="73">
        <v>2</v>
      </c>
      <c r="C17" s="73">
        <v>11</v>
      </c>
      <c r="D17" s="73">
        <v>4</v>
      </c>
      <c r="E17" s="73">
        <v>4</v>
      </c>
      <c r="F17" s="73">
        <v>4</v>
      </c>
      <c r="G17" s="73">
        <v>4</v>
      </c>
      <c r="H17" s="73">
        <v>4</v>
      </c>
      <c r="I17" s="73">
        <v>4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 t="s">
        <v>627</v>
      </c>
      <c r="AB17" t="str">
        <f>VLOOKUP(AA17,GroupLabels!$E$2:$H$145,3,0)</f>
        <v>Korea - Korean</v>
      </c>
    </row>
    <row r="18" spans="1:28" x14ac:dyDescent="0.25">
      <c r="A18" t="s">
        <v>3007</v>
      </c>
      <c r="B18" s="73">
        <v>2</v>
      </c>
      <c r="C18" s="73">
        <v>11</v>
      </c>
      <c r="D18" s="73">
        <v>4</v>
      </c>
      <c r="E18" s="73">
        <v>4</v>
      </c>
      <c r="F18" s="73">
        <v>4</v>
      </c>
      <c r="G18" s="73">
        <v>4</v>
      </c>
      <c r="H18" s="73">
        <v>4</v>
      </c>
      <c r="I18" s="73">
        <v>4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 t="s">
        <v>644</v>
      </c>
      <c r="AB18" t="str">
        <f>VLOOKUP(AA18,GroupLabels!$E$2:$H$145,3,0)</f>
        <v>Macao (China) - English</v>
      </c>
    </row>
    <row r="19" spans="1:28" x14ac:dyDescent="0.25">
      <c r="A19" t="s">
        <v>3200</v>
      </c>
      <c r="B19" s="73">
        <v>2</v>
      </c>
      <c r="C19" s="73">
        <v>11</v>
      </c>
      <c r="D19" s="73">
        <v>4</v>
      </c>
      <c r="E19" s="73">
        <v>4</v>
      </c>
      <c r="F19" s="73">
        <v>4</v>
      </c>
      <c r="G19" s="73">
        <v>4</v>
      </c>
      <c r="H19" s="73">
        <v>4</v>
      </c>
      <c r="I19" s="73">
        <v>4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 t="s">
        <v>645</v>
      </c>
      <c r="AB19" t="str">
        <f>VLOOKUP(AA19,GroupLabels!$E$2:$H$145,3,0)</f>
        <v>Macao (China) - Portuguese</v>
      </c>
    </row>
    <row r="20" spans="1:28" x14ac:dyDescent="0.25">
      <c r="A20" t="s">
        <v>3279</v>
      </c>
      <c r="B20" s="73">
        <v>2</v>
      </c>
      <c r="C20" s="73">
        <v>11</v>
      </c>
      <c r="D20" s="73">
        <v>4</v>
      </c>
      <c r="E20" s="73">
        <v>4</v>
      </c>
      <c r="F20" s="73">
        <v>4</v>
      </c>
      <c r="G20" s="73">
        <v>4</v>
      </c>
      <c r="H20" s="73">
        <v>4</v>
      </c>
      <c r="I20" s="73">
        <v>4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 t="s">
        <v>646</v>
      </c>
      <c r="AB20" t="str">
        <f>VLOOKUP(AA20,GroupLabels!$E$2:$H$145,3,0)</f>
        <v>Macao (China) - Chinese</v>
      </c>
    </row>
    <row r="21" spans="1:28" x14ac:dyDescent="0.25">
      <c r="A21" t="s">
        <v>3013</v>
      </c>
      <c r="B21" s="73">
        <v>2</v>
      </c>
      <c r="C21" s="73">
        <v>11</v>
      </c>
      <c r="D21" s="73">
        <v>4</v>
      </c>
      <c r="E21" s="73">
        <v>4</v>
      </c>
      <c r="F21" s="73">
        <v>4</v>
      </c>
      <c r="G21" s="73">
        <v>4</v>
      </c>
      <c r="H21" s="73">
        <v>4</v>
      </c>
      <c r="I21" s="73">
        <v>4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 t="s">
        <v>649</v>
      </c>
      <c r="AB21" t="str">
        <f>VLOOKUP(AA21,GroupLabels!$E$2:$H$145,3,0)</f>
        <v>Malaysia - English</v>
      </c>
    </row>
    <row r="22" spans="1:28" x14ac:dyDescent="0.25">
      <c r="A22" t="s">
        <v>3179</v>
      </c>
      <c r="B22" s="73">
        <v>2</v>
      </c>
      <c r="C22" s="73">
        <v>10</v>
      </c>
      <c r="D22" s="73">
        <v>4</v>
      </c>
      <c r="E22" s="73">
        <v>4</v>
      </c>
      <c r="F22" s="73">
        <v>4</v>
      </c>
      <c r="G22" s="73">
        <v>4</v>
      </c>
      <c r="H22" s="73">
        <v>4</v>
      </c>
      <c r="I22" s="73">
        <v>4</v>
      </c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 t="s">
        <v>650</v>
      </c>
      <c r="AB22" t="str">
        <f>VLOOKUP(AA22,GroupLabels!$E$2:$H$145,3,0)</f>
        <v>Malaysia - Malay</v>
      </c>
    </row>
    <row r="23" spans="1:28" x14ac:dyDescent="0.25">
      <c r="A23" t="s">
        <v>3175</v>
      </c>
      <c r="B23" s="73">
        <v>2</v>
      </c>
      <c r="C23" s="73">
        <v>11</v>
      </c>
      <c r="D23" s="73">
        <v>4</v>
      </c>
      <c r="E23" s="73">
        <v>4</v>
      </c>
      <c r="F23" s="73">
        <v>4</v>
      </c>
      <c r="G23" s="73">
        <v>4</v>
      </c>
      <c r="H23" s="73">
        <v>4</v>
      </c>
      <c r="I23" s="73">
        <v>4</v>
      </c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 t="s">
        <v>657</v>
      </c>
      <c r="AB23" t="str">
        <f>VLOOKUP(AA23,GroupLabels!$E$2:$H$145,3,0)</f>
        <v>Mongolia - Mongolian</v>
      </c>
    </row>
    <row r="24" spans="1:28" x14ac:dyDescent="0.25">
      <c r="A24" t="s">
        <v>2906</v>
      </c>
      <c r="B24" s="73">
        <v>2</v>
      </c>
      <c r="C24" s="73">
        <v>11</v>
      </c>
      <c r="D24" s="73">
        <v>4</v>
      </c>
      <c r="E24" s="73">
        <v>4</v>
      </c>
      <c r="F24" s="73">
        <v>4</v>
      </c>
      <c r="G24" s="73">
        <v>4</v>
      </c>
      <c r="H24" s="73">
        <v>4</v>
      </c>
      <c r="I24" s="73">
        <v>4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 t="s">
        <v>660</v>
      </c>
      <c r="AB24" t="str">
        <f>VLOOKUP(AA24,GroupLabels!$E$2:$H$145,3,0)</f>
        <v>Morocco - Arabic</v>
      </c>
    </row>
    <row r="25" spans="1:28" x14ac:dyDescent="0.25">
      <c r="A25" t="s">
        <v>3187</v>
      </c>
      <c r="B25" s="73">
        <v>2</v>
      </c>
      <c r="C25" s="73">
        <v>11</v>
      </c>
      <c r="D25" s="73">
        <v>4</v>
      </c>
      <c r="E25" s="73">
        <v>4</v>
      </c>
      <c r="F25" s="73">
        <v>4</v>
      </c>
      <c r="G25" s="73">
        <v>4</v>
      </c>
      <c r="H25" s="73">
        <v>4</v>
      </c>
      <c r="I25" s="73">
        <v>4</v>
      </c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 t="s">
        <v>661</v>
      </c>
      <c r="AB25" t="str">
        <f>VLOOKUP(AA25,GroupLabels!$E$2:$H$145,3,0)</f>
        <v>Netherlands - Dutch</v>
      </c>
    </row>
    <row r="26" spans="1:28" x14ac:dyDescent="0.25">
      <c r="A26" t="s">
        <v>3056</v>
      </c>
      <c r="B26" s="73">
        <v>2</v>
      </c>
      <c r="C26" s="73">
        <v>11</v>
      </c>
      <c r="D26" s="73">
        <v>4</v>
      </c>
      <c r="E26" s="73">
        <v>4</v>
      </c>
      <c r="F26" s="73">
        <v>4</v>
      </c>
      <c r="G26" s="73">
        <v>4</v>
      </c>
      <c r="H26" s="73">
        <v>4</v>
      </c>
      <c r="I26" s="73">
        <v>4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 t="s">
        <v>668</v>
      </c>
      <c r="AB26" t="str">
        <f>VLOOKUP(AA26,GroupLabels!$E$2:$H$145,3,0)</f>
        <v>Peru - Spanish</v>
      </c>
    </row>
    <row r="27" spans="1:28" x14ac:dyDescent="0.25">
      <c r="A27" t="s">
        <v>2912</v>
      </c>
      <c r="B27" s="73">
        <v>2</v>
      </c>
      <c r="C27" s="73">
        <v>11</v>
      </c>
      <c r="D27" s="73">
        <v>4</v>
      </c>
      <c r="E27" s="73">
        <v>4</v>
      </c>
      <c r="F27" s="73">
        <v>4</v>
      </c>
      <c r="G27" s="73">
        <v>4</v>
      </c>
      <c r="H27" s="73">
        <v>4</v>
      </c>
      <c r="I27" s="73">
        <v>4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 t="s">
        <v>672</v>
      </c>
      <c r="AB27" t="str">
        <f>VLOOKUP(AA27,GroupLabels!$E$2:$H$145,3,0)</f>
        <v>Qatar - Arabic</v>
      </c>
    </row>
    <row r="28" spans="1:28" x14ac:dyDescent="0.25">
      <c r="A28" t="s">
        <v>3020</v>
      </c>
      <c r="B28" s="73">
        <v>2</v>
      </c>
      <c r="C28" s="73">
        <v>11</v>
      </c>
      <c r="D28" s="73">
        <v>4</v>
      </c>
      <c r="E28" s="73">
        <v>4</v>
      </c>
      <c r="F28" s="73">
        <v>4</v>
      </c>
      <c r="G28" s="73">
        <v>4</v>
      </c>
      <c r="H28" s="73">
        <v>4</v>
      </c>
      <c r="I28" s="73">
        <v>4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 t="s">
        <v>673</v>
      </c>
      <c r="AB28" t="str">
        <f>VLOOKUP(AA28,GroupLabels!$E$2:$H$145,3,0)</f>
        <v>Qatar - English</v>
      </c>
    </row>
    <row r="29" spans="1:28" x14ac:dyDescent="0.25">
      <c r="A29" t="s">
        <v>3207</v>
      </c>
      <c r="B29" s="73">
        <v>2</v>
      </c>
      <c r="C29" s="73">
        <v>11</v>
      </c>
      <c r="D29" s="73">
        <v>4</v>
      </c>
      <c r="E29" s="73">
        <v>4</v>
      </c>
      <c r="F29" s="73">
        <v>4</v>
      </c>
      <c r="G29" s="73">
        <v>4</v>
      </c>
      <c r="H29" s="73">
        <v>4</v>
      </c>
      <c r="I29" s="73">
        <v>4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 t="s">
        <v>675</v>
      </c>
      <c r="AB29" t="str">
        <f>VLOOKUP(AA29,GroupLabels!$E$2:$H$145,3,0)</f>
        <v>Romania - Romanian</v>
      </c>
    </row>
    <row r="30" spans="1:28" x14ac:dyDescent="0.25">
      <c r="A30" s="3" t="s">
        <v>3282</v>
      </c>
      <c r="B30" s="75">
        <v>2</v>
      </c>
      <c r="C30" s="75">
        <v>11</v>
      </c>
      <c r="D30" s="75">
        <v>4</v>
      </c>
      <c r="E30" s="75">
        <v>4</v>
      </c>
      <c r="F30" s="75">
        <v>4</v>
      </c>
      <c r="G30" s="75">
        <v>4</v>
      </c>
      <c r="H30" s="75">
        <v>4</v>
      </c>
      <c r="I30" s="75">
        <v>4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 t="s">
        <v>693</v>
      </c>
      <c r="AB30" t="str">
        <f>VLOOKUP(AA30,GroupLabels!$E$2:$H$145,3,0)</f>
        <v>Chinese Taipei - Chinese</v>
      </c>
    </row>
  </sheetData>
  <sheetProtection formatColumns="0" formatRows="0"/>
  <sortState xmlns:xlrd2="http://schemas.microsoft.com/office/spreadsheetml/2017/richdata2" ref="A7:AB29">
    <sortCondition ref="A7:A29"/>
  </sortState>
  <hyperlinks>
    <hyperlink ref="A1" location="TOC!A1" display="Table of Contents" xr:uid="{6E5A424B-B63D-4FA9-9225-DD0678B2DB28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85"/>
  <dimension ref="A1:D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4.140625" customWidth="1"/>
    <col min="2" max="2" width="31.710937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210</v>
      </c>
      <c r="B3" s="33"/>
      <c r="C3" s="33"/>
      <c r="D3" s="33"/>
    </row>
    <row r="4" spans="1:4" x14ac:dyDescent="0.25">
      <c r="A4" s="34" t="s">
        <v>211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709</v>
      </c>
      <c r="C6" s="33"/>
      <c r="D6" s="33"/>
    </row>
    <row r="7" spans="1:4" x14ac:dyDescent="0.25">
      <c r="A7" s="59" t="s">
        <v>400</v>
      </c>
      <c r="B7" s="59" t="s">
        <v>1783</v>
      </c>
      <c r="C7" s="33"/>
      <c r="D7" s="33"/>
    </row>
    <row r="8" spans="1:4" x14ac:dyDescent="0.25">
      <c r="A8" s="33" t="s">
        <v>405</v>
      </c>
      <c r="B8" s="33" t="s">
        <v>1789</v>
      </c>
      <c r="C8" s="33"/>
      <c r="D8" s="33"/>
    </row>
    <row r="9" spans="1:4" x14ac:dyDescent="0.25">
      <c r="A9" s="40" t="s">
        <v>410</v>
      </c>
      <c r="B9" s="40" t="s">
        <v>1783</v>
      </c>
      <c r="C9" s="33"/>
      <c r="D9" s="33"/>
    </row>
  </sheetData>
  <sheetProtection formatColumns="0" formatRows="0"/>
  <hyperlinks>
    <hyperlink ref="A1" location="TOC!A1" display="Table of Contents" xr:uid="{E83C2989-4D30-4B3A-B58D-08174DDEBDEE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66"/>
  <dimension ref="A1:K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28515625" bestFit="1" customWidth="1"/>
    <col min="2" max="2" width="12.28515625" bestFit="1" customWidth="1"/>
    <col min="3" max="3" width="104.7109375" customWidth="1"/>
    <col min="4" max="4" width="10.28515625" customWidth="1"/>
  </cols>
  <sheetData>
    <row r="1" spans="1:11" x14ac:dyDescent="0.25">
      <c r="A1" s="141" t="s">
        <v>316</v>
      </c>
      <c r="B1" s="32" t="s">
        <v>359</v>
      </c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1" x14ac:dyDescent="0.25">
      <c r="A3" s="34" t="s">
        <v>212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5">
      <c r="A4" s="34" t="s">
        <v>213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  <c r="K6" s="65" t="s">
        <v>781</v>
      </c>
    </row>
    <row r="7" spans="1:11" x14ac:dyDescent="0.25">
      <c r="A7" s="33" t="s">
        <v>782</v>
      </c>
      <c r="B7" s="33" t="s">
        <v>2144</v>
      </c>
      <c r="C7" s="33" t="s">
        <v>2145</v>
      </c>
      <c r="D7" s="33" t="s">
        <v>926</v>
      </c>
      <c r="E7" s="2">
        <v>1.33979</v>
      </c>
      <c r="F7" s="2">
        <v>-5.0540000000000009E-2</v>
      </c>
      <c r="G7" s="2">
        <v>-1.00349</v>
      </c>
      <c r="H7" s="2">
        <v>-0.64424000000000003</v>
      </c>
      <c r="I7" s="2">
        <v>0.57018000000000013</v>
      </c>
      <c r="J7" s="2">
        <v>8.8919999999999985E-2</v>
      </c>
      <c r="K7" s="2">
        <v>0.98863000000000001</v>
      </c>
    </row>
    <row r="8" spans="1:11" x14ac:dyDescent="0.25">
      <c r="A8" s="33" t="s">
        <v>782</v>
      </c>
      <c r="B8" s="33" t="s">
        <v>2146</v>
      </c>
      <c r="C8" s="33" t="s">
        <v>2147</v>
      </c>
      <c r="D8" s="33" t="s">
        <v>926</v>
      </c>
      <c r="E8" s="2">
        <v>2.2839200000000002</v>
      </c>
      <c r="F8" s="2">
        <v>-0.56689999999999996</v>
      </c>
      <c r="G8" s="2">
        <v>-1.57535</v>
      </c>
      <c r="H8" s="2">
        <v>-0.89236999999999989</v>
      </c>
      <c r="I8" s="2">
        <v>0.55595000000000006</v>
      </c>
      <c r="J8" s="2">
        <v>0.44793000000000011</v>
      </c>
      <c r="K8" s="2">
        <v>1.46384</v>
      </c>
    </row>
    <row r="9" spans="1:11" x14ac:dyDescent="0.25">
      <c r="A9" s="33" t="s">
        <v>782</v>
      </c>
      <c r="B9" s="33" t="s">
        <v>2148</v>
      </c>
      <c r="C9" s="33" t="s">
        <v>2149</v>
      </c>
      <c r="D9" s="33" t="s">
        <v>926</v>
      </c>
      <c r="E9" s="2">
        <v>2.5780699999999999</v>
      </c>
      <c r="F9" s="2">
        <v>3.1789999999999992E-2</v>
      </c>
      <c r="G9" s="2">
        <v>-1.5855900000000001</v>
      </c>
      <c r="H9" s="2">
        <v>-1.09721</v>
      </c>
      <c r="I9" s="2">
        <v>0.43409999999999999</v>
      </c>
      <c r="J9" s="2">
        <v>0.38606000000000001</v>
      </c>
      <c r="K9" s="2">
        <v>1.8626400000000001</v>
      </c>
    </row>
    <row r="10" spans="1:11" x14ac:dyDescent="0.25">
      <c r="A10" s="33" t="s">
        <v>782</v>
      </c>
      <c r="B10" s="33" t="s">
        <v>2150</v>
      </c>
      <c r="C10" s="33" t="s">
        <v>2151</v>
      </c>
      <c r="D10" s="33" t="s">
        <v>926</v>
      </c>
      <c r="E10" s="2">
        <v>1.36344</v>
      </c>
      <c r="F10" s="2">
        <v>-0.17651</v>
      </c>
      <c r="G10" s="2">
        <v>-0.68254000000000004</v>
      </c>
      <c r="H10" s="2">
        <v>-0.80254999999999999</v>
      </c>
      <c r="I10" s="2">
        <v>0.25205</v>
      </c>
      <c r="J10" s="2">
        <v>0.35797000000000001</v>
      </c>
      <c r="K10" s="2">
        <v>0.87506999999999979</v>
      </c>
    </row>
    <row r="11" spans="1:11" x14ac:dyDescent="0.25">
      <c r="A11" s="40" t="s">
        <v>782</v>
      </c>
      <c r="B11" s="40" t="s">
        <v>2152</v>
      </c>
      <c r="C11" s="40" t="s">
        <v>2153</v>
      </c>
      <c r="D11" s="40"/>
      <c r="E11" s="4">
        <v>2.469780000000001</v>
      </c>
      <c r="F11" s="4">
        <v>0.20680000000000001</v>
      </c>
      <c r="G11" s="4">
        <v>-1.93008</v>
      </c>
      <c r="H11" s="4">
        <v>-1.01617</v>
      </c>
      <c r="I11" s="4">
        <v>0.44268000000000002</v>
      </c>
      <c r="J11" s="4">
        <v>0.63837999999999984</v>
      </c>
      <c r="K11" s="4">
        <v>1.8651899999999999</v>
      </c>
    </row>
  </sheetData>
  <sheetProtection formatColumns="0" formatRows="0"/>
  <hyperlinks>
    <hyperlink ref="A1" location="TOC!A1" display="Table of Contents" xr:uid="{46C3062A-9592-40F9-B3BF-94B0E356E9AF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70"/>
  <dimension ref="A1:I2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2.28515625" bestFit="1" customWidth="1"/>
    <col min="3" max="3" width="93.28515625" customWidth="1"/>
  </cols>
  <sheetData>
    <row r="1" spans="1:9" x14ac:dyDescent="0.25">
      <c r="A1" s="141" t="s">
        <v>316</v>
      </c>
      <c r="B1" s="32" t="s">
        <v>358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214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215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2154</v>
      </c>
      <c r="C7" s="33" t="s">
        <v>2155</v>
      </c>
      <c r="D7" s="53" t="s">
        <v>926</v>
      </c>
      <c r="E7" s="2">
        <v>2.12412</v>
      </c>
      <c r="F7" s="2">
        <v>0.45929000000000009</v>
      </c>
      <c r="G7" s="2">
        <v>-1.6698</v>
      </c>
      <c r="H7" s="2">
        <v>-4.836E-2</v>
      </c>
      <c r="I7" s="2">
        <v>1.7181599999999999</v>
      </c>
    </row>
    <row r="8" spans="1:9" x14ac:dyDescent="0.25">
      <c r="A8" s="33" t="s">
        <v>782</v>
      </c>
      <c r="B8" s="33" t="s">
        <v>2156</v>
      </c>
      <c r="C8" s="33" t="s">
        <v>2157</v>
      </c>
      <c r="D8" s="53" t="s">
        <v>926</v>
      </c>
      <c r="E8" s="2">
        <v>2.65998</v>
      </c>
      <c r="F8" s="2">
        <v>0.12625</v>
      </c>
      <c r="G8" s="2">
        <v>-2.4172699999999998</v>
      </c>
      <c r="H8" s="2">
        <v>-1.951E-2</v>
      </c>
      <c r="I8" s="2">
        <v>2.4367800000000002</v>
      </c>
    </row>
    <row r="9" spans="1:9" x14ac:dyDescent="0.25">
      <c r="A9" s="33" t="s">
        <v>782</v>
      </c>
      <c r="B9" s="33" t="s">
        <v>2158</v>
      </c>
      <c r="C9" s="33" t="s">
        <v>2159</v>
      </c>
      <c r="D9" s="53" t="s">
        <v>926</v>
      </c>
      <c r="E9" s="2">
        <v>2.8147000000000002</v>
      </c>
      <c r="F9" s="2">
        <v>-2.1409999999999998E-2</v>
      </c>
      <c r="G9" s="2">
        <v>-2.5819200000000002</v>
      </c>
      <c r="H9" s="2">
        <v>-0.16988</v>
      </c>
      <c r="I9" s="2">
        <v>2.7517999999999998</v>
      </c>
    </row>
    <row r="10" spans="1:9" x14ac:dyDescent="0.25">
      <c r="A10" s="33" t="s">
        <v>782</v>
      </c>
      <c r="B10" s="33" t="s">
        <v>2160</v>
      </c>
      <c r="C10" s="33" t="s">
        <v>2161</v>
      </c>
      <c r="D10" s="53" t="s">
        <v>926</v>
      </c>
      <c r="E10" s="2">
        <v>1.0626100000000001</v>
      </c>
      <c r="F10" s="2">
        <v>-0.37867000000000012</v>
      </c>
      <c r="G10" s="2">
        <v>-1.07961</v>
      </c>
      <c r="H10" s="2">
        <v>-0.19270000000000001</v>
      </c>
      <c r="I10" s="2">
        <v>1.2723100000000001</v>
      </c>
    </row>
    <row r="11" spans="1:9" x14ac:dyDescent="0.25">
      <c r="A11" s="33" t="s">
        <v>782</v>
      </c>
      <c r="B11" s="33" t="s">
        <v>2162</v>
      </c>
      <c r="C11" s="33" t="s">
        <v>2163</v>
      </c>
      <c r="D11" s="53" t="s">
        <v>926</v>
      </c>
      <c r="E11" s="2">
        <v>2.1804000000000001</v>
      </c>
      <c r="F11" s="2">
        <v>0.16827</v>
      </c>
      <c r="G11" s="2">
        <v>-1.8654900000000001</v>
      </c>
      <c r="H11" s="2">
        <v>-7.018000000000002E-2</v>
      </c>
      <c r="I11" s="2">
        <v>1.93567</v>
      </c>
    </row>
    <row r="12" spans="1:9" x14ac:dyDescent="0.25">
      <c r="A12" s="33" t="s">
        <v>782</v>
      </c>
      <c r="B12" s="33" t="s">
        <v>2164</v>
      </c>
      <c r="C12" s="33" t="s">
        <v>2165</v>
      </c>
      <c r="D12" s="53" t="s">
        <v>926</v>
      </c>
      <c r="E12" s="2">
        <v>1.9013500000000001</v>
      </c>
      <c r="F12" s="2">
        <v>-0.26485999999999998</v>
      </c>
      <c r="G12" s="2">
        <v>-1.93733</v>
      </c>
      <c r="H12" s="2">
        <v>-0.21435000000000001</v>
      </c>
      <c r="I12" s="2">
        <v>2.1516799999999998</v>
      </c>
    </row>
    <row r="13" spans="1:9" x14ac:dyDescent="0.25">
      <c r="A13" s="33" t="s">
        <v>782</v>
      </c>
      <c r="B13" s="33" t="s">
        <v>2166</v>
      </c>
      <c r="C13" s="33" t="s">
        <v>2167</v>
      </c>
      <c r="D13" s="53" t="s">
        <v>926</v>
      </c>
      <c r="E13" s="2">
        <v>0.80498000000000014</v>
      </c>
      <c r="F13" s="2">
        <v>-0.58757000000000015</v>
      </c>
      <c r="G13" s="2">
        <v>-0.57072999999999996</v>
      </c>
      <c r="H13" s="2">
        <v>-0.23819000000000001</v>
      </c>
      <c r="I13" s="2">
        <v>0.80891999999999997</v>
      </c>
    </row>
    <row r="14" spans="1:9" x14ac:dyDescent="0.25">
      <c r="A14" s="33" t="s">
        <v>782</v>
      </c>
      <c r="B14" s="33" t="s">
        <v>2168</v>
      </c>
      <c r="C14" s="33" t="s">
        <v>2169</v>
      </c>
      <c r="D14" s="53" t="s">
        <v>926</v>
      </c>
      <c r="E14" s="2">
        <v>0.71745000000000003</v>
      </c>
      <c r="F14" s="2">
        <v>-0.26449</v>
      </c>
      <c r="G14" s="2">
        <v>-0.46632000000000001</v>
      </c>
      <c r="H14" s="2">
        <v>-0.18976999999999999</v>
      </c>
      <c r="I14" s="2">
        <v>0.65609000000000017</v>
      </c>
    </row>
    <row r="15" spans="1:9" x14ac:dyDescent="0.25">
      <c r="A15" s="33" t="s">
        <v>782</v>
      </c>
      <c r="B15" s="33" t="s">
        <v>2170</v>
      </c>
      <c r="C15" s="33" t="s">
        <v>2171</v>
      </c>
      <c r="D15" s="53" t="s">
        <v>926</v>
      </c>
      <c r="E15" s="2">
        <v>2.38727</v>
      </c>
      <c r="F15" s="2">
        <v>5.5960000000000003E-2</v>
      </c>
      <c r="G15" s="2">
        <v>-2.3896799999999998</v>
      </c>
      <c r="H15" s="2">
        <v>-0.15809000000000001</v>
      </c>
      <c r="I15" s="2">
        <v>2.5477699999999999</v>
      </c>
    </row>
    <row r="16" spans="1:9" x14ac:dyDescent="0.25">
      <c r="A16" s="33" t="s">
        <v>782</v>
      </c>
      <c r="B16" s="33" t="s">
        <v>2172</v>
      </c>
      <c r="C16" s="33" t="s">
        <v>2173</v>
      </c>
      <c r="D16" s="53" t="s">
        <v>926</v>
      </c>
      <c r="E16" s="2">
        <v>1.63601</v>
      </c>
      <c r="F16" s="2">
        <v>0.23366999999999999</v>
      </c>
      <c r="G16" s="2">
        <v>-1.46156</v>
      </c>
      <c r="H16" s="2">
        <v>-6.3100000000000017E-2</v>
      </c>
      <c r="I16" s="2">
        <v>1.5246599999999999</v>
      </c>
    </row>
    <row r="17" spans="1:9" x14ac:dyDescent="0.25">
      <c r="A17" s="33" t="s">
        <v>782</v>
      </c>
      <c r="B17" s="33" t="s">
        <v>2174</v>
      </c>
      <c r="C17" s="33" t="s">
        <v>2175</v>
      </c>
      <c r="D17" s="53" t="s">
        <v>926</v>
      </c>
      <c r="E17" s="2">
        <v>1.45845</v>
      </c>
      <c r="F17" s="2">
        <v>0.15995000000000001</v>
      </c>
      <c r="G17" s="2">
        <v>-1.44818</v>
      </c>
      <c r="H17" s="2">
        <v>-9.4990000000000005E-2</v>
      </c>
      <c r="I17" s="2">
        <v>1.5431699999999999</v>
      </c>
    </row>
    <row r="18" spans="1:9" x14ac:dyDescent="0.25">
      <c r="A18" s="33" t="s">
        <v>782</v>
      </c>
      <c r="B18" s="33" t="s">
        <v>2176</v>
      </c>
      <c r="C18" s="33" t="s">
        <v>2177</v>
      </c>
      <c r="D18" s="53"/>
      <c r="E18" s="2">
        <v>2.12107</v>
      </c>
      <c r="F18" s="2">
        <v>-0.20404</v>
      </c>
      <c r="G18" s="2">
        <v>-2.24533</v>
      </c>
      <c r="H18" s="2">
        <v>-0.18543000000000001</v>
      </c>
      <c r="I18" s="2">
        <v>2.4307599999999998</v>
      </c>
    </row>
    <row r="19" spans="1:9" x14ac:dyDescent="0.25">
      <c r="A19" s="33" t="s">
        <v>782</v>
      </c>
      <c r="B19" s="33" t="s">
        <v>2178</v>
      </c>
      <c r="C19" s="33" t="s">
        <v>2179</v>
      </c>
      <c r="D19" s="53"/>
      <c r="E19" s="2">
        <v>2.018930000000001</v>
      </c>
      <c r="F19" s="2">
        <v>7.1650000000000005E-2</v>
      </c>
      <c r="G19" s="2">
        <v>-1.9993099999999999</v>
      </c>
      <c r="H19" s="2">
        <v>-0.10965</v>
      </c>
      <c r="I19" s="2">
        <v>2.1089600000000002</v>
      </c>
    </row>
    <row r="20" spans="1:9" x14ac:dyDescent="0.25">
      <c r="A20" s="33" t="s">
        <v>782</v>
      </c>
      <c r="B20" s="33" t="s">
        <v>2180</v>
      </c>
      <c r="C20" s="33" t="s">
        <v>2181</v>
      </c>
      <c r="D20" s="53"/>
      <c r="E20" s="2">
        <v>2.129290000000001</v>
      </c>
      <c r="F20" s="2">
        <v>-0.38025999999999999</v>
      </c>
      <c r="G20" s="2">
        <v>-2.066069999999999</v>
      </c>
      <c r="H20" s="2">
        <v>-0.17122000000000001</v>
      </c>
      <c r="I20" s="2">
        <v>2.2372899999999998</v>
      </c>
    </row>
    <row r="21" spans="1:9" x14ac:dyDescent="0.25">
      <c r="A21" s="40" t="s">
        <v>782</v>
      </c>
      <c r="B21" s="40" t="s">
        <v>2182</v>
      </c>
      <c r="C21" s="40" t="s">
        <v>2183</v>
      </c>
      <c r="D21" s="78"/>
      <c r="E21" s="4">
        <v>0.77153000000000016</v>
      </c>
      <c r="F21" s="4">
        <v>-0.58784999999999987</v>
      </c>
      <c r="G21" s="4">
        <v>-0.73848999999999998</v>
      </c>
      <c r="H21" s="4">
        <v>-0.17366999999999999</v>
      </c>
      <c r="I21" s="4">
        <v>0.91215999999999997</v>
      </c>
    </row>
  </sheetData>
  <sheetProtection formatColumns="0" formatRows="0"/>
  <hyperlinks>
    <hyperlink ref="A1" location="TOC!A1" display="Table of Contents" xr:uid="{D4DC42C4-9995-44C0-955E-714728E196BC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74"/>
  <dimension ref="A1:J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.42578125" bestFit="1" customWidth="1"/>
    <col min="2" max="2" width="12.28515625" bestFit="1" customWidth="1"/>
    <col min="3" max="3" width="79.42578125" bestFit="1" customWidth="1"/>
    <col min="5" max="9" width="9.140625" style="2" customWidth="1"/>
  </cols>
  <sheetData>
    <row r="1" spans="1:10" x14ac:dyDescent="0.25">
      <c r="A1" s="141" t="s">
        <v>316</v>
      </c>
      <c r="B1" s="32" t="s">
        <v>360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216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217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86" t="s">
        <v>775</v>
      </c>
      <c r="F6" s="86" t="s">
        <v>776</v>
      </c>
      <c r="G6" s="86" t="s">
        <v>777</v>
      </c>
      <c r="H6" s="86" t="s">
        <v>778</v>
      </c>
      <c r="I6" s="86" t="s">
        <v>779</v>
      </c>
      <c r="J6" s="33"/>
    </row>
    <row r="7" spans="1:10" x14ac:dyDescent="0.25">
      <c r="A7" s="33" t="s">
        <v>782</v>
      </c>
      <c r="B7" s="33" t="s">
        <v>2184</v>
      </c>
      <c r="C7" s="33" t="s">
        <v>2185</v>
      </c>
      <c r="D7" s="33" t="s">
        <v>926</v>
      </c>
      <c r="E7" s="53">
        <v>1.6152500000000001</v>
      </c>
      <c r="F7" s="53">
        <v>3.449E-2</v>
      </c>
      <c r="G7" s="53">
        <v>-4.3849299999999998</v>
      </c>
      <c r="H7" s="53">
        <v>0.28449000000000002</v>
      </c>
      <c r="I7" s="53">
        <v>4.100439999999999</v>
      </c>
      <c r="J7" s="53"/>
    </row>
    <row r="8" spans="1:10" x14ac:dyDescent="0.25">
      <c r="A8" s="33" t="s">
        <v>782</v>
      </c>
      <c r="B8" s="33" t="s">
        <v>2186</v>
      </c>
      <c r="C8" s="33" t="s">
        <v>2187</v>
      </c>
      <c r="D8" s="33" t="s">
        <v>926</v>
      </c>
      <c r="E8" s="53">
        <v>0.90812000000000004</v>
      </c>
      <c r="F8" s="53">
        <v>-0.50931999999999988</v>
      </c>
      <c r="G8" s="53">
        <v>-2.5431400000000002</v>
      </c>
      <c r="H8" s="53">
        <v>-0.12228</v>
      </c>
      <c r="I8" s="53">
        <v>2.6654200000000001</v>
      </c>
      <c r="J8" s="53"/>
    </row>
    <row r="9" spans="1:10" x14ac:dyDescent="0.25">
      <c r="A9" s="33" t="s">
        <v>782</v>
      </c>
      <c r="B9" s="33" t="s">
        <v>2188</v>
      </c>
      <c r="C9" s="33" t="s">
        <v>2189</v>
      </c>
      <c r="D9" s="33" t="s">
        <v>926</v>
      </c>
      <c r="E9" s="53">
        <v>1.7645999999999999</v>
      </c>
      <c r="F9" s="53">
        <v>-0.34461000000000008</v>
      </c>
      <c r="G9" s="53">
        <v>-4.7718999999999996</v>
      </c>
      <c r="H9" s="53">
        <v>9.289E-2</v>
      </c>
      <c r="I9" s="53">
        <v>4.679009999999999</v>
      </c>
      <c r="J9" s="53"/>
    </row>
    <row r="10" spans="1:10" x14ac:dyDescent="0.25">
      <c r="A10" s="40" t="s">
        <v>782</v>
      </c>
      <c r="B10" s="40" t="s">
        <v>2190</v>
      </c>
      <c r="C10" s="40" t="s">
        <v>2191</v>
      </c>
      <c r="D10" s="40" t="s">
        <v>926</v>
      </c>
      <c r="E10" s="78">
        <v>1.72014</v>
      </c>
      <c r="F10" s="78">
        <v>0.31012000000000001</v>
      </c>
      <c r="G10" s="78">
        <v>-4.6510100000000012</v>
      </c>
      <c r="H10" s="78">
        <v>0.30536999999999992</v>
      </c>
      <c r="I10" s="78">
        <v>4.3456400000000004</v>
      </c>
      <c r="J10" s="53"/>
    </row>
    <row r="11" spans="1:10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53"/>
    </row>
    <row r="12" spans="1:10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53"/>
    </row>
    <row r="13" spans="1:10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53"/>
    </row>
  </sheetData>
  <sheetProtection formatColumns="0" formatRows="0"/>
  <hyperlinks>
    <hyperlink ref="A1" location="TOC!A1" display="Table of Contents" xr:uid="{8D9FF75B-CAFE-4B61-B17B-C751FA4392AE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76"/>
  <dimension ref="A1:J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bestFit="1" customWidth="1"/>
    <col min="2" max="2" width="12.28515625" bestFit="1" customWidth="1"/>
    <col min="3" max="3" width="100.42578125" bestFit="1" customWidth="1"/>
  </cols>
  <sheetData>
    <row r="1" spans="1:10" x14ac:dyDescent="0.25">
      <c r="A1" s="141" t="s">
        <v>316</v>
      </c>
      <c r="B1" s="32" t="s">
        <v>361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218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34" t="s">
        <v>219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33"/>
    </row>
    <row r="7" spans="1:10" x14ac:dyDescent="0.25">
      <c r="A7" s="33" t="s">
        <v>782</v>
      </c>
      <c r="B7" s="33" t="s">
        <v>2192</v>
      </c>
      <c r="C7" s="33" t="s">
        <v>2193</v>
      </c>
      <c r="D7" s="33" t="s">
        <v>926</v>
      </c>
      <c r="E7" s="2">
        <v>1.34955</v>
      </c>
      <c r="F7" s="2">
        <v>-0.39718999999999999</v>
      </c>
      <c r="G7" s="2">
        <v>-3.5050400000000002</v>
      </c>
      <c r="H7" s="2">
        <v>0.17660999999999999</v>
      </c>
      <c r="I7" s="2">
        <v>3.32843</v>
      </c>
      <c r="J7" s="53"/>
    </row>
    <row r="8" spans="1:10" x14ac:dyDescent="0.25">
      <c r="A8" s="33" t="s">
        <v>782</v>
      </c>
      <c r="B8" s="33" t="s">
        <v>2194</v>
      </c>
      <c r="C8" s="33" t="s">
        <v>2195</v>
      </c>
      <c r="D8" s="33" t="s">
        <v>926</v>
      </c>
      <c r="E8" s="2">
        <v>1.6522399999999999</v>
      </c>
      <c r="F8" s="2">
        <v>0.22678999999999999</v>
      </c>
      <c r="G8" s="2">
        <v>-3.778109999999999</v>
      </c>
      <c r="H8" s="2">
        <v>0.26029999999999998</v>
      </c>
      <c r="I8" s="2">
        <v>3.5178099999999999</v>
      </c>
      <c r="J8" s="53"/>
    </row>
    <row r="9" spans="1:10" x14ac:dyDescent="0.25">
      <c r="A9" s="33" t="s">
        <v>782</v>
      </c>
      <c r="B9" s="33" t="s">
        <v>2196</v>
      </c>
      <c r="C9" s="33" t="s">
        <v>2197</v>
      </c>
      <c r="D9" s="33" t="s">
        <v>926</v>
      </c>
      <c r="E9" s="2">
        <v>1.6385799999999999</v>
      </c>
      <c r="F9" s="2">
        <v>-0.78331999999999979</v>
      </c>
      <c r="G9" s="2">
        <v>-3.2498399999999998</v>
      </c>
      <c r="H9" s="2">
        <v>-0.18717</v>
      </c>
      <c r="I9" s="2">
        <v>3.4370100000000008</v>
      </c>
      <c r="J9" s="53"/>
    </row>
    <row r="10" spans="1:10" x14ac:dyDescent="0.25">
      <c r="A10" s="33" t="s">
        <v>782</v>
      </c>
      <c r="B10" s="33" t="s">
        <v>2198</v>
      </c>
      <c r="C10" s="33" t="s">
        <v>2199</v>
      </c>
      <c r="D10" s="33" t="s">
        <v>926</v>
      </c>
      <c r="E10" s="2">
        <v>2.159619999999999</v>
      </c>
      <c r="F10" s="2">
        <v>0.95372000000000001</v>
      </c>
      <c r="G10" s="2">
        <v>-3.8751099999999998</v>
      </c>
      <c r="H10" s="2">
        <v>0.14663999999999999</v>
      </c>
      <c r="I10" s="2">
        <v>3.7284700000000002</v>
      </c>
      <c r="J10" s="53"/>
    </row>
    <row r="11" spans="1:10" x14ac:dyDescent="0.25">
      <c r="A11" s="33" t="s">
        <v>782</v>
      </c>
      <c r="B11" s="33" t="s">
        <v>2200</v>
      </c>
      <c r="C11" s="33" t="s">
        <v>2201</v>
      </c>
      <c r="D11" s="33"/>
      <c r="E11" s="2">
        <v>1.5071000000000001</v>
      </c>
      <c r="F11" s="2">
        <v>0.18965000000000001</v>
      </c>
      <c r="G11" s="2">
        <v>-3.6272700000000002</v>
      </c>
      <c r="H11" s="2">
        <v>0.30170999999999998</v>
      </c>
      <c r="I11" s="2">
        <v>3.3255600000000012</v>
      </c>
      <c r="J11" s="53"/>
    </row>
    <row r="12" spans="1:10" x14ac:dyDescent="0.25">
      <c r="A12" s="40" t="s">
        <v>782</v>
      </c>
      <c r="B12" s="40" t="s">
        <v>2202</v>
      </c>
      <c r="C12" s="40" t="s">
        <v>2203</v>
      </c>
      <c r="D12" s="40"/>
      <c r="E12" s="4">
        <v>1.0612999999999999</v>
      </c>
      <c r="F12" s="4">
        <v>0.76690999999999998</v>
      </c>
      <c r="G12" s="4">
        <v>-2.424939999999999</v>
      </c>
      <c r="H12" s="4">
        <v>0.13803000000000001</v>
      </c>
      <c r="I12" s="4">
        <v>2.2869100000000002</v>
      </c>
      <c r="J12" s="53"/>
    </row>
    <row r="13" spans="1:10" x14ac:dyDescent="0.25">
      <c r="A13" s="33"/>
      <c r="B13" s="33"/>
      <c r="C13" s="33"/>
      <c r="D13" s="33"/>
      <c r="E13" s="53"/>
      <c r="F13" s="53"/>
      <c r="G13" s="53"/>
      <c r="H13" s="53"/>
      <c r="I13" s="53"/>
      <c r="J13" s="53"/>
    </row>
    <row r="14" spans="1:10" x14ac:dyDescent="0.25">
      <c r="A14" s="33"/>
      <c r="B14" s="33"/>
      <c r="C14" s="33"/>
      <c r="D14" s="33"/>
      <c r="E14" s="53"/>
      <c r="F14" s="53"/>
      <c r="G14" s="53"/>
      <c r="H14" s="53"/>
      <c r="I14" s="53"/>
      <c r="J14" s="53"/>
    </row>
    <row r="15" spans="1:10" x14ac:dyDescent="0.25">
      <c r="A15" s="33"/>
      <c r="B15" s="33"/>
      <c r="C15" s="33"/>
      <c r="D15" s="33"/>
      <c r="E15" s="53"/>
      <c r="F15" s="53"/>
      <c r="G15" s="53"/>
      <c r="H15" s="53"/>
      <c r="I15" s="53"/>
      <c r="J15" s="53"/>
    </row>
  </sheetData>
  <sheetProtection formatColumns="0" formatRows="0"/>
  <hyperlinks>
    <hyperlink ref="A1" location="TOC!A1" display="Table of Contents" xr:uid="{B7474C04-0441-4AF7-B6DA-E130DDE73BB0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75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.28515625" bestFit="1" customWidth="1"/>
    <col min="2" max="2" width="12.28515625" bestFit="1" customWidth="1"/>
    <col min="3" max="3" width="82.42578125" bestFit="1" customWidth="1"/>
  </cols>
  <sheetData>
    <row r="1" spans="1:9" x14ac:dyDescent="0.25">
      <c r="A1" s="141" t="s">
        <v>316</v>
      </c>
      <c r="B1" s="32" t="s">
        <v>362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220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34" t="s">
        <v>221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4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2204</v>
      </c>
      <c r="C7" s="33" t="s">
        <v>2205</v>
      </c>
      <c r="D7" s="33" t="s">
        <v>926</v>
      </c>
      <c r="E7" s="2">
        <v>1.66205</v>
      </c>
      <c r="F7" s="2">
        <v>-0.35238999999999998</v>
      </c>
      <c r="G7" s="2">
        <v>-5.2816799999999997</v>
      </c>
      <c r="H7" s="2">
        <v>0.47793000000000002</v>
      </c>
      <c r="I7" s="2">
        <v>4.80375</v>
      </c>
    </row>
    <row r="8" spans="1:9" x14ac:dyDescent="0.25">
      <c r="A8" s="33" t="s">
        <v>782</v>
      </c>
      <c r="B8" s="33" t="s">
        <v>2206</v>
      </c>
      <c r="C8" s="33" t="s">
        <v>2207</v>
      </c>
      <c r="D8" s="33" t="s">
        <v>926</v>
      </c>
      <c r="E8" s="2">
        <v>2.453450000000001</v>
      </c>
      <c r="F8" s="2">
        <v>0.15659000000000001</v>
      </c>
      <c r="G8" s="2">
        <v>-6.7270799999999999</v>
      </c>
      <c r="H8" s="2">
        <v>0.57396000000000003</v>
      </c>
      <c r="I8" s="2">
        <v>6.1531200000000004</v>
      </c>
    </row>
    <row r="9" spans="1:9" x14ac:dyDescent="0.25">
      <c r="A9" s="33" t="s">
        <v>782</v>
      </c>
      <c r="B9" s="33" t="s">
        <v>2208</v>
      </c>
      <c r="C9" s="33" t="s">
        <v>2209</v>
      </c>
      <c r="D9" s="33" t="s">
        <v>926</v>
      </c>
      <c r="E9" s="2">
        <v>0.98450000000000004</v>
      </c>
      <c r="F9" s="2">
        <v>0.19579999999999989</v>
      </c>
      <c r="G9" s="2">
        <v>-3.5318999999999998</v>
      </c>
      <c r="H9" s="2">
        <v>0.66642000000000001</v>
      </c>
      <c r="I9" s="2">
        <v>2.8654799999999998</v>
      </c>
    </row>
    <row r="10" spans="1:9" x14ac:dyDescent="0.25">
      <c r="A10" s="40" t="s">
        <v>782</v>
      </c>
      <c r="B10" s="40" t="s">
        <v>2210</v>
      </c>
      <c r="C10" s="40" t="s">
        <v>2211</v>
      </c>
      <c r="D10" s="40" t="s">
        <v>926</v>
      </c>
      <c r="E10" s="132">
        <v>0.87678145048</v>
      </c>
      <c r="F10" s="132">
        <v>-0.44114307280000042</v>
      </c>
      <c r="G10" s="132">
        <v>-2.9546239805999961</v>
      </c>
      <c r="H10" s="132">
        <v>0.17778526300000011</v>
      </c>
      <c r="I10" s="132">
        <v>2.776838717599996</v>
      </c>
    </row>
    <row r="11" spans="1:9" x14ac:dyDescent="0.25">
      <c r="A11" s="33"/>
      <c r="B11" s="33"/>
      <c r="C11" s="33"/>
      <c r="D11" s="33"/>
      <c r="E11" s="53"/>
      <c r="F11" s="53"/>
      <c r="G11" s="53"/>
      <c r="H11" s="53"/>
      <c r="I11" s="53"/>
    </row>
    <row r="12" spans="1:9" x14ac:dyDescent="0.25">
      <c r="A12" s="33"/>
      <c r="B12" s="33"/>
      <c r="C12" s="33"/>
      <c r="D12" s="33"/>
      <c r="E12" s="53"/>
      <c r="F12" s="53"/>
      <c r="G12" s="53"/>
      <c r="H12" s="53"/>
      <c r="I12" s="53"/>
    </row>
  </sheetData>
  <sheetProtection formatCells="0" formatColumns="0" formatRows="0"/>
  <hyperlinks>
    <hyperlink ref="A1" location="TOC!A1" display="Table of Contents" xr:uid="{192A85A2-BB9C-4AA1-B4B8-134C476AF6A8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77"/>
  <dimension ref="A1:J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7.28515625" bestFit="1" customWidth="1"/>
    <col min="2" max="2" width="11.42578125" bestFit="1" customWidth="1"/>
    <col min="3" max="3" width="86.140625" customWidth="1"/>
  </cols>
  <sheetData>
    <row r="1" spans="1:10" x14ac:dyDescent="0.25">
      <c r="A1" s="141" t="s">
        <v>316</v>
      </c>
      <c r="B1" s="32" t="s">
        <v>364</v>
      </c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 t="s">
        <v>222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x14ac:dyDescent="0.25">
      <c r="A4" s="1" t="str">
        <f>_xlfn.CONCAT("Items in the ",B1," scale")</f>
        <v>Items in the TCDIGRES scale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0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  <c r="J6" s="65" t="s">
        <v>780</v>
      </c>
    </row>
    <row r="7" spans="1:10" x14ac:dyDescent="0.25">
      <c r="A7" s="33" t="s">
        <v>782</v>
      </c>
      <c r="B7" s="33" t="s">
        <v>2212</v>
      </c>
      <c r="C7" s="33" t="s">
        <v>2213</v>
      </c>
      <c r="D7" s="53" t="s">
        <v>926</v>
      </c>
      <c r="E7" s="53">
        <v>0.87482458330000001</v>
      </c>
      <c r="F7" s="53">
        <v>-0.29050500267504897</v>
      </c>
      <c r="G7" s="53">
        <v>0.59768901225416105</v>
      </c>
      <c r="H7" s="53">
        <v>0.50378122846322804</v>
      </c>
      <c r="I7" s="53">
        <v>-0.27565733477646698</v>
      </c>
      <c r="J7" s="53">
        <v>-0.82581290594092205</v>
      </c>
    </row>
    <row r="8" spans="1:10" x14ac:dyDescent="0.25">
      <c r="A8" s="33" t="s">
        <v>782</v>
      </c>
      <c r="B8" s="33" t="s">
        <v>2214</v>
      </c>
      <c r="C8" s="33" t="s">
        <v>2215</v>
      </c>
      <c r="D8" s="53" t="s">
        <v>926</v>
      </c>
      <c r="E8" s="53">
        <v>1.1722042276</v>
      </c>
      <c r="F8" s="53">
        <v>-0.184630106049057</v>
      </c>
      <c r="G8" s="53">
        <v>0.95457774324604605</v>
      </c>
      <c r="H8" s="53">
        <v>0.37869044287367298</v>
      </c>
      <c r="I8" s="53">
        <v>-0.37069961764279502</v>
      </c>
      <c r="J8" s="53">
        <v>-0.96256856847692296</v>
      </c>
    </row>
    <row r="9" spans="1:10" x14ac:dyDescent="0.25">
      <c r="A9" s="33" t="s">
        <v>782</v>
      </c>
      <c r="B9" s="33" t="s">
        <v>2216</v>
      </c>
      <c r="C9" s="33" t="s">
        <v>2217</v>
      </c>
      <c r="D9" s="53" t="s">
        <v>926</v>
      </c>
      <c r="E9" s="53">
        <v>1.6560769352</v>
      </c>
      <c r="F9" s="53">
        <v>-6.2163855880305402E-2</v>
      </c>
      <c r="G9" s="53">
        <v>0.77574424920388096</v>
      </c>
      <c r="H9" s="53">
        <v>0.384263421701321</v>
      </c>
      <c r="I9" s="53">
        <v>-0.272791534389693</v>
      </c>
      <c r="J9" s="53">
        <v>-0.88721613651550901</v>
      </c>
    </row>
    <row r="10" spans="1:10" x14ac:dyDescent="0.25">
      <c r="A10" s="33" t="s">
        <v>782</v>
      </c>
      <c r="B10" s="33" t="s">
        <v>2218</v>
      </c>
      <c r="C10" s="33" t="s">
        <v>2219</v>
      </c>
      <c r="D10" s="53" t="s">
        <v>926</v>
      </c>
      <c r="E10" s="53">
        <v>1.4899678795</v>
      </c>
      <c r="F10" s="53">
        <v>4.7503495448576197E-2</v>
      </c>
      <c r="G10" s="53">
        <v>0.692990486021137</v>
      </c>
      <c r="H10" s="53">
        <v>0.432761030399191</v>
      </c>
      <c r="I10" s="53">
        <v>-0.23730507309827101</v>
      </c>
      <c r="J10" s="53">
        <v>-0.88844644332205702</v>
      </c>
    </row>
    <row r="11" spans="1:10" x14ac:dyDescent="0.25">
      <c r="A11" s="33" t="s">
        <v>782</v>
      </c>
      <c r="B11" s="33" t="s">
        <v>2212</v>
      </c>
      <c r="C11" s="33" t="s">
        <v>2213</v>
      </c>
      <c r="D11" s="53" t="s">
        <v>926</v>
      </c>
      <c r="E11" s="2">
        <v>1.4872000000000001</v>
      </c>
      <c r="F11" s="2">
        <v>-0.43203999999999998</v>
      </c>
      <c r="G11" s="2">
        <v>-0.88888000000000011</v>
      </c>
      <c r="H11" s="2">
        <v>-0.74922</v>
      </c>
      <c r="I11" s="2">
        <v>0.40995999999999988</v>
      </c>
      <c r="J11" s="2">
        <v>1.22814</v>
      </c>
    </row>
    <row r="12" spans="1:10" x14ac:dyDescent="0.25">
      <c r="A12" s="33" t="s">
        <v>782</v>
      </c>
      <c r="B12" s="33" t="s">
        <v>2216</v>
      </c>
      <c r="C12" s="33" t="s">
        <v>2217</v>
      </c>
      <c r="D12" s="53" t="s">
        <v>926</v>
      </c>
      <c r="E12" s="2">
        <v>2.815329999999999</v>
      </c>
      <c r="F12" s="2">
        <v>-0.17501</v>
      </c>
      <c r="G12" s="2">
        <v>-2.18398</v>
      </c>
      <c r="H12" s="2">
        <v>-1.0818300000000001</v>
      </c>
      <c r="I12" s="2">
        <v>0.76800000000000002</v>
      </c>
      <c r="J12" s="2">
        <v>2.4978099999999999</v>
      </c>
    </row>
    <row r="13" spans="1:10" x14ac:dyDescent="0.25">
      <c r="A13" s="33" t="s">
        <v>782</v>
      </c>
      <c r="B13" s="33" t="s">
        <v>2220</v>
      </c>
      <c r="C13" s="33" t="s">
        <v>2221</v>
      </c>
      <c r="D13" s="53" t="s">
        <v>926</v>
      </c>
      <c r="E13" s="2">
        <v>1.3319700000000001</v>
      </c>
      <c r="F13" s="2">
        <v>0.53469999999999995</v>
      </c>
      <c r="G13" s="2">
        <v>-0.71467000000000003</v>
      </c>
      <c r="H13" s="2">
        <v>-0.71296000000000004</v>
      </c>
      <c r="I13" s="2">
        <v>0.47389000000000009</v>
      </c>
      <c r="J13" s="2">
        <v>0.95374000000000014</v>
      </c>
    </row>
    <row r="14" spans="1:10" x14ac:dyDescent="0.25">
      <c r="A14" s="33" t="s">
        <v>782</v>
      </c>
      <c r="B14" s="33" t="s">
        <v>2222</v>
      </c>
      <c r="C14" s="33" t="s">
        <v>2223</v>
      </c>
      <c r="D14" s="53" t="s">
        <v>926</v>
      </c>
      <c r="E14" s="2">
        <v>1.5495300000000001</v>
      </c>
      <c r="F14" s="2">
        <v>-0.11550000000000001</v>
      </c>
      <c r="G14" s="2">
        <v>-1.3896299999999999</v>
      </c>
      <c r="H14" s="2">
        <v>-0.69184000000000001</v>
      </c>
      <c r="I14" s="2">
        <v>0.54779999999999995</v>
      </c>
      <c r="J14" s="2">
        <v>1.5336700000000001</v>
      </c>
    </row>
    <row r="15" spans="1:10" x14ac:dyDescent="0.25">
      <c r="A15" s="33" t="s">
        <v>782</v>
      </c>
      <c r="B15" s="33" t="s">
        <v>2224</v>
      </c>
      <c r="C15" s="33" t="s">
        <v>2225</v>
      </c>
      <c r="D15" s="53"/>
      <c r="E15" s="2">
        <v>1.15825</v>
      </c>
      <c r="F15" s="2">
        <v>1.0541700000000001</v>
      </c>
      <c r="G15" s="2">
        <v>-0.60084999999999988</v>
      </c>
      <c r="H15" s="2">
        <v>-0.65920999999999996</v>
      </c>
      <c r="I15" s="2">
        <v>0.36236000000000002</v>
      </c>
      <c r="J15" s="2">
        <v>0.89770000000000005</v>
      </c>
    </row>
    <row r="16" spans="1:10" x14ac:dyDescent="0.25">
      <c r="A16" s="40" t="s">
        <v>782</v>
      </c>
      <c r="B16" s="40" t="s">
        <v>2226</v>
      </c>
      <c r="C16" s="40" t="s">
        <v>2227</v>
      </c>
      <c r="D16" s="78"/>
      <c r="E16" s="4">
        <v>0.65754000000000001</v>
      </c>
      <c r="F16" s="4">
        <v>0.33867999999999998</v>
      </c>
      <c r="G16" s="4">
        <v>1.129E-2</v>
      </c>
      <c r="H16" s="4">
        <v>-0.54645999999999995</v>
      </c>
      <c r="I16" s="4">
        <v>8.3659999999999998E-2</v>
      </c>
      <c r="J16" s="4">
        <v>0.45151000000000002</v>
      </c>
    </row>
  </sheetData>
  <sheetProtection formatColumns="0" formatRows="0"/>
  <hyperlinks>
    <hyperlink ref="A1" location="TOC!A1" display="Table of Contents" xr:uid="{E1B4EFD8-2506-4478-AAB3-754BFADF3213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0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67.42578125" customWidth="1"/>
    <col min="4" max="4" width="11" customWidth="1"/>
  </cols>
  <sheetData>
    <row r="1" spans="1:9" x14ac:dyDescent="0.25">
      <c r="A1" s="141" t="s">
        <v>316</v>
      </c>
      <c r="B1" s="32" t="s">
        <v>363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224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" t="str">
        <f>_xlfn.CONCAT("Items in the ",B1," scale")</f>
        <v>Items in the SETEACH scale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921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2228</v>
      </c>
      <c r="C7" s="33" t="s">
        <v>2229</v>
      </c>
      <c r="D7" s="33" t="s">
        <v>926</v>
      </c>
      <c r="E7" s="2">
        <v>1.32778</v>
      </c>
      <c r="F7" s="2">
        <v>0.16808000000000001</v>
      </c>
      <c r="G7" s="2">
        <v>-2.4312</v>
      </c>
      <c r="H7" s="2">
        <v>-0.2223</v>
      </c>
      <c r="I7" s="2">
        <v>2.6535000000000002</v>
      </c>
    </row>
    <row r="8" spans="1:9" x14ac:dyDescent="0.25">
      <c r="A8" s="33" t="s">
        <v>782</v>
      </c>
      <c r="B8" s="33" t="s">
        <v>2230</v>
      </c>
      <c r="C8" s="33" t="s">
        <v>2231</v>
      </c>
      <c r="D8" s="33" t="s">
        <v>926</v>
      </c>
      <c r="E8" s="2">
        <v>1.6911799999999999</v>
      </c>
      <c r="F8" s="2">
        <v>0.38001000000000001</v>
      </c>
      <c r="G8" s="2">
        <v>-2.8875000000000002</v>
      </c>
      <c r="H8" s="2">
        <v>-0.35211999999999988</v>
      </c>
      <c r="I8" s="2">
        <v>3.2396200000000008</v>
      </c>
    </row>
    <row r="9" spans="1:9" x14ac:dyDescent="0.25">
      <c r="A9" s="33" t="s">
        <v>782</v>
      </c>
      <c r="B9" s="33" t="s">
        <v>2232</v>
      </c>
      <c r="C9" s="33" t="s">
        <v>2233</v>
      </c>
      <c r="D9" s="33" t="s">
        <v>926</v>
      </c>
      <c r="E9" s="2">
        <v>1.9636899999999999</v>
      </c>
      <c r="F9" s="2">
        <v>-0.20848</v>
      </c>
      <c r="G9" s="2">
        <v>-3.1850000000000001</v>
      </c>
      <c r="H9" s="2">
        <v>-0.41548000000000002</v>
      </c>
      <c r="I9" s="2">
        <v>3.6004800000000001</v>
      </c>
    </row>
    <row r="10" spans="1:9" x14ac:dyDescent="0.25">
      <c r="A10" s="40" t="s">
        <v>782</v>
      </c>
      <c r="B10" s="40" t="s">
        <v>2234</v>
      </c>
      <c r="C10" s="40" t="s">
        <v>2235</v>
      </c>
      <c r="D10" s="40" t="s">
        <v>926</v>
      </c>
      <c r="E10" s="4">
        <v>1.81735</v>
      </c>
      <c r="F10" s="4">
        <v>-0.33961000000000002</v>
      </c>
      <c r="G10" s="4">
        <v>-2.8453900000000001</v>
      </c>
      <c r="H10" s="4">
        <v>-0.53631999999999991</v>
      </c>
      <c r="I10" s="4">
        <v>3.3817099999999991</v>
      </c>
    </row>
  </sheetData>
  <sheetProtection formatColumns="0" formatRows="0"/>
  <hyperlinks>
    <hyperlink ref="A1" location="TOC!A1" display="Table of Contents" xr:uid="{71848CFD-E4ED-4B2F-84A8-4B19819D5621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1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110.7109375" customWidth="1"/>
  </cols>
  <sheetData>
    <row r="1" spans="1:8" x14ac:dyDescent="0.25">
      <c r="A1" s="141" t="s">
        <v>316</v>
      </c>
      <c r="B1" s="32" t="s">
        <v>405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226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PARCOOPLRN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2236</v>
      </c>
      <c r="C7" s="33" t="s">
        <v>2237</v>
      </c>
      <c r="D7" s="2">
        <v>2.42855</v>
      </c>
      <c r="E7" s="2">
        <v>1.19678</v>
      </c>
      <c r="F7" s="2">
        <v>-2.699850000000001</v>
      </c>
      <c r="G7" s="2">
        <v>-0.57194999999999996</v>
      </c>
      <c r="H7" s="2">
        <v>3.2717999999999989</v>
      </c>
    </row>
    <row r="8" spans="1:8" x14ac:dyDescent="0.25">
      <c r="A8" s="33" t="s">
        <v>782</v>
      </c>
      <c r="B8" s="33" t="s">
        <v>2238</v>
      </c>
      <c r="C8" s="33" t="s">
        <v>2239</v>
      </c>
      <c r="D8" s="2">
        <v>3.7946300000000002</v>
      </c>
      <c r="E8" s="2">
        <v>1.61195</v>
      </c>
      <c r="F8" s="2">
        <v>-4.2305200000000012</v>
      </c>
      <c r="G8" s="2">
        <v>-0.59157999999999999</v>
      </c>
      <c r="H8" s="2">
        <v>4.8220999999999998</v>
      </c>
    </row>
    <row r="9" spans="1:8" x14ac:dyDescent="0.25">
      <c r="A9" s="33" t="s">
        <v>782</v>
      </c>
      <c r="B9" s="33" t="s">
        <v>2240</v>
      </c>
      <c r="C9" s="33" t="s">
        <v>2241</v>
      </c>
      <c r="D9" s="2">
        <v>1.4406300000000001</v>
      </c>
      <c r="E9" s="2">
        <v>0.30752000000000013</v>
      </c>
      <c r="F9" s="2">
        <v>-1.69998</v>
      </c>
      <c r="G9" s="2">
        <v>-0.52264999999999995</v>
      </c>
      <c r="H9" s="2">
        <v>2.222630000000001</v>
      </c>
    </row>
    <row r="10" spans="1:8" x14ac:dyDescent="0.25">
      <c r="A10" s="33" t="s">
        <v>782</v>
      </c>
      <c r="B10" s="33" t="s">
        <v>2242</v>
      </c>
      <c r="C10" s="33" t="s">
        <v>2243</v>
      </c>
      <c r="D10" s="2">
        <v>0.50990999999999997</v>
      </c>
      <c r="E10" s="2">
        <v>-0.97741999999999996</v>
      </c>
      <c r="F10" s="2">
        <v>-0.37718000000000013</v>
      </c>
      <c r="G10" s="2">
        <v>-0.32296000000000008</v>
      </c>
      <c r="H10" s="2">
        <v>0.70014000000000021</v>
      </c>
    </row>
    <row r="11" spans="1:8" x14ac:dyDescent="0.25">
      <c r="A11" s="40" t="s">
        <v>782</v>
      </c>
      <c r="B11" s="40" t="s">
        <v>2244</v>
      </c>
      <c r="C11" s="40" t="s">
        <v>2245</v>
      </c>
      <c r="D11" s="4">
        <v>0.50336000000000003</v>
      </c>
      <c r="E11" s="4">
        <v>-1.01406</v>
      </c>
      <c r="F11" s="4">
        <v>-0.74841000000000002</v>
      </c>
      <c r="G11" s="4">
        <v>-0.43897999999999998</v>
      </c>
      <c r="H11" s="4">
        <v>1.1873899999999999</v>
      </c>
    </row>
  </sheetData>
  <sheetProtection formatColumns="0" formatRows="0"/>
  <hyperlinks>
    <hyperlink ref="A1" location="TOC!A1" display="Table of Contents" xr:uid="{EA933393-E1FB-41A0-8625-078E0DD6A463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2"/>
  <dimension ref="A1:H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108.42578125" customWidth="1"/>
  </cols>
  <sheetData>
    <row r="1" spans="1:8" x14ac:dyDescent="0.25">
      <c r="A1" s="141" t="s">
        <v>316</v>
      </c>
      <c r="B1" s="32" t="s">
        <v>408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230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POSLEAD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2246</v>
      </c>
      <c r="C7" s="33" t="s">
        <v>2247</v>
      </c>
      <c r="D7" s="2">
        <v>2.264110000000001</v>
      </c>
      <c r="E7" s="2">
        <v>-0.68772</v>
      </c>
      <c r="F7" s="2">
        <v>-2.6911200000000002</v>
      </c>
      <c r="G7" s="2">
        <v>-0.83306999999999998</v>
      </c>
      <c r="H7" s="2">
        <v>3.524189999999999</v>
      </c>
    </row>
    <row r="8" spans="1:8" x14ac:dyDescent="0.25">
      <c r="A8" s="33" t="s">
        <v>782</v>
      </c>
      <c r="B8" s="33" t="s">
        <v>2248</v>
      </c>
      <c r="C8" s="33" t="s">
        <v>2249</v>
      </c>
      <c r="D8" s="2">
        <v>2.7393999999999998</v>
      </c>
      <c r="E8" s="2">
        <v>-1.23725</v>
      </c>
      <c r="F8" s="2">
        <v>-3.1872699999999998</v>
      </c>
      <c r="G8" s="2">
        <v>-0.74621999999999999</v>
      </c>
      <c r="H8" s="2">
        <v>3.933489999999999</v>
      </c>
    </row>
    <row r="9" spans="1:8" x14ac:dyDescent="0.25">
      <c r="A9" s="33" t="s">
        <v>782</v>
      </c>
      <c r="B9" s="33" t="s">
        <v>2250</v>
      </c>
      <c r="C9" s="33" t="s">
        <v>2251</v>
      </c>
      <c r="D9" s="2">
        <v>3.1375000000000002</v>
      </c>
      <c r="E9" s="2">
        <v>-1.7603800000000001</v>
      </c>
      <c r="F9" s="2">
        <v>-3.2023500000000009</v>
      </c>
      <c r="G9" s="2">
        <v>-1.1539900000000001</v>
      </c>
      <c r="H9" s="2">
        <v>4.3563400000000003</v>
      </c>
    </row>
    <row r="10" spans="1:8" x14ac:dyDescent="0.25">
      <c r="A10" s="33" t="s">
        <v>782</v>
      </c>
      <c r="B10" s="33" t="s">
        <v>2252</v>
      </c>
      <c r="C10" s="33" t="s">
        <v>2253</v>
      </c>
      <c r="D10" s="2">
        <v>2.7433000000000001</v>
      </c>
      <c r="E10" s="2">
        <v>-1.43709</v>
      </c>
      <c r="F10" s="2">
        <v>-3.2138100000000009</v>
      </c>
      <c r="G10" s="2">
        <v>-1.1392899999999999</v>
      </c>
      <c r="H10" s="2">
        <v>4.3531000000000004</v>
      </c>
    </row>
    <row r="11" spans="1:8" x14ac:dyDescent="0.25">
      <c r="A11" s="33" t="s">
        <v>782</v>
      </c>
      <c r="B11" s="33" t="s">
        <v>2254</v>
      </c>
      <c r="C11" s="33" t="s">
        <v>2255</v>
      </c>
      <c r="D11" s="2">
        <v>3.455039999999999</v>
      </c>
      <c r="E11" s="2">
        <v>-1.20418</v>
      </c>
      <c r="F11" s="2">
        <v>-4.05633</v>
      </c>
      <c r="G11" s="2">
        <v>-0.95033999999999996</v>
      </c>
      <c r="H11" s="2">
        <v>5.0066699999999997</v>
      </c>
    </row>
    <row r="12" spans="1:8" x14ac:dyDescent="0.25">
      <c r="A12" s="33" t="s">
        <v>782</v>
      </c>
      <c r="B12" s="33" t="s">
        <v>2256</v>
      </c>
      <c r="C12" s="33" t="s">
        <v>2257</v>
      </c>
      <c r="D12" s="2">
        <v>3.6443899999999991</v>
      </c>
      <c r="E12" s="2">
        <v>-2.1710099999999999</v>
      </c>
      <c r="F12" s="2">
        <v>-3.5419</v>
      </c>
      <c r="G12" s="2">
        <v>-1.2871999999999999</v>
      </c>
      <c r="H12" s="2">
        <v>4.8291000000000004</v>
      </c>
    </row>
    <row r="13" spans="1:8" x14ac:dyDescent="0.25">
      <c r="A13" s="40" t="s">
        <v>782</v>
      </c>
      <c r="B13" s="40" t="s">
        <v>2258</v>
      </c>
      <c r="C13" s="40" t="s">
        <v>2259</v>
      </c>
      <c r="D13" s="4">
        <v>2.7931699999999999</v>
      </c>
      <c r="E13" s="4">
        <v>-1.3528199999999999</v>
      </c>
      <c r="F13" s="4">
        <v>-2.87018</v>
      </c>
      <c r="G13" s="4">
        <v>-0.89839000000000002</v>
      </c>
      <c r="H13" s="4">
        <v>3.76857</v>
      </c>
    </row>
  </sheetData>
  <sheetProtection formatColumns="0" formatRows="0"/>
  <hyperlinks>
    <hyperlink ref="A1" location="TOC!A1" display="Table of Contents" xr:uid="{61F5A4C8-88A6-49BD-8EC3-29631C3FDF12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3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61.28515625" customWidth="1"/>
  </cols>
  <sheetData>
    <row r="1" spans="1:8" x14ac:dyDescent="0.25">
      <c r="A1" s="141" t="s">
        <v>316</v>
      </c>
      <c r="B1" s="32" t="s">
        <v>404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230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ENJBSCIE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2260</v>
      </c>
      <c r="C7" s="33" t="s">
        <v>2261</v>
      </c>
      <c r="D7" s="2">
        <v>5</v>
      </c>
      <c r="E7" s="2">
        <v>-9.9443199999999994</v>
      </c>
      <c r="F7" s="2">
        <v>-3.344339999999999</v>
      </c>
      <c r="G7" s="2">
        <v>-2.57178</v>
      </c>
      <c r="H7" s="2">
        <v>5.9161200000000003</v>
      </c>
    </row>
    <row r="8" spans="1:8" x14ac:dyDescent="0.25">
      <c r="A8" s="33" t="s">
        <v>782</v>
      </c>
      <c r="B8" s="33" t="s">
        <v>2262</v>
      </c>
      <c r="C8" s="33" t="s">
        <v>2263</v>
      </c>
      <c r="D8" s="2">
        <v>3.9986000000000002</v>
      </c>
      <c r="E8" s="2">
        <v>-7.7410699999999997</v>
      </c>
      <c r="F8" s="2">
        <v>-2.9171800000000001</v>
      </c>
      <c r="G8" s="2">
        <v>-1.63798</v>
      </c>
      <c r="H8" s="2">
        <v>4.5551599999999999</v>
      </c>
    </row>
    <row r="9" spans="1:8" x14ac:dyDescent="0.25">
      <c r="A9" s="33" t="s">
        <v>782</v>
      </c>
      <c r="B9" s="33" t="s">
        <v>2264</v>
      </c>
      <c r="C9" s="33" t="s">
        <v>2265</v>
      </c>
      <c r="D9" s="2">
        <v>4.2807700000000004</v>
      </c>
      <c r="E9" s="2">
        <v>-8.0181699999999996</v>
      </c>
      <c r="F9" s="2">
        <v>-3.69957</v>
      </c>
      <c r="G9" s="2">
        <v>-1.74708</v>
      </c>
      <c r="H9" s="2">
        <v>5.44665</v>
      </c>
    </row>
    <row r="10" spans="1:8" x14ac:dyDescent="0.25">
      <c r="A10" s="40" t="s">
        <v>782</v>
      </c>
      <c r="B10" s="40" t="s">
        <v>2266</v>
      </c>
      <c r="C10" s="40" t="s">
        <v>985</v>
      </c>
      <c r="D10" s="4">
        <v>5</v>
      </c>
      <c r="E10" s="4">
        <v>-10.11504</v>
      </c>
      <c r="F10" s="4">
        <v>-3.3243399999999999</v>
      </c>
      <c r="G10" s="4">
        <v>-2.4929899999999998</v>
      </c>
      <c r="H10" s="4">
        <v>5.8173300000000001</v>
      </c>
    </row>
  </sheetData>
  <sheetProtection formatColumns="0" formatRows="0"/>
  <hyperlinks>
    <hyperlink ref="A1" location="TOC!A1" display="Table of Contents" xr:uid="{3C11789C-2285-4CB9-9F9D-B188077E0243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4"/>
  <dimension ref="A1:H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117.140625" customWidth="1"/>
  </cols>
  <sheetData>
    <row r="1" spans="1:8" x14ac:dyDescent="0.25">
      <c r="A1" s="141" t="s">
        <v>316</v>
      </c>
      <c r="B1" s="32" t="s">
        <v>407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232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PERSDIGRES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2267</v>
      </c>
      <c r="C7" s="33" t="s">
        <v>2268</v>
      </c>
      <c r="D7" s="2">
        <v>2.7006100000000011</v>
      </c>
      <c r="E7" s="2">
        <v>-2.23814</v>
      </c>
      <c r="F7" s="2">
        <v>-3.1477599999999999</v>
      </c>
      <c r="G7" s="2">
        <v>-1.1481399999999999</v>
      </c>
      <c r="H7" s="2">
        <v>4.2958999999999996</v>
      </c>
    </row>
    <row r="8" spans="1:8" x14ac:dyDescent="0.25">
      <c r="A8" s="33" t="s">
        <v>782</v>
      </c>
      <c r="B8" s="33" t="s">
        <v>2269</v>
      </c>
      <c r="C8" s="33" t="s">
        <v>2270</v>
      </c>
      <c r="D8" s="2">
        <v>1.7682199999999999</v>
      </c>
      <c r="E8" s="2">
        <v>-2.6350899999999999</v>
      </c>
      <c r="F8" s="2">
        <v>-1.13805</v>
      </c>
      <c r="G8" s="2">
        <v>-1.9948699999999999</v>
      </c>
      <c r="H8" s="2">
        <v>3.1329199999999999</v>
      </c>
    </row>
    <row r="9" spans="1:8" x14ac:dyDescent="0.25">
      <c r="A9" s="33" t="s">
        <v>782</v>
      </c>
      <c r="B9" s="33" t="s">
        <v>2271</v>
      </c>
      <c r="C9" s="33" t="s">
        <v>2272</v>
      </c>
      <c r="D9" s="2">
        <v>3.41648</v>
      </c>
      <c r="E9" s="2">
        <v>-1.7273700000000001</v>
      </c>
      <c r="F9" s="2">
        <v>-4.1403999999999996</v>
      </c>
      <c r="G9" s="2">
        <v>-0.66832000000000003</v>
      </c>
      <c r="H9" s="2">
        <v>4.8087200000000001</v>
      </c>
    </row>
    <row r="10" spans="1:8" x14ac:dyDescent="0.25">
      <c r="A10" s="33" t="s">
        <v>782</v>
      </c>
      <c r="B10" s="33" t="s">
        <v>2273</v>
      </c>
      <c r="C10" s="33" t="s">
        <v>2274</v>
      </c>
      <c r="D10" s="2">
        <v>2.6519900000000001</v>
      </c>
      <c r="E10" s="2">
        <v>-1.00064</v>
      </c>
      <c r="F10" s="2">
        <v>-3.23529</v>
      </c>
      <c r="G10" s="2">
        <v>-0.58935000000000004</v>
      </c>
      <c r="H10" s="2">
        <v>3.82464</v>
      </c>
    </row>
    <row r="11" spans="1:8" x14ac:dyDescent="0.25">
      <c r="A11" s="33" t="s">
        <v>782</v>
      </c>
      <c r="B11" s="33" t="s">
        <v>2275</v>
      </c>
      <c r="C11" s="33" t="s">
        <v>2276</v>
      </c>
      <c r="D11" s="2">
        <v>2.5810399999999998</v>
      </c>
      <c r="E11" s="2">
        <v>-1.7147399999999999</v>
      </c>
      <c r="F11" s="2">
        <v>-3.2518899999999999</v>
      </c>
      <c r="G11" s="2">
        <v>-0.90778000000000003</v>
      </c>
      <c r="H11" s="2">
        <v>4.1596700000000002</v>
      </c>
    </row>
    <row r="12" spans="1:8" x14ac:dyDescent="0.25">
      <c r="A12" s="33" t="s">
        <v>782</v>
      </c>
      <c r="B12" s="33" t="s">
        <v>2277</v>
      </c>
      <c r="C12" s="33" t="s">
        <v>2278</v>
      </c>
      <c r="D12" s="2">
        <v>2.2958799999999999</v>
      </c>
      <c r="E12" s="2">
        <v>-1.08229</v>
      </c>
      <c r="F12" s="2">
        <v>-2.9846299999999988</v>
      </c>
      <c r="G12" s="2">
        <v>-0.63840999999999981</v>
      </c>
      <c r="H12" s="2">
        <v>3.62304</v>
      </c>
    </row>
    <row r="13" spans="1:8" x14ac:dyDescent="0.25">
      <c r="A13" s="40" t="s">
        <v>782</v>
      </c>
      <c r="B13" s="40" t="s">
        <v>2279</v>
      </c>
      <c r="C13" s="40" t="s">
        <v>2280</v>
      </c>
      <c r="D13" s="4">
        <v>1.7078599999999999</v>
      </c>
      <c r="E13" s="4">
        <v>-1.9442200000000001</v>
      </c>
      <c r="F13" s="4">
        <v>-1.4347399999999999</v>
      </c>
      <c r="G13" s="4">
        <v>-1.2999400000000001</v>
      </c>
      <c r="H13" s="4">
        <v>2.73468</v>
      </c>
    </row>
  </sheetData>
  <sheetProtection formatColumns="0" formatRows="0"/>
  <hyperlinks>
    <hyperlink ref="A1" location="TOC!A1" display="Table of Contents" xr:uid="{588EC4D6-BD05-436C-AFFC-07D8A03F205C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5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101.7109375" customWidth="1"/>
  </cols>
  <sheetData>
    <row r="1" spans="1:8" x14ac:dyDescent="0.25">
      <c r="A1" s="141" t="s">
        <v>316</v>
      </c>
      <c r="B1" s="32" t="s">
        <v>410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234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STSCIACT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2281</v>
      </c>
      <c r="C7" s="33" t="s">
        <v>2282</v>
      </c>
      <c r="D7" s="2">
        <v>2.407280000000001</v>
      </c>
      <c r="E7" s="2">
        <v>2.2720199999999999</v>
      </c>
      <c r="F7" s="2">
        <v>-3.1840700000000011</v>
      </c>
      <c r="G7" s="2">
        <v>-0.50497000000000003</v>
      </c>
      <c r="H7" s="2">
        <v>3.6890399999999999</v>
      </c>
    </row>
    <row r="8" spans="1:8" x14ac:dyDescent="0.25">
      <c r="A8" s="33" t="s">
        <v>782</v>
      </c>
      <c r="B8" s="33" t="s">
        <v>2283</v>
      </c>
      <c r="C8" s="33" t="s">
        <v>2284</v>
      </c>
      <c r="D8" s="2">
        <v>1.5268299999999999</v>
      </c>
      <c r="E8" s="2">
        <v>2.456030000000001</v>
      </c>
      <c r="F8" s="2">
        <v>-1.8081</v>
      </c>
      <c r="G8" s="2">
        <v>-0.36696000000000001</v>
      </c>
      <c r="H8" s="2">
        <v>2.1750600000000002</v>
      </c>
    </row>
    <row r="9" spans="1:8" x14ac:dyDescent="0.25">
      <c r="A9" s="33" t="s">
        <v>782</v>
      </c>
      <c r="B9" s="33" t="s">
        <v>2285</v>
      </c>
      <c r="C9" s="33" t="s">
        <v>2286</v>
      </c>
      <c r="D9" s="2">
        <v>0.74021999999999988</v>
      </c>
      <c r="E9" s="2">
        <v>1.06386</v>
      </c>
      <c r="F9" s="2">
        <v>-0.41982000000000003</v>
      </c>
      <c r="G9" s="2">
        <v>-0.39715</v>
      </c>
      <c r="H9" s="2">
        <v>0.81696999999999986</v>
      </c>
    </row>
    <row r="10" spans="1:8" x14ac:dyDescent="0.25">
      <c r="A10" s="33" t="s">
        <v>782</v>
      </c>
      <c r="B10" s="33" t="s">
        <v>2287</v>
      </c>
      <c r="C10" s="33" t="s">
        <v>2288</v>
      </c>
      <c r="D10" s="2">
        <v>1.9575499999999999</v>
      </c>
      <c r="E10" s="2">
        <v>2.69028</v>
      </c>
      <c r="F10" s="2">
        <v>-2.0790000000000002</v>
      </c>
      <c r="G10" s="2">
        <v>-0.57193000000000005</v>
      </c>
      <c r="H10" s="2">
        <v>2.6509299999999998</v>
      </c>
    </row>
    <row r="11" spans="1:8" x14ac:dyDescent="0.25">
      <c r="A11" s="40" t="s">
        <v>782</v>
      </c>
      <c r="B11" s="40" t="s">
        <v>2289</v>
      </c>
      <c r="C11" s="40" t="s">
        <v>2290</v>
      </c>
      <c r="D11" s="4">
        <v>0.51259999999999994</v>
      </c>
      <c r="E11" s="4">
        <v>0.66124000000000016</v>
      </c>
      <c r="F11" s="4">
        <v>6.4100000000000004E-2</v>
      </c>
      <c r="G11" s="4">
        <v>-0.48126000000000002</v>
      </c>
      <c r="H11" s="4">
        <v>0.41715999999999998</v>
      </c>
    </row>
  </sheetData>
  <sheetProtection formatColumns="0" formatRows="0"/>
  <hyperlinks>
    <hyperlink ref="A1" location="TOC!A1" display="Table of Contents" xr:uid="{998BEC21-C248-481F-8B62-E3FD95A33E85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6"/>
  <dimension ref="A1:H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95" customWidth="1"/>
  </cols>
  <sheetData>
    <row r="1" spans="1:8" x14ac:dyDescent="0.25">
      <c r="A1" s="141" t="s">
        <v>316</v>
      </c>
      <c r="B1" s="32" t="s">
        <v>415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236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USEFORAS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2291</v>
      </c>
      <c r="C7" s="33" t="s">
        <v>2292</v>
      </c>
      <c r="D7" s="2">
        <v>0.50992999999999988</v>
      </c>
      <c r="E7" s="2">
        <v>-0.38436999999999999</v>
      </c>
      <c r="F7" s="2">
        <v>-1.09216</v>
      </c>
      <c r="G7" s="2">
        <v>0.29478999999999989</v>
      </c>
      <c r="H7" s="2">
        <v>0.7973699999999998</v>
      </c>
    </row>
    <row r="8" spans="1:8" x14ac:dyDescent="0.25">
      <c r="A8" s="33" t="s">
        <v>782</v>
      </c>
      <c r="B8" s="33" t="s">
        <v>2293</v>
      </c>
      <c r="C8" s="33" t="s">
        <v>2294</v>
      </c>
      <c r="D8" s="2">
        <v>1.0097700000000001</v>
      </c>
      <c r="E8" s="2">
        <v>-4.5749999999999999E-2</v>
      </c>
      <c r="F8" s="2">
        <v>-2.0053299999999998</v>
      </c>
      <c r="G8" s="2">
        <v>0.20213</v>
      </c>
      <c r="H8" s="2">
        <v>1.8031999999999999</v>
      </c>
    </row>
    <row r="9" spans="1:8" x14ac:dyDescent="0.25">
      <c r="A9" s="33" t="s">
        <v>782</v>
      </c>
      <c r="B9" s="33" t="s">
        <v>2295</v>
      </c>
      <c r="C9" s="33" t="s">
        <v>2296</v>
      </c>
      <c r="D9" s="2">
        <v>1.3929</v>
      </c>
      <c r="E9" s="2">
        <v>0.45606000000000002</v>
      </c>
      <c r="F9" s="2">
        <v>-2.58684</v>
      </c>
      <c r="G9" s="2">
        <v>0.32603999999999989</v>
      </c>
      <c r="H9" s="2">
        <v>2.2608000000000001</v>
      </c>
    </row>
    <row r="10" spans="1:8" x14ac:dyDescent="0.25">
      <c r="A10" s="33" t="s">
        <v>782</v>
      </c>
      <c r="B10" s="33" t="s">
        <v>2297</v>
      </c>
      <c r="C10" s="33" t="s">
        <v>2298</v>
      </c>
      <c r="D10" s="2">
        <v>0.92144000000000015</v>
      </c>
      <c r="E10" s="2">
        <v>-1.2029000000000001</v>
      </c>
      <c r="F10" s="2">
        <v>-2.1848200000000002</v>
      </c>
      <c r="G10" s="2">
        <v>0.2084</v>
      </c>
      <c r="H10" s="2">
        <v>1.976420000000001</v>
      </c>
    </row>
    <row r="11" spans="1:8" x14ac:dyDescent="0.25">
      <c r="A11" s="33" t="s">
        <v>782</v>
      </c>
      <c r="B11" s="33" t="s">
        <v>2299</v>
      </c>
      <c r="C11" s="33" t="s">
        <v>2300</v>
      </c>
      <c r="D11" s="2">
        <v>0.94843999999999995</v>
      </c>
      <c r="E11" s="2">
        <v>-0.67969000000000002</v>
      </c>
      <c r="F11" s="2">
        <v>-1.8312900000000001</v>
      </c>
      <c r="G11" s="2">
        <v>-6.634000000000001E-2</v>
      </c>
      <c r="H11" s="2">
        <v>1.8976299999999999</v>
      </c>
    </row>
    <row r="12" spans="1:8" x14ac:dyDescent="0.25">
      <c r="A12" s="33" t="s">
        <v>782</v>
      </c>
      <c r="B12" s="33" t="s">
        <v>2301</v>
      </c>
      <c r="C12" s="33" t="s">
        <v>2302</v>
      </c>
      <c r="D12" s="2">
        <v>1.39279</v>
      </c>
      <c r="E12" s="2">
        <v>0.83082999999999996</v>
      </c>
      <c r="F12" s="2">
        <v>-2.2860299999999998</v>
      </c>
      <c r="G12" s="2">
        <v>0.18540999999999999</v>
      </c>
      <c r="H12" s="2">
        <v>2.1006200000000002</v>
      </c>
    </row>
    <row r="13" spans="1:8" x14ac:dyDescent="0.25">
      <c r="A13" s="33" t="s">
        <v>782</v>
      </c>
      <c r="B13" s="33" t="s">
        <v>2303</v>
      </c>
      <c r="C13" s="33" t="s">
        <v>2304</v>
      </c>
      <c r="D13" s="2">
        <v>1.39086</v>
      </c>
      <c r="E13" s="2">
        <v>0.37748999999999999</v>
      </c>
      <c r="F13" s="2">
        <v>-1.8804799999999999</v>
      </c>
      <c r="G13" s="2">
        <v>0.12093</v>
      </c>
      <c r="H13" s="2">
        <v>1.7595499999999999</v>
      </c>
    </row>
    <row r="14" spans="1:8" x14ac:dyDescent="0.25">
      <c r="A14" s="33" t="s">
        <v>782</v>
      </c>
      <c r="B14" s="33" t="s">
        <v>2305</v>
      </c>
      <c r="C14" s="33" t="s">
        <v>2306</v>
      </c>
      <c r="D14" s="2">
        <v>0.84633999999999998</v>
      </c>
      <c r="E14" s="2">
        <v>0.19170999999999999</v>
      </c>
      <c r="F14" s="2">
        <v>-1.5002899999999999</v>
      </c>
      <c r="G14" s="2">
        <v>2.530000000000001E-3</v>
      </c>
      <c r="H14" s="2">
        <v>1.49776</v>
      </c>
    </row>
    <row r="15" spans="1:8" x14ac:dyDescent="0.25">
      <c r="A15" s="40" t="s">
        <v>782</v>
      </c>
      <c r="B15" s="40" t="s">
        <v>2307</v>
      </c>
      <c r="C15" s="40" t="s">
        <v>2308</v>
      </c>
      <c r="D15" s="4">
        <v>1.1680900000000001</v>
      </c>
      <c r="E15" s="4">
        <v>0.99109000000000003</v>
      </c>
      <c r="F15" s="4">
        <v>-1.5258799999999999</v>
      </c>
      <c r="G15" s="4">
        <v>0.14974000000000001</v>
      </c>
      <c r="H15" s="4">
        <v>1.3761399999999999</v>
      </c>
    </row>
  </sheetData>
  <sheetProtection formatColumns="0" formatRows="0"/>
  <hyperlinks>
    <hyperlink ref="A1" location="TOC!A1" display="Table of Contents" xr:uid="{A093FCA6-A87F-4667-94C7-434DC732027A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7"/>
  <dimension ref="A1:H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79.7109375" customWidth="1"/>
  </cols>
  <sheetData>
    <row r="1" spans="1:8" x14ac:dyDescent="0.25">
      <c r="A1" s="141" t="s">
        <v>316</v>
      </c>
      <c r="B1" s="32" t="s">
        <v>403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238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ENCOURSTUD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2309</v>
      </c>
      <c r="C7" s="33" t="s">
        <v>2310</v>
      </c>
      <c r="D7" s="2">
        <v>0.8035699999999999</v>
      </c>
      <c r="E7" s="2">
        <v>-2.0103300000000011</v>
      </c>
      <c r="F7" s="2">
        <v>-0.54781000000000002</v>
      </c>
      <c r="G7" s="2">
        <v>-0.59792000000000012</v>
      </c>
      <c r="H7" s="2">
        <v>1.1457299999999999</v>
      </c>
    </row>
    <row r="8" spans="1:8" x14ac:dyDescent="0.25">
      <c r="A8" s="33" t="s">
        <v>782</v>
      </c>
      <c r="B8" s="33" t="s">
        <v>2311</v>
      </c>
      <c r="C8" s="33" t="s">
        <v>2312</v>
      </c>
      <c r="D8" s="2">
        <v>1.80253</v>
      </c>
      <c r="E8" s="2">
        <v>-4.4687600000000014</v>
      </c>
      <c r="F8" s="2">
        <v>-0.88034000000000001</v>
      </c>
      <c r="G8" s="2">
        <v>-1.08379</v>
      </c>
      <c r="H8" s="2">
        <v>1.9641299999999999</v>
      </c>
    </row>
    <row r="9" spans="1:8" x14ac:dyDescent="0.25">
      <c r="A9" s="33" t="s">
        <v>782</v>
      </c>
      <c r="B9" s="33" t="s">
        <v>2313</v>
      </c>
      <c r="C9" s="33" t="s">
        <v>2314</v>
      </c>
      <c r="D9" s="2">
        <v>1.0730200000000001</v>
      </c>
      <c r="E9" s="2">
        <v>-1.4848699999999999</v>
      </c>
      <c r="F9" s="2">
        <v>-1.4815700000000001</v>
      </c>
      <c r="G9" s="2">
        <v>-0.21798000000000001</v>
      </c>
      <c r="H9" s="2">
        <v>1.6995499999999999</v>
      </c>
    </row>
    <row r="10" spans="1:8" x14ac:dyDescent="0.25">
      <c r="A10" s="33" t="s">
        <v>782</v>
      </c>
      <c r="B10" s="33" t="s">
        <v>2315</v>
      </c>
      <c r="C10" s="33" t="s">
        <v>2316</v>
      </c>
      <c r="D10" s="2">
        <v>0.26089000000000012</v>
      </c>
      <c r="E10" s="2">
        <v>-4.367E-2</v>
      </c>
      <c r="F10" s="2">
        <v>-0.62992000000000015</v>
      </c>
      <c r="G10" s="2">
        <v>-0.33006999999999997</v>
      </c>
      <c r="H10" s="2">
        <v>0.95999000000000001</v>
      </c>
    </row>
    <row r="11" spans="1:8" x14ac:dyDescent="0.25">
      <c r="A11" s="33" t="s">
        <v>782</v>
      </c>
      <c r="B11" s="33" t="s">
        <v>2317</v>
      </c>
      <c r="C11" s="33" t="s">
        <v>2318</v>
      </c>
      <c r="D11" s="2">
        <v>1.90229</v>
      </c>
      <c r="E11" s="2">
        <v>-3.7143099999999998</v>
      </c>
      <c r="F11" s="2">
        <v>-1.88188</v>
      </c>
      <c r="G11" s="2">
        <v>-0.62147000000000019</v>
      </c>
      <c r="H11" s="2">
        <v>2.5033500000000002</v>
      </c>
    </row>
    <row r="12" spans="1:8" x14ac:dyDescent="0.25">
      <c r="A12" s="33" t="s">
        <v>782</v>
      </c>
      <c r="B12" s="33" t="s">
        <v>2319</v>
      </c>
      <c r="C12" s="33" t="s">
        <v>2320</v>
      </c>
      <c r="D12" s="2">
        <v>2.6878899999999999</v>
      </c>
      <c r="E12" s="2">
        <v>-4.2490899999999998</v>
      </c>
      <c r="F12" s="2">
        <v>-2.8303699999999998</v>
      </c>
      <c r="G12" s="2">
        <v>-0.74924000000000002</v>
      </c>
      <c r="H12" s="2">
        <v>3.5796100000000002</v>
      </c>
    </row>
    <row r="13" spans="1:8" x14ac:dyDescent="0.25">
      <c r="A13" s="33" t="s">
        <v>782</v>
      </c>
      <c r="B13" s="33" t="s">
        <v>2321</v>
      </c>
      <c r="C13" s="33" t="s">
        <v>2322</v>
      </c>
      <c r="D13" s="2">
        <v>2.5962000000000001</v>
      </c>
      <c r="E13" s="2">
        <v>-4.2722399999999991</v>
      </c>
      <c r="F13" s="2">
        <v>-2.8490700000000002</v>
      </c>
      <c r="G13" s="2">
        <v>-0.70050999999999997</v>
      </c>
      <c r="H13" s="2">
        <v>3.5495800000000002</v>
      </c>
    </row>
    <row r="14" spans="1:8" x14ac:dyDescent="0.25">
      <c r="A14" s="40" t="s">
        <v>782</v>
      </c>
      <c r="B14" s="40" t="s">
        <v>2323</v>
      </c>
      <c r="C14" s="40" t="s">
        <v>2324</v>
      </c>
      <c r="D14" s="4">
        <v>3.3290299999999999</v>
      </c>
      <c r="E14" s="4">
        <v>-6.0762</v>
      </c>
      <c r="F14" s="4">
        <v>-3.712060000000001</v>
      </c>
      <c r="G14" s="4">
        <v>-0.72126000000000001</v>
      </c>
      <c r="H14" s="4">
        <v>4.433320000000001</v>
      </c>
    </row>
  </sheetData>
  <sheetProtection formatColumns="0" formatRows="0"/>
  <hyperlinks>
    <hyperlink ref="A1" location="TOC!A1" display="Table of Contents" xr:uid="{9B686C29-8FE2-40C6-BFDB-0CB4DC06796C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18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67.42578125" customWidth="1"/>
  </cols>
  <sheetData>
    <row r="1" spans="1:8" x14ac:dyDescent="0.25">
      <c r="A1" s="141" t="s">
        <v>316</v>
      </c>
      <c r="B1" s="32" t="s">
        <v>401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240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CONEXSCI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2325</v>
      </c>
      <c r="C7" s="33" t="s">
        <v>2326</v>
      </c>
      <c r="D7" s="2">
        <v>0.82310000000000005</v>
      </c>
      <c r="E7" s="2">
        <v>-1.8532999999999999</v>
      </c>
      <c r="F7" s="2">
        <v>-1.38341</v>
      </c>
      <c r="G7" s="2">
        <v>-0.31973000000000001</v>
      </c>
      <c r="H7" s="2">
        <v>1.7031400000000001</v>
      </c>
    </row>
    <row r="8" spans="1:8" x14ac:dyDescent="0.25">
      <c r="A8" s="33" t="s">
        <v>782</v>
      </c>
      <c r="B8" s="33" t="s">
        <v>2327</v>
      </c>
      <c r="C8" s="33" t="s">
        <v>2328</v>
      </c>
      <c r="D8" s="2">
        <v>0.93010000000000004</v>
      </c>
      <c r="E8" s="2">
        <v>-2.0001500000000001</v>
      </c>
      <c r="F8" s="2">
        <v>-1.3023</v>
      </c>
      <c r="G8" s="2">
        <v>-0.39978999999999998</v>
      </c>
      <c r="H8" s="2">
        <v>1.7020900000000001</v>
      </c>
    </row>
    <row r="9" spans="1:8" x14ac:dyDescent="0.25">
      <c r="A9" s="33" t="s">
        <v>782</v>
      </c>
      <c r="B9" s="33" t="s">
        <v>2329</v>
      </c>
      <c r="C9" s="33" t="s">
        <v>2330</v>
      </c>
      <c r="D9" s="2">
        <v>5</v>
      </c>
      <c r="E9" s="2">
        <v>-8.4367699999999992</v>
      </c>
      <c r="F9" s="2">
        <v>-5.38781</v>
      </c>
      <c r="G9" s="2">
        <v>-0.64557999999999982</v>
      </c>
      <c r="H9" s="2">
        <v>6.0333899999999998</v>
      </c>
    </row>
    <row r="10" spans="1:8" x14ac:dyDescent="0.25">
      <c r="A10" s="40" t="s">
        <v>782</v>
      </c>
      <c r="B10" s="40" t="s">
        <v>2331</v>
      </c>
      <c r="C10" s="40" t="s">
        <v>2332</v>
      </c>
      <c r="D10" s="4">
        <v>5</v>
      </c>
      <c r="E10" s="4">
        <v>-8.5805399999999992</v>
      </c>
      <c r="F10" s="4">
        <v>-5.2477200000000002</v>
      </c>
      <c r="G10" s="4">
        <v>-0.72716000000000003</v>
      </c>
      <c r="H10" s="4">
        <v>5.9748800000000024</v>
      </c>
    </row>
  </sheetData>
  <sheetProtection formatColumns="0" formatRows="0"/>
  <hyperlinks>
    <hyperlink ref="A1" location="TOC!A1" display="Table of Contents" xr:uid="{9D2F9692-8742-4561-BE54-EA0D65273334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19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83.140625" customWidth="1"/>
  </cols>
  <sheetData>
    <row r="1" spans="1:9" x14ac:dyDescent="0.25">
      <c r="A1" s="141" t="s">
        <v>316</v>
      </c>
      <c r="B1" s="32" t="s">
        <v>402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242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" t="str">
        <f>_xlfn.CONCAT("Items in the ",B1," scale")</f>
        <v>Items in the DRUSESCT scale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  <c r="I6" s="65" t="s">
        <v>780</v>
      </c>
    </row>
    <row r="7" spans="1:9" x14ac:dyDescent="0.25">
      <c r="A7" s="33" t="s">
        <v>782</v>
      </c>
      <c r="B7" s="33" t="s">
        <v>2333</v>
      </c>
      <c r="C7" s="33" t="s">
        <v>2334</v>
      </c>
      <c r="D7" s="2">
        <v>1.9131400000000001</v>
      </c>
      <c r="E7" s="2">
        <v>-0.3056799999999999</v>
      </c>
      <c r="F7" s="2">
        <v>-2.7764199999999999</v>
      </c>
      <c r="G7" s="2">
        <v>-1.02207</v>
      </c>
      <c r="H7" s="2">
        <v>0.84214999999999995</v>
      </c>
      <c r="I7" s="2">
        <v>2.95634</v>
      </c>
    </row>
    <row r="8" spans="1:9" x14ac:dyDescent="0.25">
      <c r="A8" s="33" t="s">
        <v>782</v>
      </c>
      <c r="B8" s="33" t="s">
        <v>2335</v>
      </c>
      <c r="C8" s="33" t="s">
        <v>2336</v>
      </c>
      <c r="D8" s="2">
        <v>2.4975900000000002</v>
      </c>
      <c r="E8" s="2">
        <v>-0.24224000000000001</v>
      </c>
      <c r="F8" s="2">
        <v>-3.4983300000000002</v>
      </c>
      <c r="G8" s="2">
        <v>-1.2790299999999999</v>
      </c>
      <c r="H8" s="2">
        <v>1.0678399999999999</v>
      </c>
      <c r="I8" s="2">
        <v>3.7095199999999999</v>
      </c>
    </row>
    <row r="9" spans="1:9" x14ac:dyDescent="0.25">
      <c r="A9" s="33" t="s">
        <v>782</v>
      </c>
      <c r="B9" s="33" t="s">
        <v>2337</v>
      </c>
      <c r="C9" s="33" t="s">
        <v>2338</v>
      </c>
      <c r="D9" s="2">
        <v>1.27633</v>
      </c>
      <c r="E9" s="2">
        <v>0.69267000000000001</v>
      </c>
      <c r="F9" s="2">
        <v>-1.15717</v>
      </c>
      <c r="G9" s="2">
        <v>-0.85872000000000004</v>
      </c>
      <c r="H9" s="2">
        <v>0.39534999999999992</v>
      </c>
      <c r="I9" s="2">
        <v>1.6205400000000001</v>
      </c>
    </row>
    <row r="10" spans="1:9" x14ac:dyDescent="0.25">
      <c r="A10" s="40" t="s">
        <v>782</v>
      </c>
      <c r="B10" s="40" t="s">
        <v>2339</v>
      </c>
      <c r="C10" s="40" t="s">
        <v>2340</v>
      </c>
      <c r="D10" s="4">
        <v>1.0968100000000001</v>
      </c>
      <c r="E10" s="4">
        <v>1.2131099999999999</v>
      </c>
      <c r="F10" s="4">
        <v>-0.43090000000000001</v>
      </c>
      <c r="G10" s="4">
        <v>-0.72397</v>
      </c>
      <c r="H10" s="4">
        <v>1.899E-2</v>
      </c>
      <c r="I10" s="4">
        <v>1.13588</v>
      </c>
    </row>
  </sheetData>
  <sheetProtection formatColumns="0" formatRows="0"/>
  <hyperlinks>
    <hyperlink ref="A1" location="TOC!A1" display="Table of Contents" xr:uid="{D706FE01-39AE-4D56-A163-5E8D051DC778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0"/>
  <dimension ref="A1:I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81.42578125" customWidth="1"/>
    <col min="4" max="4" width="10.7109375" customWidth="1"/>
  </cols>
  <sheetData>
    <row r="1" spans="1:9" x14ac:dyDescent="0.25">
      <c r="A1" s="141" t="s">
        <v>316</v>
      </c>
      <c r="B1" s="32" t="s">
        <v>412</v>
      </c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244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" t="str">
        <f>_xlfn.CONCAT("Items in the ",B1," scale")</f>
        <v>Items in the TCDISCLISC scale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65" t="s">
        <v>922</v>
      </c>
      <c r="E6" s="65" t="s">
        <v>775</v>
      </c>
      <c r="F6" s="65" t="s">
        <v>776</v>
      </c>
      <c r="G6" s="65" t="s">
        <v>777</v>
      </c>
      <c r="H6" s="65" t="s">
        <v>778</v>
      </c>
      <c r="I6" s="65" t="s">
        <v>779</v>
      </c>
    </row>
    <row r="7" spans="1:9" x14ac:dyDescent="0.25">
      <c r="A7" s="33" t="s">
        <v>782</v>
      </c>
      <c r="B7" s="33" t="s">
        <v>2341</v>
      </c>
      <c r="C7" s="33" t="s">
        <v>2342</v>
      </c>
      <c r="D7" s="53" t="s">
        <v>927</v>
      </c>
      <c r="E7" s="2">
        <v>1.7559100000000001</v>
      </c>
      <c r="F7" s="2">
        <v>-1.77047</v>
      </c>
      <c r="G7" s="2">
        <v>-1.3341400000000001</v>
      </c>
      <c r="H7" s="2">
        <v>-1.40218</v>
      </c>
      <c r="I7" s="2">
        <v>2.7363200000000001</v>
      </c>
    </row>
    <row r="8" spans="1:9" x14ac:dyDescent="0.25">
      <c r="A8" s="33" t="s">
        <v>782</v>
      </c>
      <c r="B8" s="33" t="s">
        <v>2343</v>
      </c>
      <c r="C8" s="33" t="s">
        <v>1098</v>
      </c>
      <c r="D8" s="53" t="s">
        <v>927</v>
      </c>
      <c r="E8" s="2">
        <v>2.0092599999999998</v>
      </c>
      <c r="F8" s="2">
        <v>-2.62385</v>
      </c>
      <c r="G8" s="2">
        <v>-2.0785</v>
      </c>
      <c r="H8" s="2">
        <v>-1.01288</v>
      </c>
      <c r="I8" s="2">
        <v>3.09138</v>
      </c>
    </row>
    <row r="9" spans="1:9" x14ac:dyDescent="0.25">
      <c r="A9" s="33" t="s">
        <v>782</v>
      </c>
      <c r="B9" s="33" t="s">
        <v>2344</v>
      </c>
      <c r="C9" s="33" t="s">
        <v>2345</v>
      </c>
      <c r="D9" s="53" t="s">
        <v>927</v>
      </c>
      <c r="E9" s="2">
        <v>2.1535299999999999</v>
      </c>
      <c r="F9" s="2">
        <v>-2.7211099999999999</v>
      </c>
      <c r="G9" s="2">
        <v>-1.8198399999999999</v>
      </c>
      <c r="H9" s="2">
        <v>-0.89370000000000005</v>
      </c>
      <c r="I9" s="2">
        <v>2.7135400000000001</v>
      </c>
    </row>
    <row r="10" spans="1:9" x14ac:dyDescent="0.25">
      <c r="A10" s="33" t="s">
        <v>782</v>
      </c>
      <c r="B10" s="33" t="s">
        <v>2346</v>
      </c>
      <c r="C10" s="33" t="s">
        <v>1102</v>
      </c>
      <c r="D10" s="53" t="s">
        <v>927</v>
      </c>
      <c r="E10" s="2">
        <v>2.0518000000000001</v>
      </c>
      <c r="F10" s="2">
        <v>-2.1905999999999999</v>
      </c>
      <c r="G10" s="2">
        <v>-2.4694699999999989</v>
      </c>
      <c r="H10" s="2">
        <v>-1.0606899999999999</v>
      </c>
      <c r="I10" s="2">
        <v>3.53016</v>
      </c>
    </row>
    <row r="11" spans="1:9" x14ac:dyDescent="0.25">
      <c r="A11" s="33" t="s">
        <v>782</v>
      </c>
      <c r="B11" s="33" t="s">
        <v>2347</v>
      </c>
      <c r="C11" s="33" t="s">
        <v>2348</v>
      </c>
      <c r="D11" s="53" t="s">
        <v>927</v>
      </c>
      <c r="E11" s="2">
        <v>2.51864</v>
      </c>
      <c r="F11" s="2">
        <v>-2.950470000000001</v>
      </c>
      <c r="G11" s="2">
        <v>-2.7088100000000011</v>
      </c>
      <c r="H11" s="2">
        <v>-0.70737000000000005</v>
      </c>
      <c r="I11" s="2">
        <v>3.4161799999999989</v>
      </c>
    </row>
    <row r="12" spans="1:9" x14ac:dyDescent="0.25">
      <c r="A12" s="33" t="s">
        <v>782</v>
      </c>
      <c r="B12" s="33" t="s">
        <v>2349</v>
      </c>
      <c r="C12" s="33" t="s">
        <v>2350</v>
      </c>
      <c r="D12" s="53" t="s">
        <v>927</v>
      </c>
      <c r="E12" s="2">
        <v>1.0450200000000001</v>
      </c>
      <c r="F12" s="2">
        <v>-0.89141999999999988</v>
      </c>
      <c r="G12" s="2">
        <v>-0.91683999999999999</v>
      </c>
      <c r="H12" s="2">
        <v>-0.66554000000000002</v>
      </c>
      <c r="I12" s="2">
        <v>1.5823799999999999</v>
      </c>
    </row>
    <row r="13" spans="1:9" x14ac:dyDescent="0.25">
      <c r="A13" s="33" t="s">
        <v>782</v>
      </c>
      <c r="B13" s="33" t="s">
        <v>2351</v>
      </c>
      <c r="C13" s="33" t="s">
        <v>2352</v>
      </c>
      <c r="D13" s="53" t="s">
        <v>927</v>
      </c>
      <c r="E13" s="2">
        <v>1.0414699999999999</v>
      </c>
      <c r="F13" s="2">
        <v>-1.2633099999999999</v>
      </c>
      <c r="G13" s="2">
        <v>-0.80101999999999984</v>
      </c>
      <c r="H13" s="2">
        <v>-0.80779000000000001</v>
      </c>
      <c r="I13" s="2">
        <v>1.6088100000000001</v>
      </c>
    </row>
    <row r="14" spans="1:9" x14ac:dyDescent="0.25">
      <c r="A14" s="40" t="s">
        <v>782</v>
      </c>
      <c r="B14" s="40" t="s">
        <v>2353</v>
      </c>
      <c r="C14" s="40" t="s">
        <v>2354</v>
      </c>
      <c r="D14" s="78" t="s">
        <v>927</v>
      </c>
      <c r="E14" s="4">
        <v>1.23638</v>
      </c>
      <c r="F14" s="4">
        <v>-1.5374300000000001</v>
      </c>
      <c r="G14" s="4">
        <v>-0.89522999999999997</v>
      </c>
      <c r="H14" s="4">
        <v>-0.79981000000000002</v>
      </c>
      <c r="I14" s="4">
        <v>1.6950400000000001</v>
      </c>
    </row>
  </sheetData>
  <sheetProtection formatColumns="0" formatRows="0"/>
  <hyperlinks>
    <hyperlink ref="A1" location="TOC!A1" display="Table of Contents" xr:uid="{768635BF-4D0D-4F36-B8EB-3DCC828AB65D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1"/>
  <dimension ref="A1:H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15.42578125" customWidth="1"/>
    <col min="3" max="3" width="76.42578125" customWidth="1"/>
  </cols>
  <sheetData>
    <row r="1" spans="1:8" x14ac:dyDescent="0.25">
      <c r="A1" s="141" t="s">
        <v>316</v>
      </c>
      <c r="B1" s="32" t="s">
        <v>400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246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BELLRNG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2355</v>
      </c>
      <c r="C7" s="33" t="s">
        <v>2356</v>
      </c>
      <c r="D7" s="2">
        <v>2.8193999999999999</v>
      </c>
      <c r="E7" s="2">
        <v>-3.39873</v>
      </c>
      <c r="F7" s="2">
        <v>-3.01566</v>
      </c>
      <c r="G7" s="2">
        <v>-1.18418</v>
      </c>
      <c r="H7" s="2">
        <v>4.19984</v>
      </c>
    </row>
    <row r="8" spans="1:8" x14ac:dyDescent="0.25">
      <c r="A8" s="33" t="s">
        <v>782</v>
      </c>
      <c r="B8" s="33" t="s">
        <v>2357</v>
      </c>
      <c r="C8" s="33" t="s">
        <v>2358</v>
      </c>
      <c r="D8" s="2">
        <v>3.6240600000000001</v>
      </c>
      <c r="E8" s="2">
        <v>-3.68662</v>
      </c>
      <c r="F8" s="2">
        <v>-4.2716900000000004</v>
      </c>
      <c r="G8" s="2">
        <v>-0.33677000000000001</v>
      </c>
      <c r="H8" s="2">
        <v>4.6084600000000009</v>
      </c>
    </row>
    <row r="9" spans="1:8" x14ac:dyDescent="0.25">
      <c r="A9" s="33" t="s">
        <v>782</v>
      </c>
      <c r="B9" s="33" t="s">
        <v>2359</v>
      </c>
      <c r="C9" s="33" t="s">
        <v>2360</v>
      </c>
      <c r="D9" s="2">
        <v>1.3689899999999999</v>
      </c>
      <c r="E9" s="2">
        <v>-0.95472000000000001</v>
      </c>
      <c r="F9" s="2">
        <v>-2.6694399999999998</v>
      </c>
      <c r="G9" s="2">
        <v>-0.15468999999999999</v>
      </c>
      <c r="H9" s="2">
        <v>2.8241299999999998</v>
      </c>
    </row>
    <row r="10" spans="1:8" x14ac:dyDescent="0.25">
      <c r="A10" s="40" t="s">
        <v>782</v>
      </c>
      <c r="B10" s="40" t="s">
        <v>2361</v>
      </c>
      <c r="C10" s="40" t="s">
        <v>2362</v>
      </c>
      <c r="D10" s="4">
        <v>1.59636</v>
      </c>
      <c r="E10" s="4">
        <v>-1.64306</v>
      </c>
      <c r="F10" s="4">
        <v>-2.33609</v>
      </c>
      <c r="G10" s="4">
        <v>-0.76805999999999996</v>
      </c>
      <c r="H10" s="4">
        <v>3.1041499999999989</v>
      </c>
    </row>
  </sheetData>
  <sheetProtection formatColumns="0" formatRows="0"/>
  <hyperlinks>
    <hyperlink ref="A1" location="TOC!A1" display="Table of Contents" xr:uid="{A502A029-4610-4AB9-8B4D-6903748F3575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2"/>
  <dimension ref="A1:H1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90.42578125" customWidth="1"/>
  </cols>
  <sheetData>
    <row r="1" spans="1:8" x14ac:dyDescent="0.25">
      <c r="A1" s="141" t="s">
        <v>316</v>
      </c>
      <c r="B1" s="32" t="s">
        <v>409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248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SCIETCOLL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2363</v>
      </c>
      <c r="C7" s="33" t="s">
        <v>2364</v>
      </c>
      <c r="D7" s="2">
        <v>1.50457</v>
      </c>
      <c r="E7" s="2">
        <v>-1.8000400000000001</v>
      </c>
      <c r="F7" s="2">
        <v>-1.3103100000000001</v>
      </c>
      <c r="G7" s="2">
        <v>-0.49768000000000001</v>
      </c>
      <c r="H7" s="2">
        <v>1.80799</v>
      </c>
    </row>
    <row r="8" spans="1:8" x14ac:dyDescent="0.25">
      <c r="A8" s="33" t="s">
        <v>782</v>
      </c>
      <c r="B8" s="33" t="s">
        <v>2365</v>
      </c>
      <c r="C8" s="33" t="s">
        <v>2366</v>
      </c>
      <c r="D8" s="2">
        <v>1.82643</v>
      </c>
      <c r="E8" s="2">
        <v>-1.67391</v>
      </c>
      <c r="F8" s="2">
        <v>-1.75993</v>
      </c>
      <c r="G8" s="2">
        <v>-0.46016000000000001</v>
      </c>
      <c r="H8" s="2">
        <v>2.220089999999999</v>
      </c>
    </row>
    <row r="9" spans="1:8" x14ac:dyDescent="0.25">
      <c r="A9" s="33" t="s">
        <v>782</v>
      </c>
      <c r="B9" s="33" t="s">
        <v>2367</v>
      </c>
      <c r="C9" s="33" t="s">
        <v>2368</v>
      </c>
      <c r="D9" s="2">
        <v>1.7235499999999999</v>
      </c>
      <c r="E9" s="2">
        <v>-0.99734</v>
      </c>
      <c r="F9" s="2">
        <v>-1.53626</v>
      </c>
      <c r="G9" s="2">
        <v>-0.36653000000000008</v>
      </c>
      <c r="H9" s="2">
        <v>1.90279</v>
      </c>
    </row>
    <row r="10" spans="1:8" x14ac:dyDescent="0.25">
      <c r="A10" s="33" t="s">
        <v>782</v>
      </c>
      <c r="B10" s="33" t="s">
        <v>2369</v>
      </c>
      <c r="C10" s="33" t="s">
        <v>2370</v>
      </c>
      <c r="D10" s="2">
        <v>3.0872700000000011</v>
      </c>
      <c r="E10" s="2">
        <v>-2.6686899999999998</v>
      </c>
      <c r="F10" s="2">
        <v>-3.153420000000001</v>
      </c>
      <c r="G10" s="2">
        <v>-0.46800000000000008</v>
      </c>
      <c r="H10" s="2">
        <v>3.6214200000000001</v>
      </c>
    </row>
    <row r="11" spans="1:8" x14ac:dyDescent="0.25">
      <c r="A11" s="33" t="s">
        <v>782</v>
      </c>
      <c r="B11" s="33" t="s">
        <v>2371</v>
      </c>
      <c r="C11" s="33" t="s">
        <v>2372</v>
      </c>
      <c r="D11" s="2">
        <v>2.8440699999999999</v>
      </c>
      <c r="E11" s="2">
        <v>-2.1801400000000002</v>
      </c>
      <c r="F11" s="2">
        <v>-2.9652500000000011</v>
      </c>
      <c r="G11" s="2">
        <v>-0.32984000000000008</v>
      </c>
      <c r="H11" s="2">
        <v>3.2950900000000001</v>
      </c>
    </row>
    <row r="12" spans="1:8" x14ac:dyDescent="0.25">
      <c r="A12" s="33" t="s">
        <v>782</v>
      </c>
      <c r="B12" s="33" t="s">
        <v>2373</v>
      </c>
      <c r="C12" s="33" t="s">
        <v>2374</v>
      </c>
      <c r="D12" s="2">
        <v>1.5881400000000001</v>
      </c>
      <c r="E12" s="2">
        <v>-0.49253999999999998</v>
      </c>
      <c r="F12" s="2">
        <v>-1.5328999999999999</v>
      </c>
      <c r="G12" s="2">
        <v>-0.41613</v>
      </c>
      <c r="H12" s="2">
        <v>1.94903</v>
      </c>
    </row>
    <row r="13" spans="1:8" x14ac:dyDescent="0.25">
      <c r="A13" s="33" t="s">
        <v>782</v>
      </c>
      <c r="B13" s="33" t="s">
        <v>2375</v>
      </c>
      <c r="C13" s="33" t="s">
        <v>2376</v>
      </c>
      <c r="D13" s="2">
        <v>1.8886099999999999</v>
      </c>
      <c r="E13" s="2">
        <v>-0.95601000000000003</v>
      </c>
      <c r="F13" s="2">
        <v>-2.00217</v>
      </c>
      <c r="G13" s="2">
        <v>-0.37798999999999999</v>
      </c>
      <c r="H13" s="2">
        <v>2.3801600000000001</v>
      </c>
    </row>
    <row r="14" spans="1:8" x14ac:dyDescent="0.25">
      <c r="A14" s="33" t="s">
        <v>782</v>
      </c>
      <c r="B14" s="33" t="s">
        <v>2377</v>
      </c>
      <c r="C14" s="33" t="s">
        <v>2378</v>
      </c>
      <c r="D14" s="2">
        <v>1.9639200000000001</v>
      </c>
      <c r="E14" s="2">
        <v>-0.42018</v>
      </c>
      <c r="F14" s="2">
        <v>-1.8676900000000001</v>
      </c>
      <c r="G14" s="2">
        <v>-0.30225999999999997</v>
      </c>
      <c r="H14" s="2">
        <v>2.16995</v>
      </c>
    </row>
    <row r="15" spans="1:8" x14ac:dyDescent="0.25">
      <c r="A15" s="40" t="s">
        <v>782</v>
      </c>
      <c r="B15" s="40" t="s">
        <v>2379</v>
      </c>
      <c r="C15" s="40" t="s">
        <v>2380</v>
      </c>
      <c r="D15" s="4">
        <v>2.8892199999999999</v>
      </c>
      <c r="E15" s="4">
        <v>-1.61253</v>
      </c>
      <c r="F15" s="4">
        <v>-2.7611699999999999</v>
      </c>
      <c r="G15" s="4">
        <v>-0.48215000000000002</v>
      </c>
      <c r="H15" s="4">
        <v>3.2433200000000002</v>
      </c>
    </row>
  </sheetData>
  <sheetProtection formatColumns="0" formatRows="0"/>
  <hyperlinks>
    <hyperlink ref="A1" location="TOC!A1" display="Table of Contents" xr:uid="{EB77093D-EB29-429E-A901-9CABAA837D12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3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90.42578125" customWidth="1"/>
  </cols>
  <sheetData>
    <row r="1" spans="1:8" x14ac:dyDescent="0.25">
      <c r="A1" s="141" t="s">
        <v>316</v>
      </c>
      <c r="B1" s="32" t="s">
        <v>406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250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PARSCLRN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2381</v>
      </c>
      <c r="C7" s="33" t="s">
        <v>2382</v>
      </c>
      <c r="D7" s="2">
        <v>1.02644</v>
      </c>
      <c r="E7" s="2">
        <v>1.0454300000000001</v>
      </c>
      <c r="F7" s="2">
        <v>-0.82213000000000003</v>
      </c>
      <c r="G7" s="2">
        <v>-0.37136000000000002</v>
      </c>
      <c r="H7" s="2">
        <v>1.1934899999999999</v>
      </c>
    </row>
    <row r="8" spans="1:8" x14ac:dyDescent="0.25">
      <c r="A8" s="33" t="s">
        <v>782</v>
      </c>
      <c r="B8" s="33" t="s">
        <v>2383</v>
      </c>
      <c r="C8" s="33" t="s">
        <v>2384</v>
      </c>
      <c r="D8" s="2">
        <v>2.6010800000000001</v>
      </c>
      <c r="E8" s="2">
        <v>-0.26062000000000002</v>
      </c>
      <c r="F8" s="2">
        <v>-3.48298</v>
      </c>
      <c r="G8" s="2">
        <v>-0.34212999999999999</v>
      </c>
      <c r="H8" s="2">
        <v>3.82511</v>
      </c>
    </row>
    <row r="9" spans="1:8" x14ac:dyDescent="0.25">
      <c r="A9" s="33" t="s">
        <v>782</v>
      </c>
      <c r="B9" s="33" t="s">
        <v>2385</v>
      </c>
      <c r="C9" s="33" t="s">
        <v>2386</v>
      </c>
      <c r="D9" s="2">
        <v>3.7254499999999999</v>
      </c>
      <c r="E9" s="2">
        <v>1.0045900000000001</v>
      </c>
      <c r="F9" s="2">
        <v>-4.1876900000000008</v>
      </c>
      <c r="G9" s="2">
        <v>-0.56008000000000002</v>
      </c>
      <c r="H9" s="2">
        <v>4.74777</v>
      </c>
    </row>
    <row r="10" spans="1:8" x14ac:dyDescent="0.25">
      <c r="A10" s="33" t="s">
        <v>782</v>
      </c>
      <c r="B10" s="33" t="s">
        <v>2387</v>
      </c>
      <c r="C10" s="33" t="s">
        <v>2388</v>
      </c>
      <c r="D10" s="2">
        <v>3.44435</v>
      </c>
      <c r="E10" s="2">
        <v>0.82781000000000005</v>
      </c>
      <c r="F10" s="2">
        <v>-4.1527399999999988</v>
      </c>
      <c r="G10" s="2">
        <v>-0.38117000000000012</v>
      </c>
      <c r="H10" s="2">
        <v>4.5339099999999997</v>
      </c>
    </row>
    <row r="11" spans="1:8" x14ac:dyDescent="0.25">
      <c r="A11" s="33" t="s">
        <v>782</v>
      </c>
      <c r="B11" s="33" t="s">
        <v>2389</v>
      </c>
      <c r="C11" s="33" t="s">
        <v>2390</v>
      </c>
      <c r="D11" s="2">
        <v>1.968</v>
      </c>
      <c r="E11" s="2">
        <v>1.43163</v>
      </c>
      <c r="F11" s="2">
        <v>-2.0916999999999999</v>
      </c>
      <c r="G11" s="2">
        <v>-0.34376000000000001</v>
      </c>
      <c r="H11" s="2">
        <v>2.43546</v>
      </c>
    </row>
    <row r="12" spans="1:8" x14ac:dyDescent="0.25">
      <c r="A12" s="40" t="s">
        <v>782</v>
      </c>
      <c r="B12" s="40" t="s">
        <v>2391</v>
      </c>
      <c r="C12" s="40" t="s">
        <v>2392</v>
      </c>
      <c r="D12" s="4">
        <v>1.01827</v>
      </c>
      <c r="E12" s="4">
        <v>-0.27866000000000002</v>
      </c>
      <c r="F12" s="4">
        <v>-1.419</v>
      </c>
      <c r="G12" s="4">
        <v>-0.30853000000000003</v>
      </c>
      <c r="H12" s="4">
        <v>1.72753</v>
      </c>
    </row>
  </sheetData>
  <sheetProtection formatColumns="0" formatRows="0"/>
  <hyperlinks>
    <hyperlink ref="A1" location="TOC!A1" display="Table of Contents" xr:uid="{CDFF3FF4-F750-43CD-B53B-CFDB60C11D4B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4"/>
  <dimension ref="A1:H14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90.42578125" customWidth="1"/>
  </cols>
  <sheetData>
    <row r="1" spans="1:8" x14ac:dyDescent="0.25">
      <c r="A1" s="141" t="s">
        <v>316</v>
      </c>
      <c r="B1" s="32" t="s">
        <v>411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252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TCBELSCIE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2393</v>
      </c>
      <c r="C7" s="33" t="s">
        <v>1010</v>
      </c>
      <c r="D7" s="2">
        <v>1.87723</v>
      </c>
      <c r="E7" s="2">
        <v>-3.7805800000000001</v>
      </c>
      <c r="F7" s="2">
        <v>-1.91032</v>
      </c>
      <c r="G7" s="2">
        <v>-1.46576</v>
      </c>
      <c r="H7" s="2">
        <v>3.3760800000000009</v>
      </c>
    </row>
    <row r="8" spans="1:8" x14ac:dyDescent="0.25">
      <c r="A8" s="33" t="s">
        <v>782</v>
      </c>
      <c r="B8" s="33" t="s">
        <v>2394</v>
      </c>
      <c r="C8" s="33" t="s">
        <v>2395</v>
      </c>
      <c r="D8" s="2">
        <v>2.42015</v>
      </c>
      <c r="E8" s="2">
        <v>-5.1065499999999986</v>
      </c>
      <c r="F8" s="2">
        <v>-2.18954</v>
      </c>
      <c r="G8" s="2">
        <v>-1.3614900000000001</v>
      </c>
      <c r="H8" s="2">
        <v>3.5510299999999999</v>
      </c>
    </row>
    <row r="9" spans="1:8" x14ac:dyDescent="0.25">
      <c r="A9" s="33" t="s">
        <v>782</v>
      </c>
      <c r="B9" s="33" t="s">
        <v>2396</v>
      </c>
      <c r="C9" s="33" t="s">
        <v>2397</v>
      </c>
      <c r="D9" s="2">
        <v>2.670529999999999</v>
      </c>
      <c r="E9" s="2">
        <v>-5.9838699999999987</v>
      </c>
      <c r="F9" s="2">
        <v>-1.9068499999999999</v>
      </c>
      <c r="G9" s="2">
        <v>-1.89493</v>
      </c>
      <c r="H9" s="2">
        <v>3.801779999999999</v>
      </c>
    </row>
    <row r="10" spans="1:8" x14ac:dyDescent="0.25">
      <c r="A10" s="33" t="s">
        <v>782</v>
      </c>
      <c r="B10" s="33" t="s">
        <v>2398</v>
      </c>
      <c r="C10" s="33" t="s">
        <v>2399</v>
      </c>
      <c r="D10" s="2">
        <v>2.7100399999999998</v>
      </c>
      <c r="E10" s="2">
        <v>-5.6478499999999991</v>
      </c>
      <c r="F10" s="2">
        <v>-2.4428299999999998</v>
      </c>
      <c r="G10" s="2">
        <v>-1.71716</v>
      </c>
      <c r="H10" s="2">
        <v>4.1599899999999996</v>
      </c>
    </row>
    <row r="11" spans="1:8" x14ac:dyDescent="0.25">
      <c r="A11" s="33" t="s">
        <v>782</v>
      </c>
      <c r="B11" s="33" t="s">
        <v>2400</v>
      </c>
      <c r="C11" s="33" t="s">
        <v>1014</v>
      </c>
      <c r="D11" s="2">
        <v>3.5249400000000009</v>
      </c>
      <c r="E11" s="2">
        <v>-7.8466500000000003</v>
      </c>
      <c r="F11" s="2">
        <v>-2.8613499999999998</v>
      </c>
      <c r="G11" s="2">
        <v>-1.9794400000000001</v>
      </c>
      <c r="H11" s="2">
        <v>4.8407899999999993</v>
      </c>
    </row>
    <row r="12" spans="1:8" x14ac:dyDescent="0.25">
      <c r="A12" s="33" t="s">
        <v>782</v>
      </c>
      <c r="B12" s="33" t="s">
        <v>2401</v>
      </c>
      <c r="C12" s="33" t="s">
        <v>2402</v>
      </c>
      <c r="D12" s="2">
        <v>3.57918</v>
      </c>
      <c r="E12" s="2">
        <v>-7.7914700000000012</v>
      </c>
      <c r="F12" s="2">
        <v>-2.9698099999999998</v>
      </c>
      <c r="G12" s="2">
        <v>-2.0360399999999998</v>
      </c>
      <c r="H12" s="2">
        <v>5.0058499999999988</v>
      </c>
    </row>
    <row r="13" spans="1:8" x14ac:dyDescent="0.25">
      <c r="A13" s="33" t="s">
        <v>782</v>
      </c>
      <c r="B13" s="33" t="s">
        <v>2403</v>
      </c>
      <c r="C13" s="33" t="s">
        <v>1016</v>
      </c>
      <c r="D13" s="2">
        <v>1.1235200000000001</v>
      </c>
      <c r="E13" s="2">
        <v>-2.5198999999999998</v>
      </c>
      <c r="F13" s="2">
        <v>-0.99578</v>
      </c>
      <c r="G13" s="2">
        <v>-0.91200999999999999</v>
      </c>
      <c r="H13" s="2">
        <v>1.9077900000000001</v>
      </c>
    </row>
    <row r="14" spans="1:8" x14ac:dyDescent="0.25">
      <c r="A14" s="40" t="s">
        <v>782</v>
      </c>
      <c r="B14" s="40" t="s">
        <v>2404</v>
      </c>
      <c r="C14" s="40" t="s">
        <v>2405</v>
      </c>
      <c r="D14" s="4">
        <v>2.4227400000000001</v>
      </c>
      <c r="E14" s="4">
        <v>-5.3090900000000012</v>
      </c>
      <c r="F14" s="4">
        <v>-2.033910000000001</v>
      </c>
      <c r="G14" s="4">
        <v>-1.5583100000000001</v>
      </c>
      <c r="H14" s="4">
        <v>3.5922200000000011</v>
      </c>
    </row>
  </sheetData>
  <sheetProtection formatColumns="0" formatRows="0"/>
  <hyperlinks>
    <hyperlink ref="A1" location="TOC!A1" display="Table of Contents" xr:uid="{632B571D-1AFD-4578-8CE8-88EFC1FBC773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5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90.42578125" customWidth="1"/>
  </cols>
  <sheetData>
    <row r="1" spans="1:8" x14ac:dyDescent="0.25">
      <c r="A1" s="141" t="s">
        <v>316</v>
      </c>
      <c r="B1" s="32" t="s">
        <v>414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254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TCPENVACT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2406</v>
      </c>
      <c r="C7" s="33" t="s">
        <v>2407</v>
      </c>
      <c r="D7" s="2">
        <v>0.9219400000000002</v>
      </c>
      <c r="E7" s="2">
        <v>2.3974799999999998</v>
      </c>
      <c r="F7" s="2">
        <v>-0.54329000000000005</v>
      </c>
      <c r="G7" s="2">
        <v>0.19958000000000001</v>
      </c>
      <c r="H7" s="2">
        <v>0.34371000000000013</v>
      </c>
    </row>
    <row r="8" spans="1:8" x14ac:dyDescent="0.25">
      <c r="A8" s="33" t="s">
        <v>782</v>
      </c>
      <c r="B8" s="33" t="s">
        <v>2408</v>
      </c>
      <c r="C8" s="33" t="s">
        <v>2409</v>
      </c>
      <c r="D8" s="2">
        <v>1.03149</v>
      </c>
      <c r="E8" s="2">
        <v>1.9914499999999999</v>
      </c>
      <c r="F8" s="2">
        <v>-1.12155</v>
      </c>
      <c r="G8" s="2">
        <v>0.19159999999999999</v>
      </c>
      <c r="H8" s="2">
        <v>0.92995000000000005</v>
      </c>
    </row>
    <row r="9" spans="1:8" x14ac:dyDescent="0.25">
      <c r="A9" s="33" t="s">
        <v>782</v>
      </c>
      <c r="B9" s="33" t="s">
        <v>2410</v>
      </c>
      <c r="C9" s="33" t="s">
        <v>2411</v>
      </c>
      <c r="D9" s="2">
        <v>1.44739</v>
      </c>
      <c r="E9" s="2">
        <v>0.70313000000000003</v>
      </c>
      <c r="F9" s="2">
        <v>-1.9442699999999999</v>
      </c>
      <c r="G9" s="2">
        <v>0.16366</v>
      </c>
      <c r="H9" s="2">
        <v>1.78061</v>
      </c>
    </row>
    <row r="10" spans="1:8" x14ac:dyDescent="0.25">
      <c r="A10" s="33" t="s">
        <v>782</v>
      </c>
      <c r="B10" s="33" t="s">
        <v>2412</v>
      </c>
      <c r="C10" s="33" t="s">
        <v>2413</v>
      </c>
      <c r="D10" s="2">
        <v>1.6332100000000001</v>
      </c>
      <c r="E10" s="2">
        <v>1.3827400000000001</v>
      </c>
      <c r="F10" s="2">
        <v>-1.89418</v>
      </c>
      <c r="G10" s="2">
        <v>0.27132000000000001</v>
      </c>
      <c r="H10" s="2">
        <v>1.62286</v>
      </c>
    </row>
    <row r="11" spans="1:8" x14ac:dyDescent="0.25">
      <c r="A11" s="40" t="s">
        <v>782</v>
      </c>
      <c r="B11" s="40" t="s">
        <v>2414</v>
      </c>
      <c r="C11" s="40" t="s">
        <v>2415</v>
      </c>
      <c r="D11" s="4">
        <v>2.1459999999999999</v>
      </c>
      <c r="E11" s="4">
        <v>0.56423000000000001</v>
      </c>
      <c r="F11" s="4">
        <v>-2.9363700000000001</v>
      </c>
      <c r="G11" s="4">
        <v>0.42950999999999989</v>
      </c>
      <c r="H11" s="4">
        <v>2.506860000000001</v>
      </c>
    </row>
  </sheetData>
  <sheetProtection formatColumns="0" formatRows="0"/>
  <hyperlinks>
    <hyperlink ref="A1" location="TOC!A1" display="Table of Contents" xr:uid="{9EA40F3D-345A-4A26-A7F2-DF8855452349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6"/>
  <dimension ref="A1:H2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62.42578125" customWidth="1"/>
  </cols>
  <sheetData>
    <row r="1" spans="1:8" x14ac:dyDescent="0.25">
      <c r="A1" s="141" t="s">
        <v>316</v>
      </c>
      <c r="B1" s="32" t="s">
        <v>413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256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TCENWARE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2416</v>
      </c>
      <c r="C7" s="33" t="s">
        <v>2417</v>
      </c>
      <c r="D7" s="2">
        <v>2.4507699999999999</v>
      </c>
      <c r="E7" s="2">
        <v>-5.0322899999999997</v>
      </c>
      <c r="F7" s="2">
        <v>-2.3679100000000002</v>
      </c>
      <c r="G7" s="2">
        <v>-0.67573000000000005</v>
      </c>
      <c r="H7" s="2">
        <v>3.0436399999999999</v>
      </c>
    </row>
    <row r="8" spans="1:8" x14ac:dyDescent="0.25">
      <c r="A8" s="33" t="s">
        <v>782</v>
      </c>
      <c r="B8" s="33" t="s">
        <v>2418</v>
      </c>
      <c r="C8" s="33" t="s">
        <v>2419</v>
      </c>
      <c r="D8" s="2">
        <v>2.1226099999999999</v>
      </c>
      <c r="E8" s="2">
        <v>-4.0166899999999988</v>
      </c>
      <c r="F8" s="2">
        <v>-2.3401900000000002</v>
      </c>
      <c r="G8" s="2">
        <v>-0.52603999999999995</v>
      </c>
      <c r="H8" s="2">
        <v>2.8662299999999998</v>
      </c>
    </row>
    <row r="9" spans="1:8" x14ac:dyDescent="0.25">
      <c r="A9" s="33" t="s">
        <v>782</v>
      </c>
      <c r="B9" s="33" t="s">
        <v>2420</v>
      </c>
      <c r="C9" s="33" t="s">
        <v>2421</v>
      </c>
      <c r="D9" s="2">
        <v>1.3635999999999999</v>
      </c>
      <c r="E9" s="2">
        <v>-1.9201900000000001</v>
      </c>
      <c r="F9" s="2">
        <v>-1.78853</v>
      </c>
      <c r="G9" s="2">
        <v>-3.8620000000000008E-2</v>
      </c>
      <c r="H9" s="2">
        <v>1.8271500000000001</v>
      </c>
    </row>
    <row r="10" spans="1:8" x14ac:dyDescent="0.25">
      <c r="A10" s="33" t="s">
        <v>782</v>
      </c>
      <c r="B10" s="33" t="s">
        <v>2422</v>
      </c>
      <c r="C10" s="33" t="s">
        <v>2423</v>
      </c>
      <c r="D10" s="2">
        <v>1.2168000000000001</v>
      </c>
      <c r="E10" s="2">
        <v>-2.1618200000000001</v>
      </c>
      <c r="F10" s="2">
        <v>-2.0154100000000001</v>
      </c>
      <c r="G10" s="2">
        <v>-0.13214000000000001</v>
      </c>
      <c r="H10" s="2">
        <v>2.1475499999999998</v>
      </c>
    </row>
    <row r="11" spans="1:8" x14ac:dyDescent="0.25">
      <c r="A11" s="33" t="s">
        <v>782</v>
      </c>
      <c r="B11" s="33" t="s">
        <v>2424</v>
      </c>
      <c r="C11" s="33" t="s">
        <v>2425</v>
      </c>
      <c r="D11" s="2">
        <v>3.5639899999999991</v>
      </c>
      <c r="E11" s="2">
        <v>-6.1406299999999998</v>
      </c>
      <c r="F11" s="2">
        <v>-3.5388500000000001</v>
      </c>
      <c r="G11" s="2">
        <v>-0.48629</v>
      </c>
      <c r="H11" s="2">
        <v>4.0251400000000004</v>
      </c>
    </row>
    <row r="12" spans="1:8" x14ac:dyDescent="0.25">
      <c r="A12" s="33" t="s">
        <v>782</v>
      </c>
      <c r="B12" s="33" t="s">
        <v>2426</v>
      </c>
      <c r="C12" s="33" t="s">
        <v>2427</v>
      </c>
      <c r="D12" s="2">
        <v>4.0518200000000011</v>
      </c>
      <c r="E12" s="2">
        <v>-8.1495499999999996</v>
      </c>
      <c r="F12" s="2">
        <v>-4.5521700000000003</v>
      </c>
      <c r="G12" s="2">
        <v>-0.62602000000000002</v>
      </c>
      <c r="H12" s="2">
        <v>5.1781900000000007</v>
      </c>
    </row>
    <row r="13" spans="1:8" x14ac:dyDescent="0.25">
      <c r="A13" s="33" t="s">
        <v>782</v>
      </c>
      <c r="B13" s="33" t="s">
        <v>2428</v>
      </c>
      <c r="C13" s="33" t="s">
        <v>2429</v>
      </c>
      <c r="D13" s="2">
        <v>1.8953500000000001</v>
      </c>
      <c r="E13" s="2">
        <v>-3.3655599999999999</v>
      </c>
      <c r="F13" s="2">
        <v>-2.33446</v>
      </c>
      <c r="G13" s="2">
        <v>-0.38414999999999999</v>
      </c>
      <c r="H13" s="2">
        <v>2.71861</v>
      </c>
    </row>
    <row r="14" spans="1:8" x14ac:dyDescent="0.25">
      <c r="A14" s="33" t="s">
        <v>782</v>
      </c>
      <c r="B14" s="33" t="s">
        <v>2430</v>
      </c>
      <c r="C14" s="33" t="s">
        <v>2431</v>
      </c>
      <c r="D14" s="2">
        <v>2.9528099999999999</v>
      </c>
      <c r="E14" s="2">
        <v>-4.7186399999999988</v>
      </c>
      <c r="F14" s="2">
        <v>-3.2468899999999992</v>
      </c>
      <c r="G14" s="2">
        <v>-0.14099999999999999</v>
      </c>
      <c r="H14" s="2">
        <v>3.3878900000000001</v>
      </c>
    </row>
    <row r="15" spans="1:8" x14ac:dyDescent="0.25">
      <c r="A15" s="33" t="s">
        <v>782</v>
      </c>
      <c r="B15" s="33" t="s">
        <v>2432</v>
      </c>
      <c r="C15" s="33" t="s">
        <v>2433</v>
      </c>
      <c r="D15" s="2">
        <v>2.6384500000000002</v>
      </c>
      <c r="E15" s="2">
        <v>-3.9871599999999998</v>
      </c>
      <c r="F15" s="2">
        <v>-2.6933199999999999</v>
      </c>
      <c r="G15" s="2">
        <v>-0.12576999999999999</v>
      </c>
      <c r="H15" s="2">
        <v>2.8190900000000001</v>
      </c>
    </row>
    <row r="16" spans="1:8" x14ac:dyDescent="0.25">
      <c r="A16" s="33" t="s">
        <v>782</v>
      </c>
      <c r="B16" s="33" t="s">
        <v>2434</v>
      </c>
      <c r="C16" s="33" t="s">
        <v>2435</v>
      </c>
      <c r="D16" s="2">
        <v>3.7712300000000001</v>
      </c>
      <c r="E16" s="2">
        <v>-6.1536299999999988</v>
      </c>
      <c r="F16" s="2">
        <v>-4.10684</v>
      </c>
      <c r="G16" s="2">
        <v>-0.40218999999999999</v>
      </c>
      <c r="H16" s="2">
        <v>4.5090300000000001</v>
      </c>
    </row>
    <row r="17" spans="1:8" x14ac:dyDescent="0.25">
      <c r="A17" s="33" t="s">
        <v>782</v>
      </c>
      <c r="B17" s="33" t="s">
        <v>2436</v>
      </c>
      <c r="C17" s="33" t="s">
        <v>2437</v>
      </c>
      <c r="D17" s="2">
        <v>4.7789400000000004</v>
      </c>
      <c r="E17" s="2">
        <v>-8.5106400000000022</v>
      </c>
      <c r="F17" s="2">
        <v>-5.13117</v>
      </c>
      <c r="G17" s="2">
        <v>-0.42269000000000012</v>
      </c>
      <c r="H17" s="2">
        <v>5.5538600000000002</v>
      </c>
    </row>
    <row r="18" spans="1:8" x14ac:dyDescent="0.25">
      <c r="A18" s="33" t="s">
        <v>782</v>
      </c>
      <c r="B18" s="33" t="s">
        <v>2438</v>
      </c>
      <c r="C18" s="33" t="s">
        <v>2439</v>
      </c>
      <c r="D18" s="2">
        <v>3.7872399999999988</v>
      </c>
      <c r="E18" s="2">
        <v>-6.70885</v>
      </c>
      <c r="F18" s="2">
        <v>-4.0573399999999991</v>
      </c>
      <c r="G18" s="2">
        <v>-0.41694999999999999</v>
      </c>
      <c r="H18" s="2">
        <v>4.4742899999999999</v>
      </c>
    </row>
    <row r="19" spans="1:8" x14ac:dyDescent="0.25">
      <c r="A19" s="33" t="s">
        <v>782</v>
      </c>
      <c r="B19" s="33" t="s">
        <v>2440</v>
      </c>
      <c r="C19" s="33" t="s">
        <v>2441</v>
      </c>
      <c r="D19" s="2">
        <v>2.7382399999999998</v>
      </c>
      <c r="E19" s="2">
        <v>-4.2840499999999988</v>
      </c>
      <c r="F19" s="2">
        <v>-3.106040000000001</v>
      </c>
      <c r="G19" s="2">
        <v>-0.2966100000000001</v>
      </c>
      <c r="H19" s="2">
        <v>3.40265</v>
      </c>
    </row>
    <row r="20" spans="1:8" x14ac:dyDescent="0.25">
      <c r="A20" s="40" t="s">
        <v>782</v>
      </c>
      <c r="B20" s="40" t="s">
        <v>2442</v>
      </c>
      <c r="C20" s="40" t="s">
        <v>2443</v>
      </c>
      <c r="D20" s="4">
        <v>2.12412</v>
      </c>
      <c r="E20" s="4">
        <v>-4.2595700000000001</v>
      </c>
      <c r="F20" s="4">
        <v>-2.0670099999999998</v>
      </c>
      <c r="G20" s="4">
        <v>-0.51573999999999998</v>
      </c>
      <c r="H20" s="4">
        <v>2.5827499999999999</v>
      </c>
    </row>
  </sheetData>
  <sheetProtection formatColumns="0" formatRows="0"/>
  <hyperlinks>
    <hyperlink ref="A1" location="TOC!A1" display="Table of Contents" xr:uid="{9DE751C3-97EC-4098-A89F-BAA90581DEC3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86"/>
  <dimension ref="A1:D19"/>
  <sheetViews>
    <sheetView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20.42578125" style="16" customWidth="1"/>
    <col min="2" max="2" width="107.42578125" style="16" bestFit="1" customWidth="1"/>
    <col min="3" max="5" width="8.7109375" style="16" bestFit="1" customWidth="1"/>
    <col min="6" max="6" width="8.7109375" style="16" customWidth="1"/>
    <col min="7" max="7" width="9.140625" style="16" customWidth="1"/>
    <col min="8" max="16384" width="9.140625" style="16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101" t="s">
        <v>314</v>
      </c>
      <c r="B3" s="33"/>
      <c r="C3" s="33"/>
      <c r="D3" s="33"/>
    </row>
    <row r="4" spans="1:4" x14ac:dyDescent="0.25">
      <c r="A4" s="101" t="s">
        <v>259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102" t="s">
        <v>438</v>
      </c>
      <c r="B6" s="102" t="s">
        <v>439</v>
      </c>
      <c r="C6" s="33"/>
      <c r="D6" s="33"/>
    </row>
    <row r="7" spans="1:4" x14ac:dyDescent="0.25">
      <c r="A7" s="103" t="s">
        <v>440</v>
      </c>
      <c r="B7" s="104"/>
      <c r="C7" s="33"/>
      <c r="D7" s="33"/>
    </row>
    <row r="8" spans="1:4" x14ac:dyDescent="0.25">
      <c r="A8" s="105" t="s">
        <v>2085</v>
      </c>
      <c r="B8" s="105" t="s">
        <v>2086</v>
      </c>
      <c r="C8" s="33"/>
      <c r="D8" s="33"/>
    </row>
    <row r="9" spans="1:4" x14ac:dyDescent="0.25">
      <c r="A9" s="106" t="s">
        <v>2087</v>
      </c>
      <c r="B9" s="106" t="s">
        <v>2088</v>
      </c>
      <c r="C9" s="33"/>
      <c r="D9" s="33"/>
    </row>
    <row r="10" spans="1:4" x14ac:dyDescent="0.25">
      <c r="A10" s="106" t="s">
        <v>2444</v>
      </c>
      <c r="B10" s="106" t="s">
        <v>2445</v>
      </c>
      <c r="C10" s="33"/>
      <c r="D10" s="33"/>
    </row>
    <row r="11" spans="1:4" x14ac:dyDescent="0.25">
      <c r="A11" s="106" t="s">
        <v>2446</v>
      </c>
      <c r="B11" s="106" t="s">
        <v>2447</v>
      </c>
      <c r="C11" s="33"/>
      <c r="D11" s="33"/>
    </row>
    <row r="12" spans="1:4" x14ac:dyDescent="0.25">
      <c r="A12" s="106" t="s">
        <v>2448</v>
      </c>
      <c r="B12" s="106" t="s">
        <v>484</v>
      </c>
      <c r="C12" s="33"/>
      <c r="D12" s="33"/>
    </row>
    <row r="13" spans="1:4" x14ac:dyDescent="0.25">
      <c r="A13" s="106" t="s">
        <v>2449</v>
      </c>
      <c r="B13" s="106" t="s">
        <v>2450</v>
      </c>
      <c r="C13" s="33"/>
      <c r="D13" s="33"/>
    </row>
    <row r="14" spans="1:4" x14ac:dyDescent="0.25">
      <c r="A14" s="106" t="s">
        <v>2451</v>
      </c>
      <c r="B14" s="106" t="s">
        <v>2452</v>
      </c>
      <c r="C14" s="33"/>
      <c r="D14" s="33"/>
    </row>
    <row r="15" spans="1:4" x14ac:dyDescent="0.25">
      <c r="A15" s="106" t="s">
        <v>2453</v>
      </c>
      <c r="B15" s="106" t="s">
        <v>2454</v>
      </c>
      <c r="C15" s="33"/>
      <c r="D15" s="33"/>
    </row>
    <row r="16" spans="1:4" x14ac:dyDescent="0.25">
      <c r="A16" s="103" t="s">
        <v>497</v>
      </c>
      <c r="B16" s="103"/>
      <c r="C16" s="33"/>
      <c r="D16" s="33"/>
    </row>
    <row r="17" spans="1:4" x14ac:dyDescent="0.25">
      <c r="A17" s="105" t="s">
        <v>419</v>
      </c>
      <c r="B17" s="105" t="s">
        <v>2455</v>
      </c>
      <c r="C17" s="33"/>
      <c r="D17" s="33"/>
    </row>
    <row r="18" spans="1:4" x14ac:dyDescent="0.25">
      <c r="A18" s="106" t="s">
        <v>417</v>
      </c>
      <c r="B18" s="106" t="s">
        <v>2456</v>
      </c>
      <c r="C18" s="33"/>
      <c r="D18" s="33"/>
    </row>
    <row r="19" spans="1:4" x14ac:dyDescent="0.25">
      <c r="A19" s="108" t="s">
        <v>418</v>
      </c>
      <c r="B19" s="108" t="s">
        <v>2457</v>
      </c>
      <c r="C19" s="33"/>
      <c r="D19" s="33"/>
    </row>
  </sheetData>
  <sheetProtection formatColumns="0" formatRows="0"/>
  <hyperlinks>
    <hyperlink ref="A1" location="TOC!A1" display="Table of Contents" xr:uid="{61AABAC6-3E15-46EA-ACF7-88552C0FF102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27"/>
  <dimension ref="A1:Q3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2.140625" customWidth="1"/>
    <col min="2" max="2" width="9.140625" style="2" customWidth="1"/>
    <col min="3" max="9" width="9.140625" style="9" customWidth="1"/>
    <col min="16" max="17" width="0" hidden="1" customWidth="1"/>
  </cols>
  <sheetData>
    <row r="1" spans="1:17" x14ac:dyDescent="0.25">
      <c r="A1" s="141" t="s">
        <v>316</v>
      </c>
      <c r="B1" s="97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77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260</v>
      </c>
      <c r="B3" s="77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4" t="s">
        <v>2458</v>
      </c>
      <c r="B4" s="77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77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65" t="s">
        <v>566</v>
      </c>
      <c r="B6" s="86" t="s">
        <v>378</v>
      </c>
      <c r="C6" s="109" t="s">
        <v>326</v>
      </c>
      <c r="D6" s="109" t="s">
        <v>417</v>
      </c>
      <c r="E6" s="109" t="s">
        <v>320</v>
      </c>
      <c r="F6" s="109" t="s">
        <v>418</v>
      </c>
      <c r="G6" s="109" t="s">
        <v>324</v>
      </c>
      <c r="H6" s="109" t="s">
        <v>419</v>
      </c>
      <c r="I6" s="109" t="s">
        <v>380</v>
      </c>
      <c r="J6" s="33"/>
      <c r="K6" s="33"/>
      <c r="L6" s="33"/>
      <c r="M6" s="33"/>
      <c r="N6" s="33"/>
      <c r="O6" s="33"/>
      <c r="P6" s="33"/>
      <c r="Q6" s="33"/>
    </row>
    <row r="7" spans="1:17" x14ac:dyDescent="0.25">
      <c r="A7" t="s">
        <v>3185</v>
      </c>
      <c r="B7" s="77">
        <v>0.73</v>
      </c>
      <c r="C7" s="77">
        <v>0.53</v>
      </c>
      <c r="D7" s="77">
        <v>0.89</v>
      </c>
      <c r="E7" s="77">
        <v>0.77</v>
      </c>
      <c r="F7" s="77">
        <v>0.82</v>
      </c>
      <c r="G7" s="77">
        <v>0.82</v>
      </c>
      <c r="H7" s="77">
        <v>0.91</v>
      </c>
      <c r="I7" s="77">
        <v>0.82</v>
      </c>
      <c r="J7" s="33"/>
      <c r="K7" s="33"/>
      <c r="L7" s="33"/>
      <c r="M7" s="33"/>
      <c r="N7" s="33"/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">
        <v>2928</v>
      </c>
      <c r="B8" s="77">
        <v>0.76</v>
      </c>
      <c r="C8" s="77">
        <v>0.68</v>
      </c>
      <c r="D8" s="77">
        <v>0.87</v>
      </c>
      <c r="E8" s="77">
        <v>0.71</v>
      </c>
      <c r="F8" s="77">
        <v>0.9</v>
      </c>
      <c r="G8" s="77">
        <v>0.88</v>
      </c>
      <c r="H8" s="77">
        <v>0.9</v>
      </c>
      <c r="I8" s="77">
        <v>0.85</v>
      </c>
      <c r="J8" s="33"/>
      <c r="K8" s="33"/>
      <c r="L8" s="33"/>
      <c r="M8" s="33"/>
      <c r="N8" s="33"/>
      <c r="O8" s="33"/>
      <c r="P8" s="33" t="s">
        <v>580</v>
      </c>
      <c r="Q8" t="str">
        <f>VLOOKUP(P8,GroupLabels!$E$2:$H$145,3,0)</f>
        <v>Bulgaria - Bulgarian</v>
      </c>
    </row>
    <row r="9" spans="1:17" x14ac:dyDescent="0.25">
      <c r="A9" t="s">
        <v>3040</v>
      </c>
      <c r="B9" s="77">
        <v>0.86</v>
      </c>
      <c r="C9" s="77">
        <v>0.75</v>
      </c>
      <c r="D9" s="77">
        <v>0.86</v>
      </c>
      <c r="E9" s="77">
        <v>0.73</v>
      </c>
      <c r="F9" s="77">
        <v>0.92</v>
      </c>
      <c r="G9" s="77">
        <v>0.88</v>
      </c>
      <c r="H9" s="77">
        <v>0.91</v>
      </c>
      <c r="I9" s="77">
        <v>0.89</v>
      </c>
      <c r="J9" s="33"/>
      <c r="K9" s="33"/>
      <c r="L9" s="33"/>
      <c r="M9" s="33"/>
      <c r="N9" s="33"/>
      <c r="O9" s="33"/>
      <c r="P9" s="33" t="s">
        <v>586</v>
      </c>
      <c r="Q9" t="str">
        <f>VLOOKUP(P9,GroupLabels!$E$2:$H$145,3,0)</f>
        <v>Colombia - Spanish</v>
      </c>
    </row>
    <row r="10" spans="1:17" x14ac:dyDescent="0.25">
      <c r="A10" t="s">
        <v>3098</v>
      </c>
      <c r="B10" s="77">
        <v>0.65</v>
      </c>
      <c r="C10" s="77">
        <v>0.51</v>
      </c>
      <c r="D10" s="77">
        <v>0.9</v>
      </c>
      <c r="E10" s="77">
        <v>0.78</v>
      </c>
      <c r="F10" s="77">
        <v>0.88</v>
      </c>
      <c r="G10" s="77">
        <v>0.83</v>
      </c>
      <c r="H10" s="77">
        <v>0.9</v>
      </c>
      <c r="I10" s="77">
        <v>0.82</v>
      </c>
      <c r="J10" s="33"/>
      <c r="K10" s="33"/>
      <c r="L10" s="33"/>
      <c r="M10" s="33"/>
      <c r="N10" s="33"/>
      <c r="O10" s="33"/>
      <c r="P10" s="33" t="s">
        <v>588</v>
      </c>
      <c r="Q10" t="str">
        <f>VLOOKUP(P10,GroupLabels!$E$2:$H$145,3,0)</f>
        <v>Croatia - Croatian</v>
      </c>
    </row>
    <row r="11" spans="1:17" x14ac:dyDescent="0.25">
      <c r="A11" t="s">
        <v>2974</v>
      </c>
      <c r="B11" s="77">
        <v>0.81</v>
      </c>
      <c r="C11" s="77">
        <v>0.72</v>
      </c>
      <c r="D11" s="77">
        <v>0.92</v>
      </c>
      <c r="E11" s="77">
        <v>0.69</v>
      </c>
      <c r="F11" s="77">
        <v>0.91</v>
      </c>
      <c r="G11" s="77">
        <v>0.89</v>
      </c>
      <c r="H11" s="77">
        <v>0.94</v>
      </c>
      <c r="I11" s="77">
        <v>0.82</v>
      </c>
      <c r="J11" s="33"/>
      <c r="K11" s="33"/>
      <c r="L11" s="33"/>
      <c r="M11" s="33"/>
      <c r="N11" s="33"/>
      <c r="O11" s="33"/>
      <c r="P11" s="33" t="s">
        <v>590</v>
      </c>
      <c r="Q11" t="str">
        <f>VLOOKUP(P11,GroupLabels!$E$2:$H$145,3,0)</f>
        <v>Cyprus - Modern Greek*</v>
      </c>
    </row>
    <row r="12" spans="1:17" x14ac:dyDescent="0.25">
      <c r="A12" t="s">
        <v>2946</v>
      </c>
      <c r="B12" s="77">
        <v>0.72</v>
      </c>
      <c r="C12" s="77">
        <v>0.51</v>
      </c>
      <c r="D12" s="77">
        <v>0.89</v>
      </c>
      <c r="E12" s="77">
        <v>0.78</v>
      </c>
      <c r="F12" s="77">
        <v>0.9</v>
      </c>
      <c r="G12" s="77">
        <v>0.84</v>
      </c>
      <c r="H12" s="77">
        <v>0.88</v>
      </c>
      <c r="I12" s="77">
        <v>0.8</v>
      </c>
      <c r="J12" s="33"/>
      <c r="K12" s="33"/>
      <c r="L12" s="33"/>
      <c r="M12" s="33"/>
      <c r="N12" s="33"/>
      <c r="O12" s="33"/>
      <c r="P12" s="33" t="s">
        <v>591</v>
      </c>
      <c r="Q12" t="str">
        <f>VLOOKUP(P12,GroupLabels!$E$2:$H$145,3,0)</f>
        <v>Czechia - Czech</v>
      </c>
    </row>
    <row r="13" spans="1:17" x14ac:dyDescent="0.25">
      <c r="A13" t="s">
        <v>765</v>
      </c>
      <c r="B13" s="77">
        <v>0.66</v>
      </c>
      <c r="C13" s="77">
        <v>0.53</v>
      </c>
      <c r="D13" s="77">
        <v>0.89</v>
      </c>
      <c r="E13" s="77">
        <v>0.81</v>
      </c>
      <c r="F13" s="77">
        <v>0.85</v>
      </c>
      <c r="G13" s="77">
        <v>0.81</v>
      </c>
      <c r="H13" s="77">
        <v>0.9</v>
      </c>
      <c r="I13" s="77">
        <v>0.8</v>
      </c>
      <c r="J13" s="33"/>
      <c r="K13" s="33"/>
      <c r="L13" s="33"/>
      <c r="M13" s="33"/>
      <c r="N13" s="33"/>
      <c r="O13" s="33"/>
      <c r="P13" s="33" t="s">
        <v>592</v>
      </c>
      <c r="Q13" t="str">
        <f>VLOOKUP(P13,GroupLabels!$E$2:$H$145,3,0)</f>
        <v>Denmark - Danish</v>
      </c>
    </row>
    <row r="14" spans="1:17" x14ac:dyDescent="0.25">
      <c r="A14" t="s">
        <v>3044</v>
      </c>
      <c r="B14" s="77">
        <v>0.82</v>
      </c>
      <c r="C14" s="77">
        <v>0.72</v>
      </c>
      <c r="D14" s="77">
        <v>0.86</v>
      </c>
      <c r="E14" s="77">
        <v>0.7</v>
      </c>
      <c r="F14" s="77">
        <v>0.9</v>
      </c>
      <c r="G14" s="77">
        <v>0.86</v>
      </c>
      <c r="H14" s="77">
        <v>0.81</v>
      </c>
      <c r="I14" s="77">
        <v>0.88</v>
      </c>
      <c r="J14" s="33"/>
      <c r="K14" s="33"/>
      <c r="L14" s="33"/>
      <c r="M14" s="33"/>
      <c r="N14" s="33"/>
      <c r="O14" s="33"/>
      <c r="P14" s="33" t="s">
        <v>594</v>
      </c>
      <c r="Q14" t="str">
        <f>VLOOKUP(P14,GroupLabels!$E$2:$H$145,3,0)</f>
        <v>Dominican Republic - Spanish</v>
      </c>
    </row>
    <row r="15" spans="1:17" x14ac:dyDescent="0.25">
      <c r="A15" t="s">
        <v>3076</v>
      </c>
      <c r="B15" s="77">
        <v>0.63</v>
      </c>
      <c r="C15" s="77">
        <v>0.51</v>
      </c>
      <c r="D15" s="77">
        <v>0.9</v>
      </c>
      <c r="E15" s="77">
        <v>0.84</v>
      </c>
      <c r="F15" s="77">
        <v>0.91</v>
      </c>
      <c r="G15" s="77">
        <v>0.88</v>
      </c>
      <c r="H15" s="77">
        <v>0.93</v>
      </c>
      <c r="I15" s="77">
        <v>0.85</v>
      </c>
      <c r="J15" s="33"/>
      <c r="K15" s="33"/>
      <c r="L15" s="33"/>
      <c r="M15" s="33"/>
      <c r="N15" s="33"/>
      <c r="O15" s="33"/>
      <c r="P15" s="33" t="s">
        <v>601</v>
      </c>
      <c r="Q15" t="str">
        <f>VLOOKUP(P15,GroupLabels!$E$2:$H$145,3,0)</f>
        <v>Finland - Finnish</v>
      </c>
    </row>
    <row r="16" spans="1:17" x14ac:dyDescent="0.25">
      <c r="A16" t="s">
        <v>3244</v>
      </c>
      <c r="B16" s="77">
        <v>0.61</v>
      </c>
      <c r="C16" s="77">
        <v>0.52</v>
      </c>
      <c r="D16" s="77">
        <v>0.89</v>
      </c>
      <c r="E16" s="77">
        <v>0.82</v>
      </c>
      <c r="F16" s="77">
        <v>0.89</v>
      </c>
      <c r="G16" s="77">
        <v>0.84</v>
      </c>
      <c r="H16" s="77">
        <v>0.93</v>
      </c>
      <c r="I16" s="77">
        <v>0.71</v>
      </c>
      <c r="J16" s="33"/>
      <c r="K16" s="33"/>
      <c r="L16" s="33"/>
      <c r="M16" s="33"/>
      <c r="N16" s="33"/>
      <c r="O16" s="33"/>
      <c r="P16" s="33" t="s">
        <v>602</v>
      </c>
      <c r="Q16" t="str">
        <f>VLOOKUP(P16,GroupLabels!$E$2:$H$145,3,0)</f>
        <v>Finland - Swedish</v>
      </c>
    </row>
    <row r="17" spans="1:17" x14ac:dyDescent="0.25">
      <c r="A17" t="s">
        <v>3083</v>
      </c>
      <c r="B17" s="77">
        <v>0.7</v>
      </c>
      <c r="C17" s="77">
        <v>0.57999999999999996</v>
      </c>
      <c r="D17" s="77">
        <v>0.87</v>
      </c>
      <c r="E17" s="77">
        <v>0.74</v>
      </c>
      <c r="F17" s="77">
        <v>0.88</v>
      </c>
      <c r="G17" s="77">
        <v>0.8</v>
      </c>
      <c r="H17" s="77">
        <v>0.89</v>
      </c>
      <c r="I17" s="77">
        <v>0.81</v>
      </c>
      <c r="J17" s="33"/>
      <c r="K17" s="33"/>
      <c r="L17" s="33"/>
      <c r="M17" s="33"/>
      <c r="N17" s="33"/>
      <c r="O17" s="33"/>
      <c r="P17" s="33" t="s">
        <v>603</v>
      </c>
      <c r="Q17" t="str">
        <f>VLOOKUP(P17,GroupLabels!$E$2:$H$145,3,0)</f>
        <v>France - French</v>
      </c>
    </row>
    <row r="18" spans="1:17" x14ac:dyDescent="0.25">
      <c r="A18" t="s">
        <v>767</v>
      </c>
      <c r="B18" s="77">
        <v>0.75</v>
      </c>
      <c r="C18" s="77">
        <v>0.56000000000000005</v>
      </c>
      <c r="D18" s="77">
        <v>0.87</v>
      </c>
      <c r="E18" s="77">
        <v>0.8</v>
      </c>
      <c r="F18" s="77">
        <v>0.86</v>
      </c>
      <c r="G18" s="77">
        <v>0.82</v>
      </c>
      <c r="H18" s="77">
        <v>0.87</v>
      </c>
      <c r="I18" s="77">
        <v>0.75</v>
      </c>
      <c r="J18" s="33"/>
      <c r="K18" s="33"/>
      <c r="L18" s="33"/>
      <c r="M18" s="33"/>
      <c r="N18" s="33"/>
      <c r="O18" s="33"/>
      <c r="P18" s="33" t="s">
        <v>607</v>
      </c>
      <c r="Q18" t="str">
        <f>VLOOKUP(P18,GroupLabels!$E$2:$H$145,3,0)</f>
        <v>Germany - German</v>
      </c>
    </row>
    <row r="19" spans="1:17" x14ac:dyDescent="0.25">
      <c r="A19" t="s">
        <v>2976</v>
      </c>
      <c r="B19" s="77">
        <v>0.68</v>
      </c>
      <c r="C19" s="77">
        <v>0.55000000000000004</v>
      </c>
      <c r="D19" s="77">
        <v>0.88</v>
      </c>
      <c r="E19" s="77">
        <v>0.79</v>
      </c>
      <c r="F19" s="77">
        <v>0.87</v>
      </c>
      <c r="G19" s="77">
        <v>0.85</v>
      </c>
      <c r="H19" s="77">
        <v>0.9</v>
      </c>
      <c r="I19" s="77">
        <v>0.73</v>
      </c>
      <c r="J19" s="33"/>
      <c r="K19" s="33"/>
      <c r="L19" s="33"/>
      <c r="M19" s="33"/>
      <c r="N19" s="33"/>
      <c r="O19" s="33"/>
      <c r="P19" s="33" t="s">
        <v>608</v>
      </c>
      <c r="Q19" t="str">
        <f>VLOOKUP(P19,GroupLabels!$E$2:$H$145,3,0)</f>
        <v>Greece - Modern Greek</v>
      </c>
    </row>
    <row r="20" spans="1:17" x14ac:dyDescent="0.25">
      <c r="A20" t="s">
        <v>2901</v>
      </c>
      <c r="B20" s="77">
        <v>0.8</v>
      </c>
      <c r="C20" s="77">
        <v>0.77</v>
      </c>
      <c r="D20" s="77">
        <v>0.91</v>
      </c>
      <c r="E20" s="77">
        <v>0.68</v>
      </c>
      <c r="F20" s="77">
        <v>0.88</v>
      </c>
      <c r="G20" s="77">
        <v>0.92</v>
      </c>
      <c r="H20" s="77">
        <v>0.83</v>
      </c>
      <c r="I20" s="77">
        <v>0.8</v>
      </c>
      <c r="J20" s="33"/>
      <c r="K20" s="33"/>
      <c r="L20" s="33"/>
      <c r="M20" s="33"/>
      <c r="N20" s="33"/>
      <c r="O20" s="33"/>
      <c r="P20" s="33" t="s">
        <v>617</v>
      </c>
      <c r="Q20" t="str">
        <f>VLOOKUP(P20,GroupLabels!$E$2:$H$145,3,0)</f>
        <v>Israel - Arabic*</v>
      </c>
    </row>
    <row r="21" spans="1:17" x14ac:dyDescent="0.25">
      <c r="A21" t="s">
        <v>2467</v>
      </c>
      <c r="B21" s="77">
        <v>0.26</v>
      </c>
      <c r="C21" s="77" t="s">
        <v>3476</v>
      </c>
      <c r="D21" s="77">
        <v>0.84</v>
      </c>
      <c r="E21" s="77">
        <v>0.8</v>
      </c>
      <c r="F21" s="77">
        <v>0.88</v>
      </c>
      <c r="G21" s="77">
        <v>0.82</v>
      </c>
      <c r="H21" s="77">
        <v>0.88</v>
      </c>
      <c r="I21" s="77">
        <v>0.78</v>
      </c>
      <c r="J21" s="33"/>
      <c r="K21" s="33"/>
      <c r="L21" s="33"/>
      <c r="M21" s="33"/>
      <c r="N21" s="33"/>
      <c r="O21" s="33"/>
      <c r="P21" s="33" t="s">
        <v>618</v>
      </c>
      <c r="Q21" t="str">
        <f>VLOOKUP(P21,GroupLabels!$E$2:$H$145,3,0)</f>
        <v>Israel - Haredi*</v>
      </c>
    </row>
    <row r="22" spans="1:17" x14ac:dyDescent="0.25">
      <c r="A22" t="s">
        <v>3094</v>
      </c>
      <c r="B22" s="77">
        <v>0.51</v>
      </c>
      <c r="C22" s="77">
        <v>0.62</v>
      </c>
      <c r="D22" s="77">
        <v>0.89</v>
      </c>
      <c r="E22" s="77">
        <v>0.79</v>
      </c>
      <c r="F22" s="77">
        <v>0.85</v>
      </c>
      <c r="G22" s="77">
        <v>0.83</v>
      </c>
      <c r="H22" s="77">
        <v>0.9</v>
      </c>
      <c r="I22" s="77">
        <v>0.83</v>
      </c>
      <c r="J22" s="33"/>
      <c r="K22" s="33"/>
      <c r="L22" s="33"/>
      <c r="M22" s="33"/>
      <c r="N22" s="33"/>
      <c r="O22" s="33"/>
      <c r="P22" s="33" t="s">
        <v>619</v>
      </c>
      <c r="Q22" t="str">
        <f>VLOOKUP(P22,GroupLabels!$E$2:$H$145,3,0)</f>
        <v>Israel - Hebrew*</v>
      </c>
    </row>
    <row r="23" spans="1:17" x14ac:dyDescent="0.25">
      <c r="A23" t="s">
        <v>2967</v>
      </c>
      <c r="B23" s="77">
        <v>0.7</v>
      </c>
      <c r="C23" s="77">
        <v>0.54</v>
      </c>
      <c r="D23" s="77">
        <v>0.87</v>
      </c>
      <c r="E23" s="77">
        <v>0.76</v>
      </c>
      <c r="F23" s="77">
        <v>0.87</v>
      </c>
      <c r="G23" s="77">
        <v>0.82</v>
      </c>
      <c r="H23" s="77">
        <v>0.88</v>
      </c>
      <c r="I23" s="77">
        <v>0.78</v>
      </c>
      <c r="J23" s="33"/>
      <c r="K23" s="33"/>
      <c r="L23" s="33"/>
      <c r="M23" s="33"/>
      <c r="N23" s="33"/>
      <c r="O23" s="33"/>
      <c r="P23" s="33" t="s">
        <v>620</v>
      </c>
      <c r="Q23" t="str">
        <f>VLOOKUP(P23,GroupLabels!$E$2:$H$145,3,0)</f>
        <v>Italy - German</v>
      </c>
    </row>
    <row r="24" spans="1:17" x14ac:dyDescent="0.25">
      <c r="A24" t="s">
        <v>3126</v>
      </c>
      <c r="B24" s="77">
        <v>0.73</v>
      </c>
      <c r="C24" s="77">
        <v>0.48</v>
      </c>
      <c r="D24" s="77">
        <v>0.83</v>
      </c>
      <c r="E24" s="77">
        <v>0.79</v>
      </c>
      <c r="F24" s="77">
        <v>0.86</v>
      </c>
      <c r="G24" s="77">
        <v>0.77</v>
      </c>
      <c r="H24" s="77">
        <v>0.83</v>
      </c>
      <c r="I24" s="77">
        <v>0.79</v>
      </c>
      <c r="J24" s="33"/>
      <c r="K24" s="33"/>
      <c r="L24" s="33"/>
      <c r="M24" s="33"/>
      <c r="N24" s="33"/>
      <c r="O24" s="33"/>
      <c r="P24" s="33" t="s">
        <v>621</v>
      </c>
      <c r="Q24" t="str">
        <f>VLOOKUP(P24,GroupLabels!$E$2:$H$145,3,0)</f>
        <v>Italy - Italian</v>
      </c>
    </row>
    <row r="25" spans="1:17" x14ac:dyDescent="0.25">
      <c r="A25" t="s">
        <v>3056</v>
      </c>
      <c r="B25" s="77">
        <v>0.87</v>
      </c>
      <c r="C25" s="73">
        <v>0.8</v>
      </c>
      <c r="D25" s="77">
        <v>0.87</v>
      </c>
      <c r="E25" s="77">
        <v>0.67</v>
      </c>
      <c r="F25" s="77">
        <v>0.92</v>
      </c>
      <c r="G25" s="77">
        <v>0.87</v>
      </c>
      <c r="H25" s="77">
        <v>0.81</v>
      </c>
      <c r="I25" s="77">
        <v>0.88</v>
      </c>
      <c r="J25" s="33"/>
      <c r="K25" s="33"/>
      <c r="L25" s="33"/>
      <c r="M25" s="33"/>
      <c r="N25" s="33"/>
      <c r="O25" s="33"/>
      <c r="P25" s="33" t="s">
        <v>668</v>
      </c>
      <c r="Q25" t="str">
        <f>VLOOKUP(P25,GroupLabels!$E$2:$H$145,3,0)</f>
        <v>Peru - Spanish</v>
      </c>
    </row>
    <row r="26" spans="1:17" x14ac:dyDescent="0.25">
      <c r="A26" t="s">
        <v>3202</v>
      </c>
      <c r="B26" s="77">
        <v>0.77</v>
      </c>
      <c r="C26" s="77">
        <v>0.56999999999999995</v>
      </c>
      <c r="D26" s="77">
        <v>0.89</v>
      </c>
      <c r="E26" s="77">
        <v>0.8</v>
      </c>
      <c r="F26" s="77">
        <v>0.89</v>
      </c>
      <c r="G26" s="77">
        <v>0.88</v>
      </c>
      <c r="H26" s="77">
        <v>0.89</v>
      </c>
      <c r="I26" s="77">
        <v>0.78</v>
      </c>
      <c r="J26" s="33"/>
      <c r="K26" s="33"/>
      <c r="L26" s="33"/>
      <c r="M26" s="33"/>
      <c r="N26" s="33"/>
      <c r="O26" s="33"/>
      <c r="P26" s="33" t="s">
        <v>671</v>
      </c>
      <c r="Q26" t="str">
        <f>VLOOKUP(P26,GroupLabels!$E$2:$H$145,3,0)</f>
        <v>Portugal - Portuguese</v>
      </c>
    </row>
    <row r="27" spans="1:17" x14ac:dyDescent="0.25">
      <c r="A27" t="s">
        <v>2912</v>
      </c>
      <c r="B27" s="77">
        <v>0.81</v>
      </c>
      <c r="C27" s="77">
        <v>0.72</v>
      </c>
      <c r="D27" s="77">
        <v>0.91</v>
      </c>
      <c r="E27" s="77">
        <v>0.68</v>
      </c>
      <c r="F27" s="77">
        <v>0.91</v>
      </c>
      <c r="G27" s="77">
        <v>0.89</v>
      </c>
      <c r="H27" s="77">
        <v>0.86</v>
      </c>
      <c r="I27" s="77">
        <v>0.81</v>
      </c>
      <c r="J27" s="33"/>
      <c r="K27" s="33"/>
      <c r="L27" s="33"/>
      <c r="M27" s="33"/>
      <c r="N27" s="33"/>
      <c r="O27" s="33"/>
      <c r="P27" s="33" t="s">
        <v>672</v>
      </c>
      <c r="Q27" t="str">
        <f>VLOOKUP(P27,GroupLabels!$E$2:$H$145,3,0)</f>
        <v>Qatar - Arabic</v>
      </c>
    </row>
    <row r="28" spans="1:17" x14ac:dyDescent="0.25">
      <c r="A28" t="s">
        <v>3106</v>
      </c>
      <c r="B28" s="77">
        <v>0.72</v>
      </c>
      <c r="C28" s="77">
        <v>0.51</v>
      </c>
      <c r="D28" s="77">
        <v>0.84</v>
      </c>
      <c r="E28" s="77">
        <v>0.77</v>
      </c>
      <c r="F28" s="77">
        <v>0.82</v>
      </c>
      <c r="G28" s="77">
        <v>0.81</v>
      </c>
      <c r="H28" s="77">
        <v>0.86</v>
      </c>
      <c r="I28" s="77">
        <v>0.82</v>
      </c>
      <c r="J28" s="33"/>
      <c r="K28" s="33"/>
      <c r="L28" s="33"/>
      <c r="M28" s="33"/>
      <c r="N28" s="33"/>
      <c r="O28" s="33"/>
      <c r="P28" s="33" t="s">
        <v>674</v>
      </c>
      <c r="Q28" t="str">
        <f>VLOOKUP(P28,GroupLabels!$E$2:$H$145,3,0)</f>
        <v>Romania - Hungarian</v>
      </c>
    </row>
    <row r="29" spans="1:17" x14ac:dyDescent="0.25">
      <c r="A29" t="s">
        <v>3207</v>
      </c>
      <c r="B29" s="77">
        <v>0.77</v>
      </c>
      <c r="C29" s="77">
        <v>0.67</v>
      </c>
      <c r="D29" s="77">
        <v>0.86</v>
      </c>
      <c r="E29" s="77">
        <v>0.78</v>
      </c>
      <c r="F29" s="77">
        <v>0.9</v>
      </c>
      <c r="G29" s="77">
        <v>0.9</v>
      </c>
      <c r="H29" s="77">
        <v>0.88</v>
      </c>
      <c r="I29" s="77">
        <v>0.85</v>
      </c>
      <c r="J29" s="33"/>
      <c r="K29" s="33"/>
      <c r="L29" s="33"/>
      <c r="M29" s="33"/>
      <c r="N29" s="33"/>
      <c r="O29" s="33"/>
      <c r="P29" s="33" t="s">
        <v>675</v>
      </c>
      <c r="Q29" t="str">
        <f>VLOOKUP(P29,GroupLabels!$E$2:$H$145,3,0)</f>
        <v>Romania - Romanian</v>
      </c>
    </row>
    <row r="30" spans="1:17" x14ac:dyDescent="0.25">
      <c r="A30" t="s">
        <v>3072</v>
      </c>
      <c r="B30" s="77">
        <v>0.63</v>
      </c>
      <c r="C30" s="77">
        <v>0.45</v>
      </c>
      <c r="D30" s="77">
        <v>0.89</v>
      </c>
      <c r="E30" s="77">
        <v>0.61</v>
      </c>
      <c r="F30" s="77">
        <v>0.88</v>
      </c>
      <c r="G30" s="77">
        <v>0.89</v>
      </c>
      <c r="H30" s="77">
        <v>0.91</v>
      </c>
      <c r="I30" s="77">
        <v>0.85</v>
      </c>
      <c r="J30" s="33"/>
      <c r="K30" s="33"/>
      <c r="L30" s="33"/>
      <c r="M30" s="33"/>
      <c r="N30" s="33"/>
      <c r="O30" s="33"/>
      <c r="P30" s="33" t="s">
        <v>684</v>
      </c>
      <c r="Q30" t="str">
        <f>VLOOKUP(P30,GroupLabels!$E$2:$H$145,3,0)</f>
        <v>Spain - Basque</v>
      </c>
    </row>
    <row r="31" spans="1:17" x14ac:dyDescent="0.25">
      <c r="A31" t="s">
        <v>2932</v>
      </c>
      <c r="B31" s="77">
        <v>0.78</v>
      </c>
      <c r="C31" s="77">
        <v>0.6</v>
      </c>
      <c r="D31" s="77">
        <v>0.88</v>
      </c>
      <c r="E31" s="77">
        <v>0.83</v>
      </c>
      <c r="F31" s="77">
        <v>0.88</v>
      </c>
      <c r="G31" s="77">
        <v>0.82</v>
      </c>
      <c r="H31" s="77">
        <v>0.89</v>
      </c>
      <c r="I31" s="77">
        <v>0.84</v>
      </c>
      <c r="J31" s="33"/>
      <c r="K31" s="33"/>
      <c r="L31" s="33"/>
      <c r="M31" s="33"/>
      <c r="N31" s="33"/>
      <c r="O31" s="33"/>
      <c r="P31" s="33" t="s">
        <v>685</v>
      </c>
      <c r="Q31" t="str">
        <f>VLOOKUP(P31,GroupLabels!$E$2:$H$145,3,0)</f>
        <v>Spain - Catalan</v>
      </c>
    </row>
    <row r="32" spans="1:17" x14ac:dyDescent="0.25">
      <c r="A32" t="s">
        <v>3091</v>
      </c>
      <c r="B32" s="77">
        <v>0.63</v>
      </c>
      <c r="C32" s="77">
        <v>0.53</v>
      </c>
      <c r="D32" s="77">
        <v>0.86</v>
      </c>
      <c r="E32" s="77">
        <v>0.78</v>
      </c>
      <c r="F32" s="77">
        <v>0.89</v>
      </c>
      <c r="G32" s="77">
        <v>0.85</v>
      </c>
      <c r="H32" s="77">
        <v>0.92</v>
      </c>
      <c r="I32" s="77">
        <v>0.88</v>
      </c>
      <c r="J32" s="33"/>
      <c r="K32" s="33"/>
      <c r="L32" s="33"/>
      <c r="M32" s="33"/>
      <c r="N32" s="33"/>
      <c r="O32" s="33"/>
      <c r="P32" s="33" t="s">
        <v>686</v>
      </c>
      <c r="Q32" t="str">
        <f>VLOOKUP(P32,GroupLabels!$E$2:$H$145,3,0)</f>
        <v>Spain - Galician</v>
      </c>
    </row>
    <row r="33" spans="1:17" x14ac:dyDescent="0.25">
      <c r="A33" t="s">
        <v>3047</v>
      </c>
      <c r="B33" s="77">
        <v>0.78</v>
      </c>
      <c r="C33" s="77">
        <v>0.62</v>
      </c>
      <c r="D33" s="77">
        <v>0.86</v>
      </c>
      <c r="E33" s="77">
        <v>0.77</v>
      </c>
      <c r="F33" s="77">
        <v>0.89</v>
      </c>
      <c r="G33" s="77">
        <v>0.88</v>
      </c>
      <c r="H33" s="77">
        <v>0.87</v>
      </c>
      <c r="I33" s="77">
        <v>0.81</v>
      </c>
      <c r="J33" s="33"/>
      <c r="K33" s="33"/>
      <c r="L33" s="33"/>
      <c r="M33" s="33"/>
      <c r="N33" s="33"/>
      <c r="O33" s="33"/>
      <c r="P33" s="33" t="s">
        <v>687</v>
      </c>
      <c r="Q33" t="str">
        <f>VLOOKUP(P33,GroupLabels!$E$2:$H$145,3,0)</f>
        <v>Spain - Spanish</v>
      </c>
    </row>
    <row r="34" spans="1:17" x14ac:dyDescent="0.25">
      <c r="A34" t="s">
        <v>2933</v>
      </c>
      <c r="B34" s="77">
        <v>0.77</v>
      </c>
      <c r="C34" s="77">
        <v>0.53</v>
      </c>
      <c r="D34" s="77">
        <v>0.88</v>
      </c>
      <c r="E34" s="77">
        <v>0.78</v>
      </c>
      <c r="F34" s="77">
        <v>0.9</v>
      </c>
      <c r="G34" s="77">
        <v>0.82</v>
      </c>
      <c r="H34" s="77">
        <v>0.92</v>
      </c>
      <c r="I34" s="77">
        <v>0.81</v>
      </c>
      <c r="J34" s="33"/>
      <c r="K34" s="33"/>
      <c r="L34" s="33"/>
      <c r="M34" s="33"/>
      <c r="N34" s="33"/>
      <c r="O34" s="33"/>
      <c r="P34" s="33" t="s">
        <v>688</v>
      </c>
      <c r="Q34" t="str">
        <f>VLOOKUP(P34,GroupLabels!$E$2:$H$145,3,0)</f>
        <v>Spain - Valencian</v>
      </c>
    </row>
    <row r="35" spans="1:17" x14ac:dyDescent="0.25">
      <c r="A35" t="s">
        <v>762</v>
      </c>
      <c r="B35" s="77">
        <v>0.7</v>
      </c>
      <c r="C35" s="77">
        <v>0.53</v>
      </c>
      <c r="D35" s="77">
        <v>0.9</v>
      </c>
      <c r="E35" s="77">
        <v>0.82</v>
      </c>
      <c r="F35" s="77">
        <v>0.88</v>
      </c>
      <c r="G35" s="77">
        <v>0.86</v>
      </c>
      <c r="H35" s="77">
        <v>0.9</v>
      </c>
      <c r="I35" s="73" t="s">
        <v>3476</v>
      </c>
      <c r="J35" s="33"/>
      <c r="K35" s="33"/>
      <c r="L35" s="33"/>
      <c r="M35" s="33"/>
      <c r="N35" s="33"/>
      <c r="O35" s="33"/>
      <c r="P35" s="40" t="s">
        <v>689</v>
      </c>
      <c r="Q35" t="str">
        <f>VLOOKUP(P35,GroupLabels!$E$2:$H$145,3,0)</f>
        <v>Sweden - Swedish</v>
      </c>
    </row>
    <row r="36" spans="1:17" x14ac:dyDescent="0.25">
      <c r="A36" t="s">
        <v>3282</v>
      </c>
      <c r="B36" s="33">
        <v>0.71</v>
      </c>
      <c r="C36" s="33">
        <v>0.66</v>
      </c>
      <c r="D36" s="33">
        <v>0.9</v>
      </c>
      <c r="E36" s="33">
        <v>0.82</v>
      </c>
      <c r="F36" s="33">
        <v>0.94</v>
      </c>
      <c r="G36" s="33">
        <v>0.91</v>
      </c>
      <c r="H36" s="33">
        <v>0.91</v>
      </c>
      <c r="I36" s="33">
        <v>0.82</v>
      </c>
      <c r="J36" s="33"/>
      <c r="K36" s="33"/>
      <c r="L36" s="33"/>
      <c r="M36" s="33"/>
      <c r="N36" s="33"/>
      <c r="O36" s="33"/>
      <c r="P36" s="33" t="s">
        <v>693</v>
      </c>
      <c r="Q36" t="str">
        <f>VLOOKUP(P36,GroupLabels!$E$2:$H$145,3,0)</f>
        <v>Chinese Taipei - Chinese</v>
      </c>
    </row>
    <row r="37" spans="1:17" x14ac:dyDescent="0.25">
      <c r="A37" s="3" t="s">
        <v>3262</v>
      </c>
      <c r="B37" s="94">
        <v>0.71</v>
      </c>
      <c r="C37" s="94">
        <v>0.56999999999999995</v>
      </c>
      <c r="D37" s="94">
        <v>0.88</v>
      </c>
      <c r="E37" s="94">
        <v>0.76</v>
      </c>
      <c r="F37" s="94">
        <v>0.91</v>
      </c>
      <c r="G37" s="94">
        <v>0.87</v>
      </c>
      <c r="H37" s="94">
        <v>0.92</v>
      </c>
      <c r="I37" s="94">
        <v>0.82</v>
      </c>
      <c r="J37" s="33"/>
      <c r="K37" s="33"/>
      <c r="L37" s="33"/>
      <c r="M37" s="33"/>
      <c r="N37" s="33"/>
      <c r="O37" s="33"/>
      <c r="P37" s="33" t="s">
        <v>696</v>
      </c>
      <c r="Q37" t="str">
        <f>VLOOKUP(P37,GroupLabels!$E$2:$H$145,3,0)</f>
        <v>Ukrainian regions (17 of 27) - Ukrainian*</v>
      </c>
    </row>
    <row r="38" spans="1:17" x14ac:dyDescent="0.25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1:17" x14ac:dyDescent="0.25">
      <c r="A39" s="33" t="s">
        <v>3477</v>
      </c>
    </row>
  </sheetData>
  <sheetProtection formatColumns="0" formatRows="0"/>
  <sortState xmlns:xlrd2="http://schemas.microsoft.com/office/spreadsheetml/2017/richdata2" ref="A7:Q37">
    <sortCondition ref="A7:A37"/>
  </sortState>
  <hyperlinks>
    <hyperlink ref="A1" location="TOC!A1" display="Table of Contents" xr:uid="{2646B213-0B07-44A2-B75E-B7B43DA5BB4D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28"/>
  <dimension ref="A1:Q3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3.42578125" customWidth="1"/>
    <col min="2" max="9" width="9.140625" style="8" customWidth="1"/>
    <col min="16" max="17" width="0" hidden="1"/>
  </cols>
  <sheetData>
    <row r="1" spans="1:17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262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111" t="s">
        <v>2459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65" t="s">
        <v>566</v>
      </c>
      <c r="B6" s="79" t="s">
        <v>378</v>
      </c>
      <c r="C6" s="79" t="s">
        <v>326</v>
      </c>
      <c r="D6" s="79" t="s">
        <v>417</v>
      </c>
      <c r="E6" s="79" t="s">
        <v>320</v>
      </c>
      <c r="F6" s="79" t="s">
        <v>418</v>
      </c>
      <c r="G6" s="79" t="s">
        <v>324</v>
      </c>
      <c r="H6" s="79" t="s">
        <v>419</v>
      </c>
      <c r="I6" s="79" t="s">
        <v>380</v>
      </c>
      <c r="J6" s="33"/>
      <c r="K6" s="33"/>
      <c r="L6" s="33"/>
      <c r="M6" s="33"/>
      <c r="N6" s="33"/>
      <c r="O6" s="33"/>
      <c r="P6" s="33"/>
      <c r="Q6" s="33"/>
    </row>
    <row r="7" spans="1:17" x14ac:dyDescent="0.25">
      <c r="A7" t="s">
        <v>3185</v>
      </c>
      <c r="B7" s="73">
        <v>22</v>
      </c>
      <c r="C7" s="73">
        <v>10</v>
      </c>
      <c r="D7" s="73">
        <v>7</v>
      </c>
      <c r="E7" s="73">
        <v>6</v>
      </c>
      <c r="F7" s="73">
        <v>6</v>
      </c>
      <c r="G7" s="73">
        <v>5</v>
      </c>
      <c r="H7" s="73">
        <v>5</v>
      </c>
      <c r="I7" s="73">
        <v>4</v>
      </c>
      <c r="J7" s="33"/>
      <c r="K7" s="33"/>
      <c r="L7" s="33"/>
      <c r="M7" s="33"/>
      <c r="N7" s="33"/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">
        <v>2928</v>
      </c>
      <c r="B8" s="73">
        <v>21</v>
      </c>
      <c r="C8" s="73">
        <v>9</v>
      </c>
      <c r="D8" s="73">
        <v>7</v>
      </c>
      <c r="E8" s="73">
        <v>6</v>
      </c>
      <c r="F8" s="73">
        <v>6</v>
      </c>
      <c r="G8" s="73">
        <v>5</v>
      </c>
      <c r="H8" s="73">
        <v>5</v>
      </c>
      <c r="I8" s="73">
        <v>4</v>
      </c>
      <c r="J8" s="33"/>
      <c r="K8" s="33"/>
      <c r="L8" s="33"/>
      <c r="M8" s="33"/>
      <c r="N8" s="33"/>
      <c r="O8" s="33"/>
      <c r="P8" s="33" t="s">
        <v>580</v>
      </c>
      <c r="Q8" t="str">
        <f>VLOOKUP(P8,GroupLabels!$E$2:$H$145,3,0)</f>
        <v>Bulgaria - Bulgarian</v>
      </c>
    </row>
    <row r="9" spans="1:17" x14ac:dyDescent="0.25">
      <c r="A9" t="s">
        <v>3040</v>
      </c>
      <c r="B9" s="73">
        <v>22</v>
      </c>
      <c r="C9" s="73">
        <v>9</v>
      </c>
      <c r="D9" s="73">
        <v>7</v>
      </c>
      <c r="E9" s="73">
        <v>6</v>
      </c>
      <c r="F9" s="73">
        <v>6</v>
      </c>
      <c r="G9" s="73">
        <v>5</v>
      </c>
      <c r="H9" s="73">
        <v>5</v>
      </c>
      <c r="I9" s="73">
        <v>4</v>
      </c>
      <c r="J9" s="33"/>
      <c r="K9" s="33"/>
      <c r="L9" s="33"/>
      <c r="M9" s="33"/>
      <c r="N9" s="33"/>
      <c r="O9" s="33"/>
      <c r="P9" s="33" t="s">
        <v>586</v>
      </c>
      <c r="Q9" t="str">
        <f>VLOOKUP(P9,GroupLabels!$E$2:$H$145,3,0)</f>
        <v>Colombia - Spanish</v>
      </c>
    </row>
    <row r="10" spans="1:17" x14ac:dyDescent="0.25">
      <c r="A10" t="s">
        <v>3098</v>
      </c>
      <c r="B10" s="73">
        <v>20</v>
      </c>
      <c r="C10" s="73">
        <v>9</v>
      </c>
      <c r="D10" s="73">
        <v>7</v>
      </c>
      <c r="E10" s="73">
        <v>6</v>
      </c>
      <c r="F10" s="73">
        <v>6</v>
      </c>
      <c r="G10" s="73">
        <v>5</v>
      </c>
      <c r="H10" s="73">
        <v>5</v>
      </c>
      <c r="I10" s="73">
        <v>4</v>
      </c>
      <c r="J10" s="33"/>
      <c r="K10" s="33"/>
      <c r="L10" s="33"/>
      <c r="M10" s="33"/>
      <c r="N10" s="33"/>
      <c r="O10" s="33"/>
      <c r="P10" s="33" t="s">
        <v>588</v>
      </c>
      <c r="Q10" t="str">
        <f>VLOOKUP(P10,GroupLabels!$E$2:$H$145,3,0)</f>
        <v>Croatia - Croatian</v>
      </c>
    </row>
    <row r="11" spans="1:17" x14ac:dyDescent="0.25">
      <c r="A11" t="s">
        <v>2974</v>
      </c>
      <c r="B11" s="73">
        <v>22</v>
      </c>
      <c r="C11" s="73">
        <v>9</v>
      </c>
      <c r="D11" s="73">
        <v>7</v>
      </c>
      <c r="E11" s="73">
        <v>6</v>
      </c>
      <c r="F11" s="73">
        <v>6</v>
      </c>
      <c r="G11" s="73">
        <v>5</v>
      </c>
      <c r="H11" s="73">
        <v>5</v>
      </c>
      <c r="I11" s="73">
        <v>4</v>
      </c>
      <c r="J11" s="33"/>
      <c r="K11" s="33"/>
      <c r="L11" s="33"/>
      <c r="M11" s="33"/>
      <c r="N11" s="33"/>
      <c r="O11" s="33"/>
      <c r="P11" s="33" t="s">
        <v>590</v>
      </c>
      <c r="Q11" t="str">
        <f>VLOOKUP(P11,GroupLabels!$E$2:$H$145,3,0)</f>
        <v>Cyprus - Modern Greek*</v>
      </c>
    </row>
    <row r="12" spans="1:17" x14ac:dyDescent="0.25">
      <c r="A12" t="s">
        <v>2946</v>
      </c>
      <c r="B12" s="73">
        <v>22</v>
      </c>
      <c r="C12" s="73">
        <v>9</v>
      </c>
      <c r="D12" s="73">
        <v>7</v>
      </c>
      <c r="E12" s="73">
        <v>6</v>
      </c>
      <c r="F12" s="73">
        <v>6</v>
      </c>
      <c r="G12" s="73">
        <v>5</v>
      </c>
      <c r="H12" s="73">
        <v>5</v>
      </c>
      <c r="I12" s="73">
        <v>4</v>
      </c>
      <c r="J12" s="33"/>
      <c r="K12" s="33"/>
      <c r="L12" s="33"/>
      <c r="M12" s="33"/>
      <c r="N12" s="33"/>
      <c r="O12" s="33"/>
      <c r="P12" s="33" t="s">
        <v>591</v>
      </c>
      <c r="Q12" t="str">
        <f>VLOOKUP(P12,GroupLabels!$E$2:$H$145,3,0)</f>
        <v>Czechia - Czech</v>
      </c>
    </row>
    <row r="13" spans="1:17" x14ac:dyDescent="0.25">
      <c r="A13" t="s">
        <v>765</v>
      </c>
      <c r="B13" s="73">
        <v>22</v>
      </c>
      <c r="C13" s="73">
        <v>9</v>
      </c>
      <c r="D13" s="73">
        <v>7</v>
      </c>
      <c r="E13" s="73">
        <v>6</v>
      </c>
      <c r="F13" s="73">
        <v>6</v>
      </c>
      <c r="G13" s="73">
        <v>5</v>
      </c>
      <c r="H13" s="73">
        <v>5</v>
      </c>
      <c r="I13" s="73">
        <v>4</v>
      </c>
      <c r="J13" s="33"/>
      <c r="K13" s="33"/>
      <c r="L13" s="33"/>
      <c r="M13" s="33"/>
      <c r="N13" s="33"/>
      <c r="O13" s="33"/>
      <c r="P13" s="33" t="s">
        <v>592</v>
      </c>
      <c r="Q13" t="str">
        <f>VLOOKUP(P13,GroupLabels!$E$2:$H$145,3,0)</f>
        <v>Denmark - Danish</v>
      </c>
    </row>
    <row r="14" spans="1:17" x14ac:dyDescent="0.25">
      <c r="A14" t="s">
        <v>3044</v>
      </c>
      <c r="B14" s="73">
        <v>21</v>
      </c>
      <c r="C14" s="73">
        <v>9</v>
      </c>
      <c r="D14" s="73">
        <v>7</v>
      </c>
      <c r="E14" s="73">
        <v>6</v>
      </c>
      <c r="F14" s="73">
        <v>6</v>
      </c>
      <c r="G14" s="73">
        <v>5</v>
      </c>
      <c r="H14" s="73">
        <v>5</v>
      </c>
      <c r="I14" s="73">
        <v>4</v>
      </c>
      <c r="J14" s="33"/>
      <c r="K14" s="33"/>
      <c r="L14" s="33"/>
      <c r="M14" s="33"/>
      <c r="N14" s="33"/>
      <c r="O14" s="33"/>
      <c r="P14" s="33" t="s">
        <v>594</v>
      </c>
      <c r="Q14" t="str">
        <f>VLOOKUP(P14,GroupLabels!$E$2:$H$145,3,0)</f>
        <v>Dominican Republic - Spanish</v>
      </c>
    </row>
    <row r="15" spans="1:17" x14ac:dyDescent="0.25">
      <c r="A15" t="s">
        <v>3076</v>
      </c>
      <c r="B15" s="73">
        <v>22</v>
      </c>
      <c r="C15" s="73">
        <v>9</v>
      </c>
      <c r="D15" s="73">
        <v>7</v>
      </c>
      <c r="E15" s="73">
        <v>6</v>
      </c>
      <c r="F15" s="73">
        <v>6</v>
      </c>
      <c r="G15" s="73">
        <v>5</v>
      </c>
      <c r="H15" s="73">
        <v>5</v>
      </c>
      <c r="I15" s="73">
        <v>4</v>
      </c>
      <c r="J15" s="33"/>
      <c r="K15" s="33"/>
      <c r="L15" s="33"/>
      <c r="M15" s="33"/>
      <c r="N15" s="33"/>
      <c r="O15" s="33"/>
      <c r="P15" s="33" t="s">
        <v>601</v>
      </c>
      <c r="Q15" t="str">
        <f>VLOOKUP(P15,GroupLabels!$E$2:$H$145,3,0)</f>
        <v>Finland - Finnish</v>
      </c>
    </row>
    <row r="16" spans="1:17" x14ac:dyDescent="0.25">
      <c r="A16" t="s">
        <v>3244</v>
      </c>
      <c r="B16" s="73">
        <v>22</v>
      </c>
      <c r="C16" s="73">
        <v>9</v>
      </c>
      <c r="D16" s="73">
        <v>7</v>
      </c>
      <c r="E16" s="73">
        <v>6</v>
      </c>
      <c r="F16" s="73">
        <v>6</v>
      </c>
      <c r="G16" s="73">
        <v>5</v>
      </c>
      <c r="H16" s="73">
        <v>5</v>
      </c>
      <c r="I16" s="73">
        <v>4</v>
      </c>
      <c r="J16" s="33"/>
      <c r="K16" s="33"/>
      <c r="L16" s="33"/>
      <c r="M16" s="33"/>
      <c r="N16" s="33"/>
      <c r="O16" s="33"/>
      <c r="P16" s="33" t="s">
        <v>602</v>
      </c>
      <c r="Q16" t="str">
        <f>VLOOKUP(P16,GroupLabels!$E$2:$H$145,3,0)</f>
        <v>Finland - Swedish</v>
      </c>
    </row>
    <row r="17" spans="1:17" x14ac:dyDescent="0.25">
      <c r="A17" t="s">
        <v>3083</v>
      </c>
      <c r="B17" s="73">
        <v>20</v>
      </c>
      <c r="C17" s="73">
        <v>10</v>
      </c>
      <c r="D17" s="73">
        <v>7</v>
      </c>
      <c r="E17" s="73">
        <v>6</v>
      </c>
      <c r="F17" s="73">
        <v>6</v>
      </c>
      <c r="G17" s="73">
        <v>5</v>
      </c>
      <c r="H17" s="73">
        <v>5</v>
      </c>
      <c r="I17" s="73">
        <v>4</v>
      </c>
      <c r="J17" s="33"/>
      <c r="K17" s="33"/>
      <c r="L17" s="33"/>
      <c r="M17" s="33"/>
      <c r="N17" s="33"/>
      <c r="O17" s="33"/>
      <c r="P17" s="33" t="s">
        <v>603</v>
      </c>
      <c r="Q17" t="str">
        <f>VLOOKUP(P17,GroupLabels!$E$2:$H$145,3,0)</f>
        <v>France - French</v>
      </c>
    </row>
    <row r="18" spans="1:17" x14ac:dyDescent="0.25">
      <c r="A18" t="s">
        <v>767</v>
      </c>
      <c r="B18" s="73">
        <v>21</v>
      </c>
      <c r="C18" s="73">
        <v>9</v>
      </c>
      <c r="D18" s="73">
        <v>7</v>
      </c>
      <c r="E18" s="73">
        <v>6</v>
      </c>
      <c r="F18" s="73">
        <v>6</v>
      </c>
      <c r="G18" s="73">
        <v>5</v>
      </c>
      <c r="H18" s="73">
        <v>5</v>
      </c>
      <c r="I18" s="73">
        <v>4</v>
      </c>
      <c r="J18" s="33"/>
      <c r="K18" s="33"/>
      <c r="L18" s="33"/>
      <c r="M18" s="33"/>
      <c r="N18" s="33"/>
      <c r="O18" s="33"/>
      <c r="P18" s="33" t="s">
        <v>607</v>
      </c>
      <c r="Q18" t="str">
        <f>VLOOKUP(P18,GroupLabels!$E$2:$H$145,3,0)</f>
        <v>Germany - German</v>
      </c>
    </row>
    <row r="19" spans="1:17" x14ac:dyDescent="0.25">
      <c r="A19" t="s">
        <v>2976</v>
      </c>
      <c r="B19" s="73">
        <v>20</v>
      </c>
      <c r="C19" s="73">
        <v>9</v>
      </c>
      <c r="D19" s="73">
        <v>7</v>
      </c>
      <c r="E19" s="73">
        <v>6</v>
      </c>
      <c r="F19" s="73">
        <v>6</v>
      </c>
      <c r="G19" s="73">
        <v>5</v>
      </c>
      <c r="H19" s="73">
        <v>5</v>
      </c>
      <c r="I19" s="73">
        <v>4</v>
      </c>
      <c r="J19" s="33"/>
      <c r="K19" s="33"/>
      <c r="L19" s="33"/>
      <c r="M19" s="33"/>
      <c r="N19" s="33"/>
      <c r="O19" s="33"/>
      <c r="P19" s="33" t="s">
        <v>608</v>
      </c>
      <c r="Q19" t="str">
        <f>VLOOKUP(P19,GroupLabels!$E$2:$H$145,3,0)</f>
        <v>Greece - Modern Greek</v>
      </c>
    </row>
    <row r="20" spans="1:17" x14ac:dyDescent="0.25">
      <c r="A20" t="s">
        <v>2901</v>
      </c>
      <c r="B20" s="73">
        <v>18</v>
      </c>
      <c r="C20" s="73">
        <v>10</v>
      </c>
      <c r="D20" s="73">
        <v>7</v>
      </c>
      <c r="E20" s="73">
        <v>6</v>
      </c>
      <c r="F20" s="73">
        <v>6</v>
      </c>
      <c r="G20" s="73">
        <v>5</v>
      </c>
      <c r="H20" s="73">
        <v>5</v>
      </c>
      <c r="I20" s="73">
        <v>4</v>
      </c>
      <c r="J20" s="33"/>
      <c r="K20" s="33"/>
      <c r="L20" s="33"/>
      <c r="M20" s="33"/>
      <c r="N20" s="33"/>
      <c r="O20" s="33"/>
      <c r="P20" s="33" t="s">
        <v>617</v>
      </c>
      <c r="Q20" t="str">
        <f>VLOOKUP(P20,GroupLabels!$E$2:$H$145,3,0)</f>
        <v>Israel - Arabic*</v>
      </c>
    </row>
    <row r="21" spans="1:17" x14ac:dyDescent="0.25">
      <c r="A21" t="s">
        <v>2467</v>
      </c>
      <c r="B21" s="73">
        <v>19</v>
      </c>
      <c r="C21" s="73" t="s">
        <v>3476</v>
      </c>
      <c r="D21" s="73">
        <v>7</v>
      </c>
      <c r="E21" s="73">
        <v>6</v>
      </c>
      <c r="F21" s="73">
        <v>6</v>
      </c>
      <c r="G21" s="73">
        <v>5</v>
      </c>
      <c r="H21" s="73">
        <v>5</v>
      </c>
      <c r="I21" s="73">
        <v>4</v>
      </c>
      <c r="J21" s="33"/>
      <c r="K21" s="33"/>
      <c r="L21" s="33"/>
      <c r="M21" s="33"/>
      <c r="N21" s="33"/>
      <c r="O21" s="33"/>
      <c r="P21" s="33" t="s">
        <v>618</v>
      </c>
      <c r="Q21" t="str">
        <f>VLOOKUP(P21,GroupLabels!$E$2:$H$145,3,0)</f>
        <v>Israel - Haredi*</v>
      </c>
    </row>
    <row r="22" spans="1:17" x14ac:dyDescent="0.25">
      <c r="A22" t="s">
        <v>3094</v>
      </c>
      <c r="B22" s="73">
        <v>19</v>
      </c>
      <c r="C22" s="73">
        <v>10</v>
      </c>
      <c r="D22" s="73">
        <v>7</v>
      </c>
      <c r="E22" s="73">
        <v>6</v>
      </c>
      <c r="F22" s="73">
        <v>6</v>
      </c>
      <c r="G22" s="73">
        <v>5</v>
      </c>
      <c r="H22" s="73">
        <v>5</v>
      </c>
      <c r="I22" s="73">
        <v>4</v>
      </c>
      <c r="J22" s="33"/>
      <c r="K22" s="33"/>
      <c r="L22" s="33"/>
      <c r="M22" s="33"/>
      <c r="N22" s="33"/>
      <c r="O22" s="33"/>
      <c r="P22" s="33" t="s">
        <v>619</v>
      </c>
      <c r="Q22" t="str">
        <f>VLOOKUP(P22,GroupLabels!$E$2:$H$145,3,0)</f>
        <v>Israel - Hebrew*</v>
      </c>
    </row>
    <row r="23" spans="1:17" x14ac:dyDescent="0.25">
      <c r="A23" t="s">
        <v>2967</v>
      </c>
      <c r="B23" s="73">
        <v>22</v>
      </c>
      <c r="C23" s="73">
        <v>9</v>
      </c>
      <c r="D23" s="73">
        <v>7</v>
      </c>
      <c r="E23" s="73">
        <v>6</v>
      </c>
      <c r="F23" s="73">
        <v>6</v>
      </c>
      <c r="G23" s="73">
        <v>5</v>
      </c>
      <c r="H23" s="73">
        <v>5</v>
      </c>
      <c r="I23" s="73">
        <v>4</v>
      </c>
      <c r="J23" s="33"/>
      <c r="K23" s="33"/>
      <c r="L23" s="33"/>
      <c r="M23" s="33"/>
      <c r="N23" s="33"/>
      <c r="O23" s="33"/>
      <c r="P23" s="33" t="s">
        <v>620</v>
      </c>
      <c r="Q23" t="str">
        <f>VLOOKUP(P23,GroupLabels!$E$2:$H$145,3,0)</f>
        <v>Italy - German</v>
      </c>
    </row>
    <row r="24" spans="1:17" x14ac:dyDescent="0.25">
      <c r="A24" t="s">
        <v>3126</v>
      </c>
      <c r="B24" s="73">
        <v>21</v>
      </c>
      <c r="C24" s="73">
        <v>9</v>
      </c>
      <c r="D24" s="73">
        <v>7</v>
      </c>
      <c r="E24" s="73">
        <v>6</v>
      </c>
      <c r="F24" s="73">
        <v>6</v>
      </c>
      <c r="G24" s="73">
        <v>5</v>
      </c>
      <c r="H24" s="73">
        <v>5</v>
      </c>
      <c r="I24" s="73">
        <v>4</v>
      </c>
      <c r="J24" s="33"/>
      <c r="K24" s="33"/>
      <c r="L24" s="33"/>
      <c r="M24" s="33"/>
      <c r="N24" s="33"/>
      <c r="O24" s="33"/>
      <c r="P24" s="33" t="s">
        <v>621</v>
      </c>
      <c r="Q24" t="str">
        <f>VLOOKUP(P24,GroupLabels!$E$2:$H$145,3,0)</f>
        <v>Italy - Italian</v>
      </c>
    </row>
    <row r="25" spans="1:17" x14ac:dyDescent="0.25">
      <c r="A25" t="s">
        <v>3056</v>
      </c>
      <c r="B25" s="73">
        <v>22</v>
      </c>
      <c r="C25" s="73">
        <v>9</v>
      </c>
      <c r="D25" s="73">
        <v>7</v>
      </c>
      <c r="E25" s="73">
        <v>6</v>
      </c>
      <c r="F25" s="73">
        <v>6</v>
      </c>
      <c r="G25" s="73">
        <v>5</v>
      </c>
      <c r="H25" s="73">
        <v>5</v>
      </c>
      <c r="I25" s="73">
        <v>4</v>
      </c>
      <c r="J25" s="33"/>
      <c r="K25" s="33"/>
      <c r="L25" s="33"/>
      <c r="M25" s="33"/>
      <c r="N25" s="33"/>
      <c r="O25" s="33"/>
      <c r="P25" s="33" t="s">
        <v>668</v>
      </c>
      <c r="Q25" t="str">
        <f>VLOOKUP(P25,GroupLabels!$E$2:$H$145,3,0)</f>
        <v>Peru - Spanish</v>
      </c>
    </row>
    <row r="26" spans="1:17" x14ac:dyDescent="0.25">
      <c r="A26" t="s">
        <v>3202</v>
      </c>
      <c r="B26" s="73">
        <v>22</v>
      </c>
      <c r="C26" s="73">
        <v>9</v>
      </c>
      <c r="D26" s="73">
        <v>7</v>
      </c>
      <c r="E26" s="73">
        <v>6</v>
      </c>
      <c r="F26" s="73">
        <v>6</v>
      </c>
      <c r="G26" s="73">
        <v>5</v>
      </c>
      <c r="H26" s="73">
        <v>5</v>
      </c>
      <c r="I26" s="73">
        <v>4</v>
      </c>
      <c r="J26" s="33"/>
      <c r="K26" s="33"/>
      <c r="L26" s="33"/>
      <c r="M26" s="33"/>
      <c r="N26" s="33"/>
      <c r="O26" s="33"/>
      <c r="P26" s="33" t="s">
        <v>671</v>
      </c>
      <c r="Q26" t="str">
        <f>VLOOKUP(P26,GroupLabels!$E$2:$H$145,3,0)</f>
        <v>Portugal - Portuguese</v>
      </c>
    </row>
    <row r="27" spans="1:17" x14ac:dyDescent="0.25">
      <c r="A27" t="s">
        <v>2912</v>
      </c>
      <c r="B27" s="73">
        <v>21</v>
      </c>
      <c r="C27" s="73">
        <v>10</v>
      </c>
      <c r="D27" s="73">
        <v>7</v>
      </c>
      <c r="E27" s="73">
        <v>6</v>
      </c>
      <c r="F27" s="73">
        <v>6</v>
      </c>
      <c r="G27" s="73">
        <v>5</v>
      </c>
      <c r="H27" s="73">
        <v>5</v>
      </c>
      <c r="I27" s="73">
        <v>4</v>
      </c>
      <c r="J27" s="33"/>
      <c r="K27" s="33"/>
      <c r="L27" s="33"/>
      <c r="M27" s="33"/>
      <c r="N27" s="33"/>
      <c r="O27" s="33"/>
      <c r="P27" s="33" t="s">
        <v>672</v>
      </c>
      <c r="Q27" t="str">
        <f>VLOOKUP(P27,GroupLabels!$E$2:$H$145,3,0)</f>
        <v>Qatar - Arabic</v>
      </c>
    </row>
    <row r="28" spans="1:17" x14ac:dyDescent="0.25">
      <c r="A28" t="s">
        <v>3106</v>
      </c>
      <c r="B28" s="73">
        <v>22</v>
      </c>
      <c r="C28" s="73">
        <v>9</v>
      </c>
      <c r="D28" s="73">
        <v>7</v>
      </c>
      <c r="E28" s="73">
        <v>6</v>
      </c>
      <c r="F28" s="73">
        <v>6</v>
      </c>
      <c r="G28" s="73">
        <v>5</v>
      </c>
      <c r="H28" s="73">
        <v>5</v>
      </c>
      <c r="I28" s="73">
        <v>4</v>
      </c>
      <c r="J28" s="33"/>
      <c r="K28" s="33"/>
      <c r="L28" s="33"/>
      <c r="M28" s="33"/>
      <c r="N28" s="33"/>
      <c r="O28" s="33"/>
      <c r="P28" s="33" t="s">
        <v>674</v>
      </c>
      <c r="Q28" t="str">
        <f>VLOOKUP(P28,GroupLabels!$E$2:$H$145,3,0)</f>
        <v>Romania - Hungarian</v>
      </c>
    </row>
    <row r="29" spans="1:17" x14ac:dyDescent="0.25">
      <c r="A29" t="s">
        <v>3207</v>
      </c>
      <c r="B29" s="73">
        <v>22</v>
      </c>
      <c r="C29" s="73">
        <v>9</v>
      </c>
      <c r="D29" s="73">
        <v>7</v>
      </c>
      <c r="E29" s="73">
        <v>6</v>
      </c>
      <c r="F29" s="73">
        <v>6</v>
      </c>
      <c r="G29" s="73">
        <v>5</v>
      </c>
      <c r="H29" s="73">
        <v>5</v>
      </c>
      <c r="I29" s="73">
        <v>4</v>
      </c>
      <c r="J29" s="33"/>
      <c r="K29" s="33"/>
      <c r="L29" s="33"/>
      <c r="M29" s="33"/>
      <c r="N29" s="33"/>
      <c r="O29" s="33"/>
      <c r="P29" s="33" t="s">
        <v>675</v>
      </c>
      <c r="Q29" t="str">
        <f>VLOOKUP(P29,GroupLabels!$E$2:$H$145,3,0)</f>
        <v>Romania - Romanian</v>
      </c>
    </row>
    <row r="30" spans="1:17" x14ac:dyDescent="0.25">
      <c r="A30" t="s">
        <v>3072</v>
      </c>
      <c r="B30" s="73">
        <v>20</v>
      </c>
      <c r="C30" s="73">
        <v>10</v>
      </c>
      <c r="D30" s="73">
        <v>7</v>
      </c>
      <c r="E30" s="73">
        <v>6</v>
      </c>
      <c r="F30" s="73">
        <v>6</v>
      </c>
      <c r="G30" s="73">
        <v>5</v>
      </c>
      <c r="H30" s="73">
        <v>5</v>
      </c>
      <c r="I30" s="73">
        <v>4</v>
      </c>
      <c r="J30" s="33"/>
      <c r="K30" s="33"/>
      <c r="L30" s="33"/>
      <c r="M30" s="33"/>
      <c r="N30" s="33"/>
      <c r="O30" s="33"/>
      <c r="P30" s="33" t="s">
        <v>684</v>
      </c>
      <c r="Q30" t="str">
        <f>VLOOKUP(P30,GroupLabels!$E$2:$H$145,3,0)</f>
        <v>Spain - Basque</v>
      </c>
    </row>
    <row r="31" spans="1:17" x14ac:dyDescent="0.25">
      <c r="A31" t="s">
        <v>2932</v>
      </c>
      <c r="B31" s="73">
        <v>21</v>
      </c>
      <c r="C31" s="73">
        <v>10</v>
      </c>
      <c r="D31" s="73">
        <v>7</v>
      </c>
      <c r="E31" s="73">
        <v>6</v>
      </c>
      <c r="F31" s="73">
        <v>6</v>
      </c>
      <c r="G31" s="73">
        <v>5</v>
      </c>
      <c r="H31" s="73">
        <v>5</v>
      </c>
      <c r="I31" s="73">
        <v>4</v>
      </c>
      <c r="J31" s="33"/>
      <c r="K31" s="33"/>
      <c r="L31" s="33"/>
      <c r="M31" s="33"/>
      <c r="N31" s="33"/>
      <c r="O31" s="33"/>
      <c r="P31" s="33" t="s">
        <v>685</v>
      </c>
      <c r="Q31" t="str">
        <f>VLOOKUP(P31,GroupLabels!$E$2:$H$145,3,0)</f>
        <v>Spain - Catalan</v>
      </c>
    </row>
    <row r="32" spans="1:17" x14ac:dyDescent="0.25">
      <c r="A32" t="s">
        <v>3091</v>
      </c>
      <c r="B32" s="73">
        <v>21</v>
      </c>
      <c r="C32" s="73">
        <v>10</v>
      </c>
      <c r="D32" s="73">
        <v>7</v>
      </c>
      <c r="E32" s="73">
        <v>6</v>
      </c>
      <c r="F32" s="73">
        <v>6</v>
      </c>
      <c r="G32" s="73">
        <v>5</v>
      </c>
      <c r="H32" s="73">
        <v>5</v>
      </c>
      <c r="I32" s="73">
        <v>4</v>
      </c>
      <c r="J32" s="33"/>
      <c r="K32" s="33"/>
      <c r="L32" s="33"/>
      <c r="M32" s="33"/>
      <c r="N32" s="33"/>
      <c r="O32" s="33"/>
      <c r="P32" s="33" t="s">
        <v>686</v>
      </c>
      <c r="Q32" t="str">
        <f>VLOOKUP(P32,GroupLabels!$E$2:$H$145,3,0)</f>
        <v>Spain - Galician</v>
      </c>
    </row>
    <row r="33" spans="1:17" x14ac:dyDescent="0.25">
      <c r="A33" t="s">
        <v>3047</v>
      </c>
      <c r="B33" s="73">
        <v>22</v>
      </c>
      <c r="C33" s="73">
        <v>10</v>
      </c>
      <c r="D33" s="73">
        <v>7</v>
      </c>
      <c r="E33" s="73">
        <v>6</v>
      </c>
      <c r="F33" s="73">
        <v>6</v>
      </c>
      <c r="G33" s="73">
        <v>5</v>
      </c>
      <c r="H33" s="73">
        <v>5</v>
      </c>
      <c r="I33" s="73">
        <v>4</v>
      </c>
      <c r="J33" s="33"/>
      <c r="K33" s="33"/>
      <c r="L33" s="33"/>
      <c r="M33" s="33"/>
      <c r="N33" s="33"/>
      <c r="O33" s="33"/>
      <c r="P33" s="33" t="s">
        <v>687</v>
      </c>
      <c r="Q33" t="str">
        <f>VLOOKUP(P33,GroupLabels!$E$2:$H$145,3,0)</f>
        <v>Spain - Spanish</v>
      </c>
    </row>
    <row r="34" spans="1:17" x14ac:dyDescent="0.25">
      <c r="A34" t="s">
        <v>2933</v>
      </c>
      <c r="B34" s="73">
        <v>21</v>
      </c>
      <c r="C34" s="73">
        <v>10</v>
      </c>
      <c r="D34" s="73">
        <v>7</v>
      </c>
      <c r="E34" s="73">
        <v>6</v>
      </c>
      <c r="F34" s="73">
        <v>6</v>
      </c>
      <c r="G34" s="73">
        <v>5</v>
      </c>
      <c r="H34" s="73">
        <v>5</v>
      </c>
      <c r="I34" s="73">
        <v>4</v>
      </c>
      <c r="J34" s="33"/>
      <c r="K34" s="33"/>
      <c r="L34" s="33"/>
      <c r="M34" s="33"/>
      <c r="N34" s="33"/>
      <c r="O34" s="33"/>
      <c r="P34" s="33" t="s">
        <v>688</v>
      </c>
      <c r="Q34" t="str">
        <f>VLOOKUP(P34,GroupLabels!$E$2:$H$145,3,0)</f>
        <v>Spain - Valencian</v>
      </c>
    </row>
    <row r="35" spans="1:17" x14ac:dyDescent="0.25">
      <c r="A35" t="s">
        <v>762</v>
      </c>
      <c r="B35" s="73">
        <v>19</v>
      </c>
      <c r="C35" s="73">
        <v>9</v>
      </c>
      <c r="D35" s="73">
        <v>7</v>
      </c>
      <c r="E35" s="73">
        <v>6</v>
      </c>
      <c r="F35" s="73">
        <v>6</v>
      </c>
      <c r="G35" s="73">
        <v>5</v>
      </c>
      <c r="H35" s="73">
        <v>5</v>
      </c>
      <c r="I35" s="73" t="s">
        <v>3476</v>
      </c>
      <c r="J35" s="33"/>
      <c r="K35" s="33"/>
      <c r="L35" s="33"/>
      <c r="M35" s="33"/>
      <c r="N35" s="33"/>
      <c r="O35" s="33"/>
      <c r="P35" s="33" t="s">
        <v>689</v>
      </c>
      <c r="Q35" t="str">
        <f>VLOOKUP(P35,GroupLabels!$E$2:$H$145,3,0)</f>
        <v>Sweden - Swedish</v>
      </c>
    </row>
    <row r="36" spans="1:17" x14ac:dyDescent="0.25">
      <c r="A36" t="s">
        <v>3282</v>
      </c>
      <c r="B36" s="73">
        <v>19</v>
      </c>
      <c r="C36" s="73">
        <v>10</v>
      </c>
      <c r="D36" s="73">
        <v>7</v>
      </c>
      <c r="E36" s="73">
        <v>6</v>
      </c>
      <c r="F36" s="73">
        <v>6</v>
      </c>
      <c r="G36" s="73">
        <v>5</v>
      </c>
      <c r="H36" s="73">
        <v>5</v>
      </c>
      <c r="I36" s="73">
        <v>4</v>
      </c>
      <c r="J36" s="33"/>
      <c r="K36" s="33"/>
      <c r="L36" s="33"/>
      <c r="M36" s="33"/>
      <c r="N36" s="33"/>
      <c r="O36" s="33"/>
      <c r="P36" s="33" t="s">
        <v>693</v>
      </c>
      <c r="Q36" t="str">
        <f>VLOOKUP(P36,GroupLabels!$E$2:$H$145,3,0)</f>
        <v>Chinese Taipei - Chinese</v>
      </c>
    </row>
    <row r="37" spans="1:17" x14ac:dyDescent="0.25">
      <c r="A37" s="3" t="s">
        <v>3262</v>
      </c>
      <c r="B37" s="75">
        <v>19</v>
      </c>
      <c r="C37" s="75">
        <v>9</v>
      </c>
      <c r="D37" s="75">
        <v>7</v>
      </c>
      <c r="E37" s="75">
        <v>6</v>
      </c>
      <c r="F37" s="75">
        <v>6</v>
      </c>
      <c r="G37" s="75">
        <v>5</v>
      </c>
      <c r="H37" s="75">
        <v>5</v>
      </c>
      <c r="I37" s="75">
        <v>4</v>
      </c>
      <c r="J37" s="33"/>
      <c r="K37" s="33"/>
      <c r="L37" s="33"/>
      <c r="M37" s="33"/>
      <c r="N37" s="33"/>
      <c r="O37" s="33"/>
      <c r="P37" s="40" t="s">
        <v>696</v>
      </c>
      <c r="Q37" t="str">
        <f>VLOOKUP(P37,GroupLabels!$E$2:$H$145,3,0)</f>
        <v>Ukrainian regions (17 of 27) - Ukrainian*</v>
      </c>
    </row>
    <row r="39" spans="1:17" x14ac:dyDescent="0.25">
      <c r="A39" s="33" t="s">
        <v>3477</v>
      </c>
    </row>
  </sheetData>
  <sheetProtection formatColumns="0" formatRows="0"/>
  <sortState xmlns:xlrd2="http://schemas.microsoft.com/office/spreadsheetml/2017/richdata2" ref="A7:Q37">
    <sortCondition ref="A7:A37"/>
  </sortState>
  <hyperlinks>
    <hyperlink ref="A1" location="TOC!A1" display="Table of Contents" xr:uid="{4D268AF3-D02F-4BCD-9809-DB409BAEDA94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29"/>
  <dimension ref="A1:P3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0.42578125" customWidth="1"/>
    <col min="2" max="5" width="9.140625" style="8" customWidth="1"/>
    <col min="15" max="16" width="0" hidden="1"/>
  </cols>
  <sheetData>
    <row r="1" spans="1:16" x14ac:dyDescent="0.25">
      <c r="A1" s="141" t="s">
        <v>316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264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111" t="s">
        <v>2460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566</v>
      </c>
      <c r="B6" s="79" t="s">
        <v>326</v>
      </c>
      <c r="C6" s="79" t="s">
        <v>320</v>
      </c>
      <c r="D6" s="79" t="s">
        <v>324</v>
      </c>
      <c r="E6" s="79" t="s">
        <v>380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x14ac:dyDescent="0.25">
      <c r="A7" t="s">
        <v>3185</v>
      </c>
      <c r="B7" s="73">
        <v>9</v>
      </c>
      <c r="C7" s="73">
        <v>6</v>
      </c>
      <c r="D7" s="73">
        <v>5</v>
      </c>
      <c r="E7" s="73">
        <v>4</v>
      </c>
      <c r="F7" s="33"/>
      <c r="G7" s="33"/>
      <c r="H7" s="33"/>
      <c r="I7" s="33"/>
      <c r="J7" s="33"/>
      <c r="K7" s="33"/>
      <c r="L7" s="33"/>
      <c r="M7" s="33"/>
      <c r="N7" s="33"/>
      <c r="O7" s="33" t="s">
        <v>574</v>
      </c>
      <c r="P7" t="str">
        <f>VLOOKUP(O7,GroupLabels!$E$2:$H$145,3,0)</f>
        <v>Belgium (Flemish Community) - Dutch</v>
      </c>
    </row>
    <row r="8" spans="1:16" x14ac:dyDescent="0.25">
      <c r="A8" t="s">
        <v>3040</v>
      </c>
      <c r="B8" s="73">
        <v>9</v>
      </c>
      <c r="C8" s="73">
        <v>6</v>
      </c>
      <c r="D8" s="73">
        <v>5</v>
      </c>
      <c r="E8" s="73">
        <v>4</v>
      </c>
      <c r="F8" s="33"/>
      <c r="G8" s="33"/>
      <c r="H8" s="33"/>
      <c r="I8" s="33"/>
      <c r="J8" s="33"/>
      <c r="K8" s="33"/>
      <c r="L8" s="33"/>
      <c r="M8" s="33"/>
      <c r="N8" s="33"/>
      <c r="O8" s="33" t="s">
        <v>586</v>
      </c>
      <c r="P8" t="str">
        <f>VLOOKUP(O8,GroupLabels!$E$2:$H$145,3,0)</f>
        <v>Colombia - Spanish</v>
      </c>
    </row>
    <row r="9" spans="1:16" x14ac:dyDescent="0.25">
      <c r="A9" t="s">
        <v>3098</v>
      </c>
      <c r="B9" s="73">
        <v>9</v>
      </c>
      <c r="C9" s="73">
        <v>6</v>
      </c>
      <c r="D9" s="73">
        <v>5</v>
      </c>
      <c r="E9" s="73">
        <v>4</v>
      </c>
      <c r="F9" s="33"/>
      <c r="G9" s="33"/>
      <c r="H9" s="33"/>
      <c r="I9" s="33"/>
      <c r="J9" s="33"/>
      <c r="K9" s="33"/>
      <c r="L9" s="33"/>
      <c r="M9" s="33"/>
      <c r="N9" s="33"/>
      <c r="O9" s="33" t="s">
        <v>588</v>
      </c>
      <c r="P9" t="str">
        <f>VLOOKUP(O9,GroupLabels!$E$2:$H$145,3,0)</f>
        <v>Croatia - Croatian</v>
      </c>
    </row>
    <row r="10" spans="1:16" x14ac:dyDescent="0.25">
      <c r="A10" t="s">
        <v>2974</v>
      </c>
      <c r="B10" s="73">
        <v>9</v>
      </c>
      <c r="C10" s="73">
        <v>6</v>
      </c>
      <c r="D10" s="73">
        <v>5</v>
      </c>
      <c r="E10" s="73">
        <v>4</v>
      </c>
      <c r="F10" s="33"/>
      <c r="G10" s="33"/>
      <c r="H10" s="33"/>
      <c r="I10" s="33"/>
      <c r="J10" s="33"/>
      <c r="K10" s="33"/>
      <c r="L10" s="33"/>
      <c r="M10" s="33"/>
      <c r="N10" s="33"/>
      <c r="O10" s="33" t="s">
        <v>590</v>
      </c>
      <c r="P10" t="str">
        <f>VLOOKUP(O10,GroupLabels!$E$2:$H$145,3,0)</f>
        <v>Cyprus - Modern Greek*</v>
      </c>
    </row>
    <row r="11" spans="1:16" x14ac:dyDescent="0.25">
      <c r="A11" t="s">
        <v>2946</v>
      </c>
      <c r="B11" s="73">
        <v>9</v>
      </c>
      <c r="C11" s="73">
        <v>6</v>
      </c>
      <c r="D11" s="73">
        <v>5</v>
      </c>
      <c r="E11" s="73">
        <v>4</v>
      </c>
      <c r="F11" s="33"/>
      <c r="G11" s="33"/>
      <c r="H11" s="33"/>
      <c r="I11" s="33"/>
      <c r="J11" s="33"/>
      <c r="K11" s="33"/>
      <c r="L11" s="33"/>
      <c r="M11" s="33"/>
      <c r="N11" s="33"/>
      <c r="O11" s="33" t="s">
        <v>591</v>
      </c>
      <c r="P11" t="str">
        <f>VLOOKUP(O11,GroupLabels!$E$2:$H$145,3,0)</f>
        <v>Czechia - Czech</v>
      </c>
    </row>
    <row r="12" spans="1:16" x14ac:dyDescent="0.25">
      <c r="A12" t="s">
        <v>765</v>
      </c>
      <c r="B12" s="73">
        <v>9</v>
      </c>
      <c r="C12" s="73">
        <v>6</v>
      </c>
      <c r="D12" s="73">
        <v>5</v>
      </c>
      <c r="E12" s="73">
        <v>4</v>
      </c>
      <c r="F12" s="33"/>
      <c r="G12" s="33"/>
      <c r="H12" s="33"/>
      <c r="I12" s="33"/>
      <c r="J12" s="33"/>
      <c r="K12" s="33"/>
      <c r="L12" s="33"/>
      <c r="M12" s="33"/>
      <c r="N12" s="33"/>
      <c r="O12" s="33" t="s">
        <v>592</v>
      </c>
      <c r="P12" t="str">
        <f>VLOOKUP(O12,GroupLabels!$E$2:$H$145,3,0)</f>
        <v>Denmark - Danish</v>
      </c>
    </row>
    <row r="13" spans="1:16" x14ac:dyDescent="0.25">
      <c r="A13" t="s">
        <v>3044</v>
      </c>
      <c r="B13" s="73">
        <v>9</v>
      </c>
      <c r="C13" s="73">
        <v>6</v>
      </c>
      <c r="D13" s="73">
        <v>5</v>
      </c>
      <c r="E13" s="73">
        <v>4</v>
      </c>
      <c r="F13" s="33"/>
      <c r="G13" s="33"/>
      <c r="H13" s="33"/>
      <c r="I13" s="33"/>
      <c r="J13" s="33"/>
      <c r="K13" s="33"/>
      <c r="L13" s="33"/>
      <c r="M13" s="33"/>
      <c r="N13" s="33"/>
      <c r="O13" s="33" t="s">
        <v>594</v>
      </c>
      <c r="P13" t="str">
        <f>VLOOKUP(O13,GroupLabels!$E$2:$H$145,3,0)</f>
        <v>Dominican Republic - Spanish</v>
      </c>
    </row>
    <row r="14" spans="1:16" x14ac:dyDescent="0.25">
      <c r="A14" t="s">
        <v>3076</v>
      </c>
      <c r="B14" s="73">
        <v>9</v>
      </c>
      <c r="C14" s="73">
        <v>6</v>
      </c>
      <c r="D14" s="73">
        <v>5</v>
      </c>
      <c r="E14" s="73">
        <v>4</v>
      </c>
      <c r="F14" s="33"/>
      <c r="G14" s="33"/>
      <c r="H14" s="33"/>
      <c r="I14" s="33"/>
      <c r="J14" s="33"/>
      <c r="K14" s="33"/>
      <c r="L14" s="33"/>
      <c r="M14" s="33"/>
      <c r="N14" s="33"/>
      <c r="O14" s="33" t="s">
        <v>601</v>
      </c>
      <c r="P14" t="str">
        <f>VLOOKUP(O14,GroupLabels!$E$2:$H$145,3,0)</f>
        <v>Finland - Finnish</v>
      </c>
    </row>
    <row r="15" spans="1:16" x14ac:dyDescent="0.25">
      <c r="A15" t="s">
        <v>3244</v>
      </c>
      <c r="B15" s="73">
        <v>9</v>
      </c>
      <c r="C15" s="73">
        <v>6</v>
      </c>
      <c r="D15" s="73">
        <v>5</v>
      </c>
      <c r="E15" s="73">
        <v>4</v>
      </c>
      <c r="F15" s="33"/>
      <c r="G15" s="33"/>
      <c r="H15" s="33"/>
      <c r="I15" s="33"/>
      <c r="J15" s="33"/>
      <c r="K15" s="33"/>
      <c r="L15" s="33"/>
      <c r="M15" s="33"/>
      <c r="N15" s="33"/>
      <c r="O15" s="33" t="s">
        <v>602</v>
      </c>
      <c r="P15" t="str">
        <f>VLOOKUP(O15,GroupLabels!$E$2:$H$145,3,0)</f>
        <v>Finland - Swedish</v>
      </c>
    </row>
    <row r="16" spans="1:16" x14ac:dyDescent="0.25">
      <c r="A16" t="s">
        <v>3083</v>
      </c>
      <c r="B16" s="73">
        <v>9</v>
      </c>
      <c r="C16" s="73">
        <v>6</v>
      </c>
      <c r="D16" s="73">
        <v>5</v>
      </c>
      <c r="E16" s="73">
        <v>4</v>
      </c>
      <c r="F16" s="33"/>
      <c r="G16" s="33"/>
      <c r="H16" s="33"/>
      <c r="I16" s="33"/>
      <c r="J16" s="33"/>
      <c r="K16" s="33"/>
      <c r="L16" s="33"/>
      <c r="M16" s="33"/>
      <c r="N16" s="33"/>
      <c r="O16" s="33" t="s">
        <v>603</v>
      </c>
      <c r="P16" t="str">
        <f>VLOOKUP(O16,GroupLabels!$E$2:$H$145,3,0)</f>
        <v>France - French</v>
      </c>
    </row>
    <row r="17" spans="1:16" x14ac:dyDescent="0.25">
      <c r="A17" t="s">
        <v>767</v>
      </c>
      <c r="B17" s="73">
        <v>9</v>
      </c>
      <c r="C17" s="73">
        <v>6</v>
      </c>
      <c r="D17" s="73">
        <v>5</v>
      </c>
      <c r="E17" s="73">
        <v>4</v>
      </c>
      <c r="F17" s="33"/>
      <c r="G17" s="33"/>
      <c r="H17" s="33"/>
      <c r="I17" s="33"/>
      <c r="J17" s="33"/>
      <c r="K17" s="33"/>
      <c r="L17" s="33"/>
      <c r="M17" s="33"/>
      <c r="N17" s="33"/>
      <c r="O17" s="33" t="s">
        <v>607</v>
      </c>
      <c r="P17" t="str">
        <f>VLOOKUP(O17,GroupLabels!$E$2:$H$145,3,0)</f>
        <v>Germany - German</v>
      </c>
    </row>
    <row r="18" spans="1:16" x14ac:dyDescent="0.25">
      <c r="A18" t="s">
        <v>2976</v>
      </c>
      <c r="B18" s="73">
        <v>9</v>
      </c>
      <c r="C18" s="73">
        <v>6</v>
      </c>
      <c r="D18" s="73">
        <v>5</v>
      </c>
      <c r="E18" s="73">
        <v>4</v>
      </c>
      <c r="F18" s="33"/>
      <c r="G18" s="33"/>
      <c r="H18" s="33"/>
      <c r="I18" s="33"/>
      <c r="J18" s="33"/>
      <c r="K18" s="33"/>
      <c r="L18" s="33"/>
      <c r="M18" s="33"/>
      <c r="N18" s="33"/>
      <c r="O18" s="33" t="s">
        <v>608</v>
      </c>
      <c r="P18" t="str">
        <f>VLOOKUP(O18,GroupLabels!$E$2:$H$145,3,0)</f>
        <v>Greece - Modern Greek</v>
      </c>
    </row>
    <row r="19" spans="1:16" x14ac:dyDescent="0.25">
      <c r="A19" t="s">
        <v>2901</v>
      </c>
      <c r="B19" s="73">
        <v>9</v>
      </c>
      <c r="C19" s="73">
        <v>6</v>
      </c>
      <c r="D19" s="73">
        <v>5</v>
      </c>
      <c r="E19" s="73">
        <v>4</v>
      </c>
      <c r="F19" s="33"/>
      <c r="G19" s="33"/>
      <c r="H19" s="33"/>
      <c r="I19" s="33"/>
      <c r="J19" s="33"/>
      <c r="K19" s="33"/>
      <c r="L19" s="33"/>
      <c r="M19" s="33"/>
      <c r="N19" s="33"/>
      <c r="O19" s="33" t="s">
        <v>617</v>
      </c>
      <c r="P19" t="str">
        <f>VLOOKUP(O19,GroupLabels!$E$2:$H$145,3,0)</f>
        <v>Israel - Arabic*</v>
      </c>
    </row>
    <row r="20" spans="1:16" x14ac:dyDescent="0.25">
      <c r="A20" t="s">
        <v>2467</v>
      </c>
      <c r="B20" s="73" t="s">
        <v>3476</v>
      </c>
      <c r="C20" s="73">
        <v>6</v>
      </c>
      <c r="D20" s="73">
        <v>5</v>
      </c>
      <c r="E20" s="73">
        <v>4</v>
      </c>
      <c r="F20" s="33"/>
      <c r="G20" s="33"/>
      <c r="H20" s="33"/>
      <c r="I20" s="33"/>
      <c r="J20" s="33"/>
      <c r="K20" s="33"/>
      <c r="L20" s="33"/>
      <c r="M20" s="33"/>
      <c r="N20" s="33"/>
      <c r="O20" s="33" t="s">
        <v>618</v>
      </c>
      <c r="P20" t="str">
        <f>VLOOKUP(O20,GroupLabels!$E$2:$H$145,3,0)</f>
        <v>Israel - Haredi*</v>
      </c>
    </row>
    <row r="21" spans="1:16" x14ac:dyDescent="0.25">
      <c r="A21" t="s">
        <v>3094</v>
      </c>
      <c r="B21" s="73">
        <v>9</v>
      </c>
      <c r="C21" s="73">
        <v>6</v>
      </c>
      <c r="D21" s="73">
        <v>5</v>
      </c>
      <c r="E21" s="73">
        <v>4</v>
      </c>
      <c r="F21" s="33"/>
      <c r="G21" s="33"/>
      <c r="H21" s="33"/>
      <c r="I21" s="33"/>
      <c r="J21" s="33"/>
      <c r="K21" s="33"/>
      <c r="L21" s="33"/>
      <c r="M21" s="33"/>
      <c r="N21" s="33"/>
      <c r="O21" s="33" t="s">
        <v>619</v>
      </c>
      <c r="P21" t="str">
        <f>VLOOKUP(O21,GroupLabels!$E$2:$H$145,3,0)</f>
        <v>Israel - Hebrew*</v>
      </c>
    </row>
    <row r="22" spans="1:16" x14ac:dyDescent="0.25">
      <c r="A22" t="s">
        <v>2967</v>
      </c>
      <c r="B22" s="73">
        <v>9</v>
      </c>
      <c r="C22" s="73">
        <v>6</v>
      </c>
      <c r="D22" s="73">
        <v>5</v>
      </c>
      <c r="E22" s="73">
        <v>4</v>
      </c>
      <c r="F22" s="33"/>
      <c r="G22" s="33"/>
      <c r="H22" s="33"/>
      <c r="I22" s="33"/>
      <c r="J22" s="33"/>
      <c r="K22" s="33"/>
      <c r="L22" s="33"/>
      <c r="M22" s="33"/>
      <c r="N22" s="33"/>
      <c r="O22" s="33" t="s">
        <v>620</v>
      </c>
      <c r="P22" t="str">
        <f>VLOOKUP(O22,GroupLabels!$E$2:$H$145,3,0)</f>
        <v>Italy - German</v>
      </c>
    </row>
    <row r="23" spans="1:16" x14ac:dyDescent="0.25">
      <c r="A23" t="s">
        <v>3126</v>
      </c>
      <c r="B23" s="73">
        <v>9</v>
      </c>
      <c r="C23" s="73">
        <v>6</v>
      </c>
      <c r="D23" s="73">
        <v>5</v>
      </c>
      <c r="E23" s="73">
        <v>4</v>
      </c>
      <c r="F23" s="33"/>
      <c r="G23" s="33"/>
      <c r="H23" s="33"/>
      <c r="I23" s="33"/>
      <c r="J23" s="33"/>
      <c r="K23" s="33"/>
      <c r="L23" s="33"/>
      <c r="M23" s="33"/>
      <c r="N23" s="33"/>
      <c r="O23" s="33" t="s">
        <v>621</v>
      </c>
      <c r="P23" t="str">
        <f>VLOOKUP(O23,GroupLabels!$E$2:$H$145,3,0)</f>
        <v>Italy - Italian</v>
      </c>
    </row>
    <row r="24" spans="1:16" x14ac:dyDescent="0.25">
      <c r="A24" t="s">
        <v>3056</v>
      </c>
      <c r="B24" s="73">
        <v>9</v>
      </c>
      <c r="C24" s="73">
        <v>6</v>
      </c>
      <c r="D24" s="73">
        <v>5</v>
      </c>
      <c r="E24" s="73">
        <v>4</v>
      </c>
      <c r="F24" s="33"/>
      <c r="G24" s="33"/>
      <c r="H24" s="33"/>
      <c r="I24" s="33"/>
      <c r="J24" s="33"/>
      <c r="K24" s="33"/>
      <c r="L24" s="33"/>
      <c r="M24" s="33"/>
      <c r="N24" s="33"/>
      <c r="O24" s="33" t="s">
        <v>668</v>
      </c>
      <c r="P24" t="str">
        <f>VLOOKUP(O24,GroupLabels!$E$2:$H$145,3,0)</f>
        <v>Peru - Spanish</v>
      </c>
    </row>
    <row r="25" spans="1:16" x14ac:dyDescent="0.25">
      <c r="A25" t="s">
        <v>3202</v>
      </c>
      <c r="B25" s="73">
        <v>9</v>
      </c>
      <c r="C25" s="73">
        <v>6</v>
      </c>
      <c r="D25" s="73">
        <v>5</v>
      </c>
      <c r="E25" s="73">
        <v>4</v>
      </c>
      <c r="F25" s="33"/>
      <c r="G25" s="33"/>
      <c r="H25" s="33"/>
      <c r="I25" s="33"/>
      <c r="J25" s="33"/>
      <c r="K25" s="33"/>
      <c r="L25" s="33"/>
      <c r="M25" s="33"/>
      <c r="N25" s="33"/>
      <c r="O25" s="33" t="s">
        <v>671</v>
      </c>
      <c r="P25" t="str">
        <f>VLOOKUP(O25,GroupLabels!$E$2:$H$145,3,0)</f>
        <v>Portugal - Portuguese</v>
      </c>
    </row>
    <row r="26" spans="1:16" x14ac:dyDescent="0.25">
      <c r="A26" t="s">
        <v>2912</v>
      </c>
      <c r="B26" s="73">
        <v>9</v>
      </c>
      <c r="C26" s="73">
        <v>6</v>
      </c>
      <c r="D26" s="73">
        <v>5</v>
      </c>
      <c r="E26" s="73">
        <v>4</v>
      </c>
      <c r="F26" s="33"/>
      <c r="G26" s="33"/>
      <c r="H26" s="33"/>
      <c r="I26" s="33"/>
      <c r="J26" s="33"/>
      <c r="K26" s="33"/>
      <c r="L26" s="33"/>
      <c r="M26" s="33"/>
      <c r="N26" s="33"/>
      <c r="O26" s="33" t="s">
        <v>672</v>
      </c>
      <c r="P26" t="str">
        <f>VLOOKUP(O26,GroupLabels!$E$2:$H$145,3,0)</f>
        <v>Qatar - Arabic</v>
      </c>
    </row>
    <row r="27" spans="1:16" x14ac:dyDescent="0.25">
      <c r="A27" t="s">
        <v>3106</v>
      </c>
      <c r="B27" s="73">
        <v>9</v>
      </c>
      <c r="C27" s="73">
        <v>6</v>
      </c>
      <c r="D27" s="73">
        <v>5</v>
      </c>
      <c r="E27" s="73">
        <v>4</v>
      </c>
      <c r="F27" s="33"/>
      <c r="G27" s="33"/>
      <c r="H27" s="33"/>
      <c r="I27" s="33"/>
      <c r="J27" s="33"/>
      <c r="K27" s="33"/>
      <c r="L27" s="33"/>
      <c r="M27" s="33"/>
      <c r="N27" s="33"/>
      <c r="O27" s="33" t="s">
        <v>674</v>
      </c>
      <c r="P27" t="str">
        <f>VLOOKUP(O27,GroupLabels!$E$2:$H$145,3,0)</f>
        <v>Romania - Hungarian</v>
      </c>
    </row>
    <row r="28" spans="1:16" x14ac:dyDescent="0.25">
      <c r="A28" t="s">
        <v>3207</v>
      </c>
      <c r="B28" s="73">
        <v>9</v>
      </c>
      <c r="C28" s="73">
        <v>6</v>
      </c>
      <c r="D28" s="73">
        <v>5</v>
      </c>
      <c r="E28" s="73">
        <v>4</v>
      </c>
      <c r="F28" s="33"/>
      <c r="G28" s="33"/>
      <c r="H28" s="33"/>
      <c r="I28" s="33"/>
      <c r="J28" s="33"/>
      <c r="K28" s="33"/>
      <c r="L28" s="33"/>
      <c r="M28" s="33"/>
      <c r="N28" s="33"/>
      <c r="O28" s="33" t="s">
        <v>675</v>
      </c>
      <c r="P28" t="str">
        <f>VLOOKUP(O28,GroupLabels!$E$2:$H$145,3,0)</f>
        <v>Romania - Romanian</v>
      </c>
    </row>
    <row r="29" spans="1:16" x14ac:dyDescent="0.25">
      <c r="A29" t="s">
        <v>3072</v>
      </c>
      <c r="B29" s="73">
        <v>9</v>
      </c>
      <c r="C29" s="73">
        <v>6</v>
      </c>
      <c r="D29" s="73">
        <v>5</v>
      </c>
      <c r="E29" s="73">
        <v>4</v>
      </c>
      <c r="F29" s="33"/>
      <c r="G29" s="33"/>
      <c r="H29" s="33"/>
      <c r="I29" s="33"/>
      <c r="J29" s="33"/>
      <c r="K29" s="33"/>
      <c r="L29" s="33"/>
      <c r="M29" s="33"/>
      <c r="N29" s="33"/>
      <c r="O29" s="33" t="s">
        <v>684</v>
      </c>
      <c r="P29" t="str">
        <f>VLOOKUP(O29,GroupLabels!$E$2:$H$145,3,0)</f>
        <v>Spain - Basque</v>
      </c>
    </row>
    <row r="30" spans="1:16" x14ac:dyDescent="0.25">
      <c r="A30" t="s">
        <v>2932</v>
      </c>
      <c r="B30" s="73">
        <v>9</v>
      </c>
      <c r="C30" s="73">
        <v>6</v>
      </c>
      <c r="D30" s="73">
        <v>5</v>
      </c>
      <c r="E30" s="73">
        <v>4</v>
      </c>
      <c r="F30" s="33"/>
      <c r="G30" s="33"/>
      <c r="H30" s="33"/>
      <c r="I30" s="33"/>
      <c r="J30" s="33"/>
      <c r="K30" s="33"/>
      <c r="L30" s="33"/>
      <c r="M30" s="33"/>
      <c r="N30" s="33"/>
      <c r="O30" s="33" t="s">
        <v>685</v>
      </c>
      <c r="P30" t="str">
        <f>VLOOKUP(O30,GroupLabels!$E$2:$H$145,3,0)</f>
        <v>Spain - Catalan</v>
      </c>
    </row>
    <row r="31" spans="1:16" x14ac:dyDescent="0.25">
      <c r="A31" t="s">
        <v>3091</v>
      </c>
      <c r="B31" s="73">
        <v>9</v>
      </c>
      <c r="C31" s="73">
        <v>6</v>
      </c>
      <c r="D31" s="73">
        <v>5</v>
      </c>
      <c r="E31" s="73">
        <v>4</v>
      </c>
      <c r="F31" s="33"/>
      <c r="G31" s="33"/>
      <c r="H31" s="33"/>
      <c r="I31" s="33"/>
      <c r="J31" s="33"/>
      <c r="K31" s="33"/>
      <c r="L31" s="33"/>
      <c r="M31" s="33"/>
      <c r="N31" s="33"/>
      <c r="O31" s="33" t="s">
        <v>686</v>
      </c>
      <c r="P31" t="str">
        <f>VLOOKUP(O31,GroupLabels!$E$2:$H$145,3,0)</f>
        <v>Spain - Galician</v>
      </c>
    </row>
    <row r="32" spans="1:16" x14ac:dyDescent="0.25">
      <c r="A32" t="s">
        <v>3047</v>
      </c>
      <c r="B32" s="73">
        <v>9</v>
      </c>
      <c r="C32" s="73">
        <v>6</v>
      </c>
      <c r="D32" s="73">
        <v>5</v>
      </c>
      <c r="E32" s="73">
        <v>4</v>
      </c>
      <c r="F32" s="33"/>
      <c r="G32" s="33"/>
      <c r="H32" s="33"/>
      <c r="I32" s="33"/>
      <c r="J32" s="33"/>
      <c r="K32" s="33"/>
      <c r="L32" s="33"/>
      <c r="M32" s="33"/>
      <c r="N32" s="33"/>
      <c r="O32" s="33" t="s">
        <v>687</v>
      </c>
      <c r="P32" t="str">
        <f>VLOOKUP(O32,GroupLabels!$E$2:$H$145,3,0)</f>
        <v>Spain - Spanish</v>
      </c>
    </row>
    <row r="33" spans="1:16" x14ac:dyDescent="0.25">
      <c r="A33" t="s">
        <v>2933</v>
      </c>
      <c r="B33" s="73">
        <v>9</v>
      </c>
      <c r="C33" s="73">
        <v>6</v>
      </c>
      <c r="D33" s="73">
        <v>5</v>
      </c>
      <c r="E33" s="73">
        <v>4</v>
      </c>
      <c r="F33" s="33"/>
      <c r="G33" s="33"/>
      <c r="H33" s="33"/>
      <c r="I33" s="33"/>
      <c r="J33" s="33"/>
      <c r="K33" s="33"/>
      <c r="L33" s="33"/>
      <c r="M33" s="33"/>
      <c r="N33" s="33"/>
      <c r="O33" s="33" t="s">
        <v>688</v>
      </c>
      <c r="P33" t="str">
        <f>VLOOKUP(O33,GroupLabels!$E$2:$H$145,3,0)</f>
        <v>Spain - Valencian</v>
      </c>
    </row>
    <row r="34" spans="1:16" x14ac:dyDescent="0.25">
      <c r="A34" t="s">
        <v>762</v>
      </c>
      <c r="B34" s="73">
        <v>9</v>
      </c>
      <c r="C34" s="73">
        <v>6</v>
      </c>
      <c r="D34" s="73">
        <v>5</v>
      </c>
      <c r="E34" s="73" t="s">
        <v>3476</v>
      </c>
      <c r="F34" s="33"/>
      <c r="G34" s="33"/>
      <c r="H34" s="33"/>
      <c r="I34" s="33"/>
      <c r="J34" s="33"/>
      <c r="K34" s="33"/>
      <c r="L34" s="33"/>
      <c r="M34" s="33"/>
      <c r="N34" s="33"/>
      <c r="O34" s="33" t="s">
        <v>689</v>
      </c>
      <c r="P34" t="str">
        <f>VLOOKUP(O34,GroupLabels!$E$2:$H$145,3,0)</f>
        <v>Sweden - Swedish</v>
      </c>
    </row>
    <row r="35" spans="1:16" x14ac:dyDescent="0.25">
      <c r="A35" t="s">
        <v>3282</v>
      </c>
      <c r="B35" s="73">
        <v>9</v>
      </c>
      <c r="C35" s="73">
        <v>6</v>
      </c>
      <c r="D35" s="73">
        <v>5</v>
      </c>
      <c r="E35" s="73">
        <v>4</v>
      </c>
      <c r="F35" s="33"/>
      <c r="G35" s="33"/>
      <c r="H35" s="33"/>
      <c r="I35" s="33"/>
      <c r="J35" s="33"/>
      <c r="K35" s="33"/>
      <c r="L35" s="33"/>
      <c r="M35" s="33"/>
      <c r="N35" s="33"/>
      <c r="O35" s="33" t="s">
        <v>693</v>
      </c>
      <c r="P35" t="str">
        <f>VLOOKUP(O35,GroupLabels!$E$2:$H$145,3,0)</f>
        <v>Chinese Taipei - Chinese</v>
      </c>
    </row>
    <row r="36" spans="1:16" x14ac:dyDescent="0.25">
      <c r="A36" s="3" t="s">
        <v>3262</v>
      </c>
      <c r="B36" s="75">
        <v>9</v>
      </c>
      <c r="C36" s="75">
        <v>6</v>
      </c>
      <c r="D36" s="75">
        <v>5</v>
      </c>
      <c r="E36" s="75">
        <v>4</v>
      </c>
      <c r="F36" s="33"/>
      <c r="G36" s="33"/>
      <c r="H36" s="33"/>
      <c r="I36" s="33"/>
      <c r="J36" s="33"/>
      <c r="K36" s="33"/>
      <c r="L36" s="33"/>
      <c r="M36" s="33"/>
      <c r="N36" s="33"/>
      <c r="O36" s="40" t="s">
        <v>696</v>
      </c>
      <c r="P36" t="str">
        <f>VLOOKUP(O36,GroupLabels!$E$2:$H$145,3,0)</f>
        <v>Ukrainian regions (17 of 27) - Ukrainian*</v>
      </c>
    </row>
    <row r="38" spans="1:16" x14ac:dyDescent="0.25">
      <c r="A38" s="91" t="s">
        <v>3477</v>
      </c>
    </row>
  </sheetData>
  <sheetProtection formatColumns="0" formatRows="0"/>
  <sortState xmlns:xlrd2="http://schemas.microsoft.com/office/spreadsheetml/2017/richdata2" ref="A7:P36">
    <sortCondition ref="A7:A36"/>
  </sortState>
  <hyperlinks>
    <hyperlink ref="A1" location="TOC!A1" display="Table of Contents" xr:uid="{909A53BB-CB53-4ADC-BA7D-B67271E3246E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0"/>
  <dimension ref="A1:D1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8.42578125" customWidth="1"/>
    <col min="2" max="2" width="27.4257812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266</v>
      </c>
      <c r="B3" s="33"/>
      <c r="C3" s="33"/>
      <c r="D3" s="33"/>
    </row>
    <row r="4" spans="1:4" x14ac:dyDescent="0.25">
      <c r="A4" s="111" t="s">
        <v>2461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709</v>
      </c>
      <c r="C6" s="33"/>
      <c r="D6" s="33"/>
    </row>
    <row r="7" spans="1:4" x14ac:dyDescent="0.25">
      <c r="A7" s="112" t="s">
        <v>326</v>
      </c>
      <c r="B7" s="112" t="s">
        <v>2462</v>
      </c>
      <c r="C7" s="33"/>
      <c r="D7" s="33"/>
    </row>
    <row r="8" spans="1:4" x14ac:dyDescent="0.25">
      <c r="A8" s="112" t="s">
        <v>326</v>
      </c>
      <c r="B8" s="112" t="s">
        <v>1788</v>
      </c>
      <c r="C8" s="33"/>
      <c r="D8" s="33"/>
    </row>
    <row r="9" spans="1:4" x14ac:dyDescent="0.25">
      <c r="A9" s="112" t="s">
        <v>326</v>
      </c>
      <c r="B9" s="112" t="s">
        <v>2463</v>
      </c>
      <c r="C9" s="33"/>
      <c r="D9" s="33"/>
    </row>
    <row r="10" spans="1:4" x14ac:dyDescent="0.25">
      <c r="A10" s="112" t="s">
        <v>326</v>
      </c>
      <c r="B10" s="112" t="s">
        <v>1780</v>
      </c>
      <c r="C10" s="33"/>
      <c r="D10" s="33"/>
    </row>
    <row r="11" spans="1:4" x14ac:dyDescent="0.25">
      <c r="A11" s="112" t="s">
        <v>326</v>
      </c>
      <c r="B11" s="112" t="s">
        <v>1782</v>
      </c>
      <c r="C11" s="33"/>
      <c r="D11" s="33"/>
    </row>
    <row r="12" spans="1:4" x14ac:dyDescent="0.25">
      <c r="A12" s="112" t="s">
        <v>326</v>
      </c>
      <c r="B12" s="112" t="s">
        <v>1768</v>
      </c>
      <c r="C12" s="33"/>
      <c r="D12" s="33"/>
    </row>
    <row r="13" spans="1:4" x14ac:dyDescent="0.25">
      <c r="A13" s="112" t="s">
        <v>326</v>
      </c>
      <c r="B13" s="112" t="s">
        <v>1789</v>
      </c>
      <c r="C13" s="33"/>
      <c r="D13" s="33"/>
    </row>
    <row r="14" spans="1:4" x14ac:dyDescent="0.25">
      <c r="A14" s="112" t="s">
        <v>326</v>
      </c>
      <c r="B14" s="112" t="s">
        <v>1790</v>
      </c>
      <c r="C14" s="33"/>
      <c r="D14" s="33"/>
    </row>
    <row r="15" spans="1:4" x14ac:dyDescent="0.25">
      <c r="A15" s="112" t="s">
        <v>326</v>
      </c>
      <c r="B15" s="112" t="s">
        <v>1804</v>
      </c>
      <c r="C15" s="33"/>
      <c r="D15" s="33"/>
    </row>
    <row r="16" spans="1:4" x14ac:dyDescent="0.25">
      <c r="A16" s="112" t="s">
        <v>326</v>
      </c>
      <c r="B16" s="112" t="s">
        <v>2464</v>
      </c>
      <c r="C16" s="33"/>
      <c r="D16" s="33"/>
    </row>
    <row r="17" spans="1:4" x14ac:dyDescent="0.25">
      <c r="A17" s="112" t="s">
        <v>326</v>
      </c>
      <c r="B17" s="112" t="s">
        <v>2465</v>
      </c>
      <c r="C17" s="33"/>
      <c r="D17" s="33"/>
    </row>
    <row r="18" spans="1:4" x14ac:dyDescent="0.25">
      <c r="A18" s="113" t="s">
        <v>326</v>
      </c>
      <c r="B18" s="113" t="s">
        <v>1799</v>
      </c>
      <c r="C18" s="33"/>
      <c r="D18" s="33"/>
    </row>
  </sheetData>
  <sheetProtection formatColumns="0" formatRows="0"/>
  <hyperlinks>
    <hyperlink ref="A1" location="TOC!A1" display="Table of Contents" xr:uid="{214069A1-AC91-4151-8BB8-AA8694C2164E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1"/>
  <dimension ref="A1:D8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9.140625" customWidth="1"/>
    <col min="2" max="2" width="38.710937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268</v>
      </c>
      <c r="B3" s="33"/>
      <c r="C3" s="33"/>
      <c r="D3" s="33"/>
    </row>
    <row r="4" spans="1:4" x14ac:dyDescent="0.25">
      <c r="A4" s="111" t="s">
        <v>2466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566</v>
      </c>
      <c r="C6" s="33"/>
      <c r="D6" s="33"/>
    </row>
    <row r="7" spans="1:4" x14ac:dyDescent="0.25">
      <c r="A7" s="33" t="s">
        <v>326</v>
      </c>
      <c r="B7" s="33" t="s">
        <v>2467</v>
      </c>
      <c r="C7" s="33"/>
      <c r="D7" s="33"/>
    </row>
    <row r="8" spans="1:4" x14ac:dyDescent="0.25">
      <c r="A8" s="40" t="s">
        <v>380</v>
      </c>
      <c r="B8" s="40" t="s">
        <v>762</v>
      </c>
      <c r="C8" s="33"/>
      <c r="D8" s="33"/>
    </row>
  </sheetData>
  <sheetProtection formatColumns="0" formatRows="0"/>
  <hyperlinks>
    <hyperlink ref="A1" location="TOC!A1" display="Table of Contents" xr:uid="{AB42516D-0157-420D-913C-BF1D9BC593C3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2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83.28515625" customWidth="1"/>
  </cols>
  <sheetData>
    <row r="1" spans="1:8" x14ac:dyDescent="0.25">
      <c r="A1" s="141" t="s">
        <v>316</v>
      </c>
      <c r="B1" s="32" t="s">
        <v>419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270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HLANGPROF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2468</v>
      </c>
      <c r="C7" s="33" t="s">
        <v>2469</v>
      </c>
      <c r="D7" s="2">
        <v>2.3317399999999999</v>
      </c>
      <c r="E7" s="2">
        <v>-3.0004599999999999</v>
      </c>
      <c r="F7" s="2">
        <v>-1.6075999999999999</v>
      </c>
      <c r="G7" s="2">
        <v>-0.51719000000000004</v>
      </c>
      <c r="H7" s="2">
        <v>2.12479</v>
      </c>
    </row>
    <row r="8" spans="1:8" x14ac:dyDescent="0.25">
      <c r="A8" s="33" t="s">
        <v>782</v>
      </c>
      <c r="B8" s="33" t="s">
        <v>2470</v>
      </c>
      <c r="C8" s="33" t="s">
        <v>2471</v>
      </c>
      <c r="D8" s="2">
        <v>2.5609299999999999</v>
      </c>
      <c r="E8" s="2">
        <v>-3.6029200000000001</v>
      </c>
      <c r="F8" s="2">
        <v>-2.07673</v>
      </c>
      <c r="G8" s="2">
        <v>-0.45506999999999997</v>
      </c>
      <c r="H8" s="2">
        <v>2.5318000000000001</v>
      </c>
    </row>
    <row r="9" spans="1:8" x14ac:dyDescent="0.25">
      <c r="A9" s="33" t="s">
        <v>782</v>
      </c>
      <c r="B9" s="33" t="s">
        <v>2472</v>
      </c>
      <c r="C9" s="33" t="s">
        <v>2473</v>
      </c>
      <c r="D9" s="2">
        <v>3.2931900000000001</v>
      </c>
      <c r="E9" s="2">
        <v>-3.6278700000000002</v>
      </c>
      <c r="F9" s="2">
        <v>-2.62378</v>
      </c>
      <c r="G9" s="2">
        <v>-0.46766999999999997</v>
      </c>
      <c r="H9" s="2">
        <v>3.0914600000000001</v>
      </c>
    </row>
    <row r="10" spans="1:8" x14ac:dyDescent="0.25">
      <c r="A10" s="33" t="s">
        <v>782</v>
      </c>
      <c r="B10" s="33" t="s">
        <v>2474</v>
      </c>
      <c r="C10" s="33" t="s">
        <v>2475</v>
      </c>
      <c r="D10" s="2">
        <v>2.8369599999999999</v>
      </c>
      <c r="E10" s="2">
        <v>-2.9506999999999999</v>
      </c>
      <c r="F10" s="2">
        <v>-1.9152899999999999</v>
      </c>
      <c r="G10" s="2">
        <v>-0.53102000000000005</v>
      </c>
      <c r="H10" s="2">
        <v>2.44631</v>
      </c>
    </row>
    <row r="11" spans="1:8" x14ac:dyDescent="0.25">
      <c r="A11" s="40" t="s">
        <v>782</v>
      </c>
      <c r="B11" s="40" t="s">
        <v>2476</v>
      </c>
      <c r="C11" s="40" t="s">
        <v>2477</v>
      </c>
      <c r="D11" s="4">
        <v>2.3161700000000001</v>
      </c>
      <c r="E11" s="4">
        <v>-2.5828700000000002</v>
      </c>
      <c r="F11" s="4">
        <v>-1.5473300000000001</v>
      </c>
      <c r="G11" s="4">
        <v>-0.40195999999999998</v>
      </c>
      <c r="H11" s="4">
        <v>1.94929</v>
      </c>
    </row>
  </sheetData>
  <sheetProtection formatColumns="0" formatRows="0"/>
  <hyperlinks>
    <hyperlink ref="A1" location="TOC!A1" display="Table of Contents" xr:uid="{0AE7AC4E-5D08-477C-9FCB-140E2EEEC41A}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33"/>
  <dimension ref="A1:H13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83.28515625" customWidth="1"/>
  </cols>
  <sheetData>
    <row r="1" spans="1:8" x14ac:dyDescent="0.25">
      <c r="A1" s="141" t="s">
        <v>316</v>
      </c>
      <c r="B1" s="32" t="s">
        <v>417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272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ANXENGL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2478</v>
      </c>
      <c r="C7" s="33" t="s">
        <v>2479</v>
      </c>
      <c r="D7" s="2">
        <v>1.43807</v>
      </c>
      <c r="E7" s="2">
        <v>-0.13442999999999999</v>
      </c>
      <c r="F7" s="2">
        <v>-1.5083899999999999</v>
      </c>
      <c r="G7" s="2">
        <v>-0.30237999999999998</v>
      </c>
      <c r="H7" s="2">
        <v>1.81077</v>
      </c>
    </row>
    <row r="8" spans="1:8" x14ac:dyDescent="0.25">
      <c r="A8" s="33" t="s">
        <v>782</v>
      </c>
      <c r="B8" s="33" t="s">
        <v>2480</v>
      </c>
      <c r="C8" s="33" t="s">
        <v>2481</v>
      </c>
      <c r="D8" s="2">
        <v>1.5801000000000001</v>
      </c>
      <c r="E8" s="2">
        <v>-0.11153</v>
      </c>
      <c r="F8" s="2">
        <v>-1.4128700000000001</v>
      </c>
      <c r="G8" s="2">
        <v>-0.18287</v>
      </c>
      <c r="H8" s="2">
        <v>1.5957399999999999</v>
      </c>
    </row>
    <row r="9" spans="1:8" x14ac:dyDescent="0.25">
      <c r="A9" s="33" t="s">
        <v>782</v>
      </c>
      <c r="B9" s="33" t="s">
        <v>2482</v>
      </c>
      <c r="C9" s="33" t="s">
        <v>2483</v>
      </c>
      <c r="D9" s="2">
        <v>1.1196999999999999</v>
      </c>
      <c r="E9" s="2">
        <v>1.24499</v>
      </c>
      <c r="F9" s="2">
        <v>-1.29217</v>
      </c>
      <c r="G9" s="2">
        <v>0.17380999999999999</v>
      </c>
      <c r="H9" s="2">
        <v>1.11836</v>
      </c>
    </row>
    <row r="10" spans="1:8" x14ac:dyDescent="0.25">
      <c r="A10" s="33" t="s">
        <v>782</v>
      </c>
      <c r="B10" s="33" t="s">
        <v>2484</v>
      </c>
      <c r="C10" s="33" t="s">
        <v>2485</v>
      </c>
      <c r="D10" s="2">
        <v>1.57978</v>
      </c>
      <c r="E10" s="2">
        <v>0.98541999999999996</v>
      </c>
      <c r="F10" s="2">
        <v>-1.64507</v>
      </c>
      <c r="G10" s="2">
        <v>-5.5870000000000003E-2</v>
      </c>
      <c r="H10" s="2">
        <v>1.7009300000000001</v>
      </c>
    </row>
    <row r="11" spans="1:8" x14ac:dyDescent="0.25">
      <c r="A11" s="33" t="s">
        <v>782</v>
      </c>
      <c r="B11" s="33" t="s">
        <v>2486</v>
      </c>
      <c r="C11" s="33" t="s">
        <v>2487</v>
      </c>
      <c r="D11" s="2">
        <v>1.5530900000000001</v>
      </c>
      <c r="E11" s="2">
        <v>0.83165</v>
      </c>
      <c r="F11" s="2">
        <v>-1.50292</v>
      </c>
      <c r="G11" s="2">
        <v>-7.8310000000000005E-2</v>
      </c>
      <c r="H11" s="2">
        <v>1.5812299999999999</v>
      </c>
    </row>
    <row r="12" spans="1:8" x14ac:dyDescent="0.25">
      <c r="A12" s="33" t="s">
        <v>782</v>
      </c>
      <c r="B12" s="33" t="s">
        <v>2488</v>
      </c>
      <c r="C12" s="33" t="s">
        <v>2489</v>
      </c>
      <c r="D12" s="2">
        <v>2.3998200000000001</v>
      </c>
      <c r="E12" s="2">
        <v>-0.17357</v>
      </c>
      <c r="F12" s="2">
        <v>-2.1704599999999998</v>
      </c>
      <c r="G12" s="2">
        <v>-0.31775999999999999</v>
      </c>
      <c r="H12" s="2">
        <v>2.4882200000000001</v>
      </c>
    </row>
    <row r="13" spans="1:8" x14ac:dyDescent="0.25">
      <c r="A13" s="40" t="s">
        <v>782</v>
      </c>
      <c r="B13" s="40" t="s">
        <v>2490</v>
      </c>
      <c r="C13" s="40" t="s">
        <v>2491</v>
      </c>
      <c r="D13" s="4">
        <v>2.94937</v>
      </c>
      <c r="E13" s="4">
        <v>-0.15248</v>
      </c>
      <c r="F13" s="4">
        <v>-2.63395</v>
      </c>
      <c r="G13" s="4">
        <v>-0.37502000000000002</v>
      </c>
      <c r="H13" s="4">
        <v>3.0089600000000001</v>
      </c>
    </row>
  </sheetData>
  <sheetProtection formatColumns="0" formatRows="0"/>
  <hyperlinks>
    <hyperlink ref="A1" location="TOC!A1" display="Table of Contents" xr:uid="{AEF58FD9-077E-42F0-AA9A-CA72F12ADBD2}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34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7109375" customWidth="1"/>
    <col min="2" max="2" width="15.42578125" customWidth="1"/>
    <col min="3" max="3" width="86" customWidth="1"/>
  </cols>
  <sheetData>
    <row r="1" spans="1:8" x14ac:dyDescent="0.25">
      <c r="A1" s="141" t="s">
        <v>316</v>
      </c>
      <c r="B1" s="32" t="s">
        <v>418</v>
      </c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274</v>
      </c>
      <c r="B3" s="33"/>
      <c r="C3" s="33"/>
      <c r="D3" s="33"/>
      <c r="E3" s="33"/>
      <c r="F3" s="33"/>
      <c r="G3" s="33"/>
      <c r="H3" s="33"/>
    </row>
    <row r="4" spans="1:8" x14ac:dyDescent="0.25">
      <c r="A4" s="1" t="str">
        <f>_xlfn.CONCAT("Items in the ",B1," scale")</f>
        <v>Items in the EXPENGUSE scale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65" t="s">
        <v>775</v>
      </c>
      <c r="E6" s="65" t="s">
        <v>776</v>
      </c>
      <c r="F6" s="65" t="s">
        <v>777</v>
      </c>
      <c r="G6" s="65" t="s">
        <v>778</v>
      </c>
      <c r="H6" s="65" t="s">
        <v>779</v>
      </c>
    </row>
    <row r="7" spans="1:8" x14ac:dyDescent="0.25">
      <c r="A7" s="33" t="s">
        <v>782</v>
      </c>
      <c r="B7" s="33" t="s">
        <v>2492</v>
      </c>
      <c r="C7" s="33" t="s">
        <v>2493</v>
      </c>
      <c r="D7" s="2">
        <v>2.09971</v>
      </c>
      <c r="E7" s="2">
        <v>-0.91166000000000003</v>
      </c>
      <c r="F7" s="2">
        <v>-1.2785899999999999</v>
      </c>
      <c r="G7" s="2">
        <v>-0.15085000000000001</v>
      </c>
      <c r="H7" s="2">
        <v>1.4294500000000001</v>
      </c>
    </row>
    <row r="8" spans="1:8" x14ac:dyDescent="0.25">
      <c r="A8" s="33" t="s">
        <v>782</v>
      </c>
      <c r="B8" s="33" t="s">
        <v>2494</v>
      </c>
      <c r="C8" s="33" t="s">
        <v>2495</v>
      </c>
      <c r="D8" s="2">
        <v>2.8143199999999999</v>
      </c>
      <c r="E8" s="2">
        <v>-1.5590599999999999</v>
      </c>
      <c r="F8" s="2">
        <v>-1.86469</v>
      </c>
      <c r="G8" s="2">
        <v>2.308E-2</v>
      </c>
      <c r="H8" s="2">
        <v>1.84161</v>
      </c>
    </row>
    <row r="9" spans="1:8" x14ac:dyDescent="0.25">
      <c r="A9" s="33" t="s">
        <v>782</v>
      </c>
      <c r="B9" s="33" t="s">
        <v>2496</v>
      </c>
      <c r="C9" s="33" t="s">
        <v>2497</v>
      </c>
      <c r="D9" s="2">
        <v>1.2596099999999999</v>
      </c>
      <c r="E9" s="2">
        <v>0.17479</v>
      </c>
      <c r="F9" s="2">
        <v>-0.85616999999999999</v>
      </c>
      <c r="G9" s="2">
        <v>0.11126999999999999</v>
      </c>
      <c r="H9" s="2">
        <v>0.74490000000000001</v>
      </c>
    </row>
    <row r="10" spans="1:8" x14ac:dyDescent="0.25">
      <c r="A10" s="33" t="s">
        <v>782</v>
      </c>
      <c r="B10" s="33" t="s">
        <v>2498</v>
      </c>
      <c r="C10" s="33" t="s">
        <v>2499</v>
      </c>
      <c r="D10" s="2">
        <v>1.3002499999999999</v>
      </c>
      <c r="E10" s="2">
        <v>-0.10050000000000001</v>
      </c>
      <c r="F10" s="2">
        <v>-0.68211999999999995</v>
      </c>
      <c r="G10" s="2">
        <v>-0.12720000000000001</v>
      </c>
      <c r="H10" s="2">
        <v>0.80932000000000004</v>
      </c>
    </row>
    <row r="11" spans="1:8" x14ac:dyDescent="0.25">
      <c r="A11" s="33" t="s">
        <v>782</v>
      </c>
      <c r="B11" s="33" t="s">
        <v>2500</v>
      </c>
      <c r="C11" s="33" t="s">
        <v>2501</v>
      </c>
      <c r="D11" s="2">
        <v>2.76396</v>
      </c>
      <c r="E11" s="2">
        <v>-0.65622999999999998</v>
      </c>
      <c r="F11" s="2">
        <v>-1.69506</v>
      </c>
      <c r="G11" s="2">
        <v>-0.12895000000000001</v>
      </c>
      <c r="H11" s="2">
        <v>1.82402</v>
      </c>
    </row>
    <row r="12" spans="1:8" x14ac:dyDescent="0.25">
      <c r="A12" s="40" t="s">
        <v>782</v>
      </c>
      <c r="B12" s="40" t="s">
        <v>2502</v>
      </c>
      <c r="C12" s="40" t="s">
        <v>2503</v>
      </c>
      <c r="D12" s="4">
        <v>1.3962300000000001</v>
      </c>
      <c r="E12" s="4">
        <v>-0.15848999999999999</v>
      </c>
      <c r="F12" s="4">
        <v>-0.76781999999999995</v>
      </c>
      <c r="G12" s="4">
        <v>5.7599999999999998E-2</v>
      </c>
      <c r="H12" s="4">
        <v>0.71021999999999996</v>
      </c>
    </row>
  </sheetData>
  <sheetProtection formatColumns="0" formatRows="0"/>
  <hyperlinks>
    <hyperlink ref="A1" location="TOC!A1" display="Table of Contents" xr:uid="{74F44C5F-92EF-43EA-AD3A-F009742BD754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87"/>
  <dimension ref="A1:D8"/>
  <sheetViews>
    <sheetView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20.42578125" style="15" customWidth="1"/>
    <col min="2" max="2" width="60.140625" style="15" customWidth="1"/>
    <col min="3" max="3" width="9.140625" style="15" customWidth="1"/>
    <col min="4" max="16384" width="9.140625" style="15"/>
  </cols>
  <sheetData>
    <row r="1" spans="1:4" x14ac:dyDescent="0.25">
      <c r="A1" s="141" t="s">
        <v>316</v>
      </c>
      <c r="B1" s="114"/>
      <c r="C1" s="33"/>
      <c r="D1" s="33"/>
    </row>
    <row r="2" spans="1:4" x14ac:dyDescent="0.25">
      <c r="A2" s="106"/>
      <c r="B2" s="106"/>
      <c r="C2" s="33"/>
      <c r="D2" s="33"/>
    </row>
    <row r="3" spans="1:4" x14ac:dyDescent="0.25">
      <c r="A3" s="101" t="s">
        <v>314</v>
      </c>
      <c r="B3" s="106"/>
      <c r="C3" s="33"/>
      <c r="D3" s="33"/>
    </row>
    <row r="4" spans="1:4" x14ac:dyDescent="0.25">
      <c r="A4" s="101" t="s">
        <v>277</v>
      </c>
      <c r="B4" s="106"/>
      <c r="C4" s="33"/>
      <c r="D4" s="33"/>
    </row>
    <row r="5" spans="1:4" x14ac:dyDescent="0.25">
      <c r="A5" s="106"/>
      <c r="B5" s="106"/>
      <c r="C5" s="33"/>
      <c r="D5" s="33"/>
    </row>
    <row r="6" spans="1:4" x14ac:dyDescent="0.25">
      <c r="A6" s="102" t="s">
        <v>438</v>
      </c>
      <c r="B6" s="102" t="s">
        <v>439</v>
      </c>
      <c r="C6" s="33"/>
      <c r="D6" s="33"/>
    </row>
    <row r="7" spans="1:4" x14ac:dyDescent="0.25">
      <c r="A7" s="103" t="s">
        <v>440</v>
      </c>
      <c r="B7" s="104"/>
      <c r="C7" s="33"/>
      <c r="D7" s="33"/>
    </row>
    <row r="8" spans="1:4" x14ac:dyDescent="0.25">
      <c r="A8" s="115" t="s">
        <v>2504</v>
      </c>
      <c r="B8" s="115" t="s">
        <v>2505</v>
      </c>
      <c r="C8" s="33"/>
      <c r="D8" s="33"/>
    </row>
  </sheetData>
  <sheetProtection formatColumns="0" formatRows="0"/>
  <hyperlinks>
    <hyperlink ref="A1" location="TOC!A1" display="Table of Contents" xr:uid="{0DBFB4BA-6D21-49C4-94F6-085E8E356E55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88"/>
  <dimension ref="A1:D1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42578125" customWidth="1"/>
    <col min="2" max="2" width="60.140625" customWidth="1"/>
    <col min="6" max="6" width="8.710937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278</v>
      </c>
      <c r="B3" s="33"/>
      <c r="C3" s="33"/>
      <c r="D3" s="33"/>
    </row>
    <row r="4" spans="1:4" x14ac:dyDescent="0.25">
      <c r="A4" s="34" t="s">
        <v>279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x14ac:dyDescent="0.25">
      <c r="A7" s="38" t="s">
        <v>440</v>
      </c>
      <c r="B7" s="66"/>
      <c r="C7" s="33"/>
      <c r="D7" s="33"/>
    </row>
    <row r="8" spans="1:4" x14ac:dyDescent="0.25">
      <c r="A8" s="59" t="s">
        <v>2085</v>
      </c>
      <c r="B8" s="59" t="s">
        <v>2086</v>
      </c>
      <c r="C8" s="33"/>
      <c r="D8" s="33"/>
    </row>
    <row r="9" spans="1:4" x14ac:dyDescent="0.25">
      <c r="A9" s="33" t="s">
        <v>2087</v>
      </c>
      <c r="B9" s="33" t="s">
        <v>2088</v>
      </c>
      <c r="C9" s="33"/>
      <c r="D9" s="33"/>
    </row>
    <row r="10" spans="1:4" x14ac:dyDescent="0.25">
      <c r="A10" s="33" t="s">
        <v>2506</v>
      </c>
      <c r="B10" s="33" t="s">
        <v>2507</v>
      </c>
      <c r="C10" s="33"/>
      <c r="D10" s="33"/>
    </row>
    <row r="11" spans="1:4" x14ac:dyDescent="0.25">
      <c r="A11" s="38" t="s">
        <v>497</v>
      </c>
      <c r="B11" s="38"/>
      <c r="C11" s="33"/>
      <c r="D11" s="33"/>
    </row>
    <row r="12" spans="1:4" x14ac:dyDescent="0.25">
      <c r="A12" s="59" t="s">
        <v>419</v>
      </c>
      <c r="B12" s="59" t="s">
        <v>2455</v>
      </c>
      <c r="C12" s="33"/>
      <c r="D12" s="33"/>
    </row>
    <row r="13" spans="1:4" x14ac:dyDescent="0.25">
      <c r="A13" s="33" t="s">
        <v>421</v>
      </c>
      <c r="B13" s="33" t="s">
        <v>2508</v>
      </c>
      <c r="C13" s="33"/>
      <c r="D13" s="33"/>
    </row>
    <row r="14" spans="1:4" x14ac:dyDescent="0.25">
      <c r="A14" s="33" t="s">
        <v>425</v>
      </c>
      <c r="B14" s="33" t="s">
        <v>2509</v>
      </c>
      <c r="C14" s="33"/>
      <c r="D14" s="33"/>
    </row>
    <row r="15" spans="1:4" x14ac:dyDescent="0.25">
      <c r="A15" s="33" t="s">
        <v>424</v>
      </c>
      <c r="B15" s="33" t="s">
        <v>2510</v>
      </c>
      <c r="C15" s="33"/>
      <c r="D15" s="33"/>
    </row>
    <row r="16" spans="1:4" x14ac:dyDescent="0.25">
      <c r="A16" s="33" t="s">
        <v>423</v>
      </c>
      <c r="B16" s="33" t="s">
        <v>2511</v>
      </c>
      <c r="C16" s="33"/>
      <c r="D16" s="33"/>
    </row>
    <row r="17" spans="1:4" x14ac:dyDescent="0.25">
      <c r="A17" s="40" t="s">
        <v>422</v>
      </c>
      <c r="B17" s="40" t="s">
        <v>2512</v>
      </c>
      <c r="C17" s="33"/>
      <c r="D17" s="33"/>
    </row>
  </sheetData>
  <sheetProtection formatColumns="0" formatRows="0"/>
  <hyperlinks>
    <hyperlink ref="A1" location="TOC!A1" display="Table of Contents" xr:uid="{9FC89A9C-F078-4B36-85F5-32D5E0A96481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35"/>
  <dimension ref="A1:Q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6.28515625" customWidth="1"/>
    <col min="2" max="10" width="9.140625" style="9" customWidth="1"/>
    <col min="16" max="16" width="8.7109375" hidden="1" customWidth="1"/>
    <col min="17" max="17" width="0" hidden="1" customWidth="1"/>
  </cols>
  <sheetData>
    <row r="1" spans="1:17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280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4" t="s">
        <v>2513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65" t="s">
        <v>566</v>
      </c>
      <c r="B6" s="109" t="s">
        <v>421</v>
      </c>
      <c r="C6" s="109" t="s">
        <v>385</v>
      </c>
      <c r="D6" s="109" t="s">
        <v>386</v>
      </c>
      <c r="E6" s="109" t="s">
        <v>422</v>
      </c>
      <c r="F6" s="109" t="s">
        <v>423</v>
      </c>
      <c r="G6" s="109" t="s">
        <v>342</v>
      </c>
      <c r="H6" s="109" t="s">
        <v>424</v>
      </c>
      <c r="I6" s="109" t="s">
        <v>425</v>
      </c>
      <c r="J6" s="109" t="s">
        <v>390</v>
      </c>
      <c r="K6" s="33"/>
      <c r="L6" s="33"/>
      <c r="M6" s="33"/>
      <c r="N6" s="33"/>
      <c r="O6" s="33"/>
      <c r="P6" s="33"/>
      <c r="Q6" s="33"/>
    </row>
    <row r="7" spans="1:17" x14ac:dyDescent="0.25">
      <c r="A7" t="str">
        <f>VLOOKUP(P7,GroupLabels!$E$2:$G$145,3,0)</f>
        <v>Belgium (Flemish Community) - Dutch</v>
      </c>
      <c r="B7" s="77">
        <v>0.68</v>
      </c>
      <c r="C7" s="77">
        <v>0.8</v>
      </c>
      <c r="D7" s="77">
        <v>0.62</v>
      </c>
      <c r="E7" s="77">
        <v>0.97</v>
      </c>
      <c r="F7" s="77">
        <v>0.86</v>
      </c>
      <c r="G7" s="77">
        <v>0.74</v>
      </c>
      <c r="H7" s="77">
        <v>0.86</v>
      </c>
      <c r="I7" s="77">
        <v>0.93</v>
      </c>
      <c r="J7" s="77">
        <v>0.8</v>
      </c>
      <c r="K7" s="33"/>
      <c r="L7" s="33"/>
      <c r="M7" s="33"/>
      <c r="N7" s="33"/>
      <c r="O7" s="33"/>
      <c r="P7" s="33" t="s">
        <v>574</v>
      </c>
      <c r="Q7" t="str">
        <f>VLOOKUP(P7,GroupLabels!$E$2:$H$145,3,0)</f>
        <v>Belgium (Flemish Community) - Dutch</v>
      </c>
    </row>
    <row r="8" spans="1:17" x14ac:dyDescent="0.25">
      <c r="A8" t="str">
        <f>VLOOKUP(P8,GroupLabels!$E$2:$G$145,3,0)</f>
        <v>Colombia - Spanish</v>
      </c>
      <c r="B8" s="77">
        <v>0.79</v>
      </c>
      <c r="C8" s="77">
        <v>0.86</v>
      </c>
      <c r="D8" s="77">
        <v>0.67</v>
      </c>
      <c r="E8" s="77">
        <v>0.95</v>
      </c>
      <c r="F8" s="77">
        <v>0.85</v>
      </c>
      <c r="G8" s="77">
        <v>0.75</v>
      </c>
      <c r="H8" s="77">
        <v>0.87</v>
      </c>
      <c r="I8" s="77">
        <v>0.89</v>
      </c>
      <c r="J8" s="77">
        <v>0.83</v>
      </c>
      <c r="K8" s="33"/>
      <c r="L8" s="33"/>
      <c r="M8" s="33"/>
      <c r="N8" s="33"/>
      <c r="O8" s="33"/>
      <c r="P8" s="33" t="s">
        <v>586</v>
      </c>
      <c r="Q8" t="str">
        <f>VLOOKUP(P8,GroupLabels!$E$2:$H$145,3,0)</f>
        <v>Colombia - Spanish</v>
      </c>
    </row>
    <row r="9" spans="1:17" x14ac:dyDescent="0.25">
      <c r="A9" t="str">
        <f>VLOOKUP(P9,GroupLabels!$E$2:$G$145,3,0)</f>
        <v>Dominican Republic - Spanish</v>
      </c>
      <c r="B9" s="77">
        <v>0.82</v>
      </c>
      <c r="C9" s="77">
        <v>0.87</v>
      </c>
      <c r="D9" s="77">
        <v>0.75</v>
      </c>
      <c r="E9" s="77">
        <v>0.95</v>
      </c>
      <c r="F9" s="77">
        <v>0.84</v>
      </c>
      <c r="G9" s="77">
        <v>0.82</v>
      </c>
      <c r="H9" s="77">
        <v>0.86</v>
      </c>
      <c r="I9" s="77">
        <v>0.88</v>
      </c>
      <c r="J9" s="77">
        <v>0.88</v>
      </c>
      <c r="K9" s="33"/>
      <c r="L9" s="33"/>
      <c r="M9" s="33"/>
      <c r="N9" s="33"/>
      <c r="O9" s="33"/>
      <c r="P9" s="33" t="s">
        <v>594</v>
      </c>
      <c r="Q9" t="str">
        <f>VLOOKUP(P9,GroupLabels!$E$2:$H$145,3,0)</f>
        <v>Dominican Republic - Spanish</v>
      </c>
    </row>
    <row r="10" spans="1:17" x14ac:dyDescent="0.25">
      <c r="A10" t="str">
        <f>VLOOKUP(P10,GroupLabels!$E$2:$G$145,3,0)</f>
        <v>Germany - German</v>
      </c>
      <c r="B10" s="77">
        <v>0.74</v>
      </c>
      <c r="C10" s="77">
        <v>0.81</v>
      </c>
      <c r="D10" s="77">
        <v>0.69</v>
      </c>
      <c r="E10" s="77">
        <v>0.97</v>
      </c>
      <c r="F10" s="77">
        <v>0.84</v>
      </c>
      <c r="G10" s="77">
        <v>0.8</v>
      </c>
      <c r="H10" s="77">
        <v>0.89</v>
      </c>
      <c r="I10" s="77">
        <v>0.93</v>
      </c>
      <c r="J10" s="77">
        <v>0.79</v>
      </c>
      <c r="K10" s="33"/>
      <c r="L10" s="33"/>
      <c r="M10" s="33"/>
      <c r="N10" s="33"/>
      <c r="O10" s="33"/>
      <c r="P10" s="33" t="s">
        <v>607</v>
      </c>
      <c r="Q10" t="str">
        <f>VLOOKUP(P10,GroupLabels!$E$2:$H$145,3,0)</f>
        <v>Germany - German</v>
      </c>
    </row>
    <row r="11" spans="1:17" x14ac:dyDescent="0.25">
      <c r="A11" t="str">
        <f>VLOOKUP(P11,GroupLabels!$E$2:$G$145,3,0)</f>
        <v>Italy - German</v>
      </c>
      <c r="B11" s="77">
        <v>0.72</v>
      </c>
      <c r="C11" s="77">
        <v>0.8</v>
      </c>
      <c r="D11" s="77">
        <v>0.73</v>
      </c>
      <c r="E11" s="77">
        <v>0.96</v>
      </c>
      <c r="F11" s="77">
        <v>0.83</v>
      </c>
      <c r="G11" s="77">
        <v>0.76</v>
      </c>
      <c r="H11" s="77">
        <v>0.88</v>
      </c>
      <c r="I11" s="77">
        <v>0.9</v>
      </c>
      <c r="J11" s="77">
        <v>0.77</v>
      </c>
      <c r="K11" s="33"/>
      <c r="L11" s="33"/>
      <c r="M11" s="33"/>
      <c r="N11" s="33"/>
      <c r="O11" s="33"/>
      <c r="P11" s="33" t="s">
        <v>620</v>
      </c>
      <c r="Q11" t="str">
        <f>VLOOKUP(P11,GroupLabels!$E$2:$H$145,3,0)</f>
        <v>Italy - German</v>
      </c>
    </row>
    <row r="12" spans="1:17" x14ac:dyDescent="0.25">
      <c r="A12" t="str">
        <f>VLOOKUP(P12,GroupLabels!$E$2:$G$145,3,0)</f>
        <v>Italy - Italian</v>
      </c>
      <c r="B12" s="77">
        <v>0.76</v>
      </c>
      <c r="C12" s="77">
        <v>0.82</v>
      </c>
      <c r="D12" s="77">
        <v>0.64</v>
      </c>
      <c r="E12" s="77">
        <v>0.96</v>
      </c>
      <c r="F12" s="77">
        <v>0.83</v>
      </c>
      <c r="G12" s="77">
        <v>0.73</v>
      </c>
      <c r="H12" s="77">
        <v>0.86</v>
      </c>
      <c r="I12" s="77">
        <v>0.92</v>
      </c>
      <c r="J12" s="77">
        <v>0.76</v>
      </c>
      <c r="K12" s="33"/>
      <c r="L12" s="33"/>
      <c r="M12" s="33"/>
      <c r="N12" s="33"/>
      <c r="O12" s="33"/>
      <c r="P12" s="33" t="s">
        <v>621</v>
      </c>
      <c r="Q12" t="str">
        <f>VLOOKUP(P12,GroupLabels!$E$2:$H$145,3,0)</f>
        <v>Italy - Italian</v>
      </c>
    </row>
    <row r="13" spans="1:17" x14ac:dyDescent="0.25">
      <c r="A13" t="str">
        <f>VLOOKUP(P13,GroupLabels!$E$2:$G$145,3,0)</f>
        <v>Portugal - Portuguese</v>
      </c>
      <c r="B13" s="77">
        <v>0.74</v>
      </c>
      <c r="C13" s="77">
        <v>0.85</v>
      </c>
      <c r="D13" s="77">
        <v>0.7</v>
      </c>
      <c r="E13" s="77">
        <v>0.98</v>
      </c>
      <c r="F13" s="77">
        <v>0.87</v>
      </c>
      <c r="G13" s="77">
        <v>0.79</v>
      </c>
      <c r="H13" s="77">
        <v>0.87</v>
      </c>
      <c r="I13" s="77">
        <v>0.91</v>
      </c>
      <c r="J13" s="77">
        <v>0.76</v>
      </c>
      <c r="K13" s="33"/>
      <c r="L13" s="33"/>
      <c r="M13" s="33"/>
      <c r="N13" s="33"/>
      <c r="O13" s="33"/>
      <c r="P13" s="33" t="s">
        <v>671</v>
      </c>
      <c r="Q13" t="str">
        <f>VLOOKUP(P13,GroupLabels!$E$2:$H$145,3,0)</f>
        <v>Portugal - Portuguese</v>
      </c>
    </row>
    <row r="14" spans="1:17" x14ac:dyDescent="0.25">
      <c r="A14" t="str">
        <f>VLOOKUP(P14,GroupLabels!$E$2:$G$145,3,0)</f>
        <v>Romania - Hungarian</v>
      </c>
      <c r="B14" s="77">
        <v>0.75</v>
      </c>
      <c r="C14" s="77">
        <v>0.83</v>
      </c>
      <c r="D14" s="77">
        <v>0.63</v>
      </c>
      <c r="E14" s="77">
        <v>0.97</v>
      </c>
      <c r="F14" s="77">
        <v>0.83</v>
      </c>
      <c r="G14" s="77">
        <v>0.79</v>
      </c>
      <c r="H14" s="77">
        <v>0.82</v>
      </c>
      <c r="I14" s="77">
        <v>0.94</v>
      </c>
      <c r="J14" s="77">
        <v>0.79</v>
      </c>
      <c r="K14" s="33"/>
      <c r="L14" s="33"/>
      <c r="M14" s="33"/>
      <c r="N14" s="33"/>
      <c r="O14" s="33"/>
      <c r="P14" s="33" t="s">
        <v>674</v>
      </c>
      <c r="Q14" t="str">
        <f>VLOOKUP(P14,GroupLabels!$E$2:$H$145,3,0)</f>
        <v>Romania - Hungarian</v>
      </c>
    </row>
    <row r="15" spans="1:17" x14ac:dyDescent="0.25">
      <c r="A15" t="str">
        <f>VLOOKUP(P15,GroupLabels!$E$2:$G$145,3,0)</f>
        <v>Romania - Romanian</v>
      </c>
      <c r="B15" s="77">
        <v>0.79</v>
      </c>
      <c r="C15" s="77">
        <v>0.86</v>
      </c>
      <c r="D15" s="77">
        <v>0.7</v>
      </c>
      <c r="E15" s="77">
        <v>0.97</v>
      </c>
      <c r="F15" s="77">
        <v>0.88</v>
      </c>
      <c r="G15" s="77">
        <v>0.8</v>
      </c>
      <c r="H15" s="77">
        <v>0.82</v>
      </c>
      <c r="I15" s="77">
        <v>0.92</v>
      </c>
      <c r="J15" s="77">
        <v>0.84</v>
      </c>
      <c r="K15" s="33"/>
      <c r="L15" s="33"/>
      <c r="M15" s="33"/>
      <c r="N15" s="33"/>
      <c r="O15" s="33"/>
      <c r="P15" s="33" t="s">
        <v>675</v>
      </c>
      <c r="Q15" t="str">
        <f>VLOOKUP(P15,GroupLabels!$E$2:$H$145,3,0)</f>
        <v>Romania - Romanian</v>
      </c>
    </row>
    <row r="16" spans="1:17" x14ac:dyDescent="0.25">
      <c r="A16" s="3" t="str">
        <f>VLOOKUP(P16,GroupLabels!$E$2:$G$145,3,0)</f>
        <v>Chinese Taipei - Chinese</v>
      </c>
      <c r="B16" s="94">
        <v>0.82</v>
      </c>
      <c r="C16" s="94">
        <v>0.91</v>
      </c>
      <c r="D16" s="94">
        <v>0.82</v>
      </c>
      <c r="E16" s="94">
        <v>0.97</v>
      </c>
      <c r="F16" s="94">
        <v>0.9</v>
      </c>
      <c r="G16" s="94">
        <v>0.87</v>
      </c>
      <c r="H16" s="94">
        <v>0.92</v>
      </c>
      <c r="I16" s="94">
        <v>0.92</v>
      </c>
      <c r="J16" s="94">
        <v>0.84</v>
      </c>
      <c r="K16" s="33"/>
      <c r="L16" s="33"/>
      <c r="M16" s="33"/>
      <c r="N16" s="33"/>
      <c r="O16" s="33"/>
      <c r="P16" s="33" t="s">
        <v>693</v>
      </c>
      <c r="Q16" t="str">
        <f>VLOOKUP(P16,GroupLabels!$E$2:$H$145,3,0)</f>
        <v>Chinese Taipei - Chinese</v>
      </c>
    </row>
  </sheetData>
  <sheetProtection formatColumns="0" formatRows="0"/>
  <sortState xmlns:xlrd2="http://schemas.microsoft.com/office/spreadsheetml/2017/richdata2" ref="A7:Q15">
    <sortCondition ref="A7:A15"/>
  </sortState>
  <hyperlinks>
    <hyperlink ref="A1" location="TOC!A1" display="Table of Contents" xr:uid="{378EAA0C-60A8-4D32-B872-F99E19585019}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36"/>
  <dimension ref="A1:P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7.140625" customWidth="1"/>
    <col min="2" max="10" width="9.140625" style="9" customWidth="1"/>
    <col min="16" max="16" width="8.7109375" hidden="1" customWidth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282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111" t="s">
        <v>2514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566</v>
      </c>
      <c r="B6" s="79" t="s">
        <v>421</v>
      </c>
      <c r="C6" s="79" t="s">
        <v>385</v>
      </c>
      <c r="D6" s="79" t="s">
        <v>386</v>
      </c>
      <c r="E6" s="79" t="s">
        <v>422</v>
      </c>
      <c r="F6" s="79" t="s">
        <v>423</v>
      </c>
      <c r="G6" s="79" t="s">
        <v>342</v>
      </c>
      <c r="H6" s="79" t="s">
        <v>424</v>
      </c>
      <c r="I6" s="79" t="s">
        <v>425</v>
      </c>
      <c r="J6" s="79" t="s">
        <v>390</v>
      </c>
      <c r="K6" s="33"/>
      <c r="L6" s="33"/>
      <c r="M6" s="33"/>
      <c r="N6" s="33"/>
      <c r="O6" s="33"/>
      <c r="P6" s="33"/>
    </row>
    <row r="7" spans="1:16" x14ac:dyDescent="0.25">
      <c r="A7" t="str">
        <f>VLOOKUP(P7,GroupLabels!$E$2:$G$145,3,0)</f>
        <v>Belgium (Flemish Community) - Dutch</v>
      </c>
      <c r="B7" s="73">
        <v>5</v>
      </c>
      <c r="C7" s="73">
        <v>7</v>
      </c>
      <c r="D7" s="73">
        <v>4</v>
      </c>
      <c r="E7" s="73">
        <v>10</v>
      </c>
      <c r="F7" s="73">
        <v>5</v>
      </c>
      <c r="G7" s="73">
        <v>11</v>
      </c>
      <c r="H7" s="73">
        <v>3</v>
      </c>
      <c r="I7" s="73">
        <v>4</v>
      </c>
      <c r="J7" s="73">
        <v>7</v>
      </c>
      <c r="K7" s="33"/>
      <c r="L7" s="33"/>
      <c r="M7" s="33"/>
      <c r="N7" s="33"/>
      <c r="O7" s="33"/>
      <c r="P7" s="33" t="s">
        <v>574</v>
      </c>
    </row>
    <row r="8" spans="1:16" x14ac:dyDescent="0.25">
      <c r="A8" t="str">
        <f>VLOOKUP(P8,GroupLabels!$E$2:$G$145,3,0)</f>
        <v>Colombia - Spanish</v>
      </c>
      <c r="B8" s="73">
        <v>5</v>
      </c>
      <c r="C8" s="73">
        <v>7</v>
      </c>
      <c r="D8" s="73">
        <v>4</v>
      </c>
      <c r="E8" s="73">
        <v>10</v>
      </c>
      <c r="F8" s="73">
        <v>5</v>
      </c>
      <c r="G8" s="73">
        <v>11</v>
      </c>
      <c r="H8" s="73">
        <v>3</v>
      </c>
      <c r="I8" s="73">
        <v>4</v>
      </c>
      <c r="J8" s="73">
        <v>7</v>
      </c>
      <c r="K8" s="33"/>
      <c r="L8" s="33"/>
      <c r="M8" s="33"/>
      <c r="N8" s="33"/>
      <c r="O8" s="33"/>
      <c r="P8" s="33" t="s">
        <v>586</v>
      </c>
    </row>
    <row r="9" spans="1:16" x14ac:dyDescent="0.25">
      <c r="A9" t="str">
        <f>VLOOKUP(P9,GroupLabels!$E$2:$G$145,3,0)</f>
        <v>Dominican Republic - Spanish</v>
      </c>
      <c r="B9" s="73">
        <v>5</v>
      </c>
      <c r="C9" s="73">
        <v>7</v>
      </c>
      <c r="D9" s="73">
        <v>4</v>
      </c>
      <c r="E9" s="73">
        <v>10</v>
      </c>
      <c r="F9" s="73">
        <v>5</v>
      </c>
      <c r="G9" s="73">
        <v>11</v>
      </c>
      <c r="H9" s="73">
        <v>3</v>
      </c>
      <c r="I9" s="73">
        <v>4</v>
      </c>
      <c r="J9" s="73">
        <v>7</v>
      </c>
      <c r="K9" s="33"/>
      <c r="L9" s="33"/>
      <c r="M9" s="33"/>
      <c r="N9" s="33"/>
      <c r="O9" s="33"/>
      <c r="P9" s="33" t="s">
        <v>594</v>
      </c>
    </row>
    <row r="10" spans="1:16" x14ac:dyDescent="0.25">
      <c r="A10" t="str">
        <f>VLOOKUP(P10,GroupLabels!$E$2:$G$145,3,0)</f>
        <v>Germany - German</v>
      </c>
      <c r="B10" s="73">
        <v>5</v>
      </c>
      <c r="C10" s="73">
        <v>7</v>
      </c>
      <c r="D10" s="73">
        <v>4</v>
      </c>
      <c r="E10" s="73">
        <v>10</v>
      </c>
      <c r="F10" s="73">
        <v>5</v>
      </c>
      <c r="G10" s="73">
        <v>11</v>
      </c>
      <c r="H10" s="73">
        <v>3</v>
      </c>
      <c r="I10" s="73">
        <v>4</v>
      </c>
      <c r="J10" s="73">
        <v>7</v>
      </c>
      <c r="K10" s="33"/>
      <c r="L10" s="33"/>
      <c r="M10" s="33"/>
      <c r="N10" s="33"/>
      <c r="O10" s="33"/>
      <c r="P10" s="33" t="s">
        <v>607</v>
      </c>
    </row>
    <row r="11" spans="1:16" x14ac:dyDescent="0.25">
      <c r="A11" t="str">
        <f>VLOOKUP(P11,GroupLabels!$E$2:$G$145,3,0)</f>
        <v>Italy - German</v>
      </c>
      <c r="B11" s="73">
        <v>5</v>
      </c>
      <c r="C11" s="73">
        <v>7</v>
      </c>
      <c r="D11" s="73">
        <v>4</v>
      </c>
      <c r="E11" s="73">
        <v>10</v>
      </c>
      <c r="F11" s="73">
        <v>5</v>
      </c>
      <c r="G11" s="73">
        <v>11</v>
      </c>
      <c r="H11" s="73">
        <v>3</v>
      </c>
      <c r="I11" s="73">
        <v>4</v>
      </c>
      <c r="J11" s="73">
        <v>7</v>
      </c>
      <c r="K11" s="33"/>
      <c r="L11" s="33"/>
      <c r="M11" s="33"/>
      <c r="N11" s="33"/>
      <c r="O11" s="33"/>
      <c r="P11" s="33" t="s">
        <v>620</v>
      </c>
    </row>
    <row r="12" spans="1:16" x14ac:dyDescent="0.25">
      <c r="A12" t="str">
        <f>VLOOKUP(P12,GroupLabels!$E$2:$G$145,3,0)</f>
        <v>Italy - Italian</v>
      </c>
      <c r="B12" s="73">
        <v>5</v>
      </c>
      <c r="C12" s="73">
        <v>7</v>
      </c>
      <c r="D12" s="73">
        <v>4</v>
      </c>
      <c r="E12" s="73">
        <v>10</v>
      </c>
      <c r="F12" s="73">
        <v>5</v>
      </c>
      <c r="G12" s="73">
        <v>11</v>
      </c>
      <c r="H12" s="73">
        <v>3</v>
      </c>
      <c r="I12" s="73">
        <v>4</v>
      </c>
      <c r="J12" s="73">
        <v>7</v>
      </c>
      <c r="K12" s="33"/>
      <c r="L12" s="33"/>
      <c r="M12" s="33"/>
      <c r="N12" s="33"/>
      <c r="O12" s="33"/>
      <c r="P12" s="33" t="s">
        <v>621</v>
      </c>
    </row>
    <row r="13" spans="1:16" x14ac:dyDescent="0.25">
      <c r="A13" t="str">
        <f>VLOOKUP(P13,GroupLabels!$E$2:$G$145,3,0)</f>
        <v>Portugal - Portuguese</v>
      </c>
      <c r="B13" s="73">
        <v>5</v>
      </c>
      <c r="C13" s="73">
        <v>7</v>
      </c>
      <c r="D13" s="73">
        <v>4</v>
      </c>
      <c r="E13" s="73">
        <v>10</v>
      </c>
      <c r="F13" s="73">
        <v>5</v>
      </c>
      <c r="G13" s="73">
        <v>11</v>
      </c>
      <c r="H13" s="73">
        <v>3</v>
      </c>
      <c r="I13" s="73">
        <v>4</v>
      </c>
      <c r="J13" s="73">
        <v>7</v>
      </c>
      <c r="K13" s="33"/>
      <c r="L13" s="33"/>
      <c r="M13" s="33"/>
      <c r="N13" s="33"/>
      <c r="O13" s="33"/>
      <c r="P13" s="33" t="s">
        <v>671</v>
      </c>
    </row>
    <row r="14" spans="1:16" x14ac:dyDescent="0.25">
      <c r="A14" t="str">
        <f>VLOOKUP(P14,GroupLabels!$E$2:$G$145,3,0)</f>
        <v>Romania - Hungarian</v>
      </c>
      <c r="B14" s="73">
        <v>5</v>
      </c>
      <c r="C14" s="73">
        <v>7</v>
      </c>
      <c r="D14" s="73">
        <v>4</v>
      </c>
      <c r="E14" s="73">
        <v>10</v>
      </c>
      <c r="F14" s="73">
        <v>5</v>
      </c>
      <c r="G14" s="73">
        <v>11</v>
      </c>
      <c r="H14" s="73">
        <v>3</v>
      </c>
      <c r="I14" s="73">
        <v>4</v>
      </c>
      <c r="J14" s="73">
        <v>7</v>
      </c>
      <c r="K14" s="33"/>
      <c r="L14" s="33"/>
      <c r="M14" s="33"/>
      <c r="N14" s="33"/>
      <c r="O14" s="33"/>
      <c r="P14" s="33" t="s">
        <v>674</v>
      </c>
    </row>
    <row r="15" spans="1:16" x14ac:dyDescent="0.25">
      <c r="A15" t="str">
        <f>VLOOKUP(P15,GroupLabels!$E$2:$G$145,3,0)</f>
        <v>Romania - Romanian</v>
      </c>
      <c r="B15" s="73">
        <v>5</v>
      </c>
      <c r="C15" s="73">
        <v>7</v>
      </c>
      <c r="D15" s="73">
        <v>4</v>
      </c>
      <c r="E15" s="73">
        <v>10</v>
      </c>
      <c r="F15" s="73">
        <v>5</v>
      </c>
      <c r="G15" s="73">
        <v>11</v>
      </c>
      <c r="H15" s="73">
        <v>3</v>
      </c>
      <c r="I15" s="73">
        <v>4</v>
      </c>
      <c r="J15" s="73">
        <v>7</v>
      </c>
      <c r="K15" s="33"/>
      <c r="L15" s="33"/>
      <c r="M15" s="33"/>
      <c r="N15" s="33"/>
      <c r="O15" s="33"/>
      <c r="P15" s="33" t="s">
        <v>675</v>
      </c>
    </row>
    <row r="16" spans="1:16" x14ac:dyDescent="0.25">
      <c r="A16" s="3" t="str">
        <f>VLOOKUP(P16,GroupLabels!$E$2:$G$145,3,0)</f>
        <v>Chinese Taipei - Chinese</v>
      </c>
      <c r="B16" s="75">
        <v>5</v>
      </c>
      <c r="C16" s="75">
        <v>7</v>
      </c>
      <c r="D16" s="75">
        <v>4</v>
      </c>
      <c r="E16" s="75">
        <v>10</v>
      </c>
      <c r="F16" s="75">
        <v>5</v>
      </c>
      <c r="G16" s="75">
        <v>11</v>
      </c>
      <c r="H16" s="75">
        <v>3</v>
      </c>
      <c r="I16" s="75">
        <v>4</v>
      </c>
      <c r="J16" s="75">
        <v>7</v>
      </c>
      <c r="K16" s="33"/>
      <c r="L16" s="33"/>
      <c r="M16" s="33"/>
      <c r="N16" s="33"/>
      <c r="O16" s="33"/>
      <c r="P16" s="40" t="s">
        <v>693</v>
      </c>
    </row>
  </sheetData>
  <sheetProtection formatColumns="0" formatRows="0"/>
  <sortState xmlns:xlrd2="http://schemas.microsoft.com/office/spreadsheetml/2017/richdata2" ref="A7:P15">
    <sortCondition ref="A7:A15"/>
  </sortState>
  <hyperlinks>
    <hyperlink ref="A1" location="TOC!A1" display="Table of Contents" xr:uid="{A67D9423-AD86-4883-B5F2-EBAF1A05CCEE}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37"/>
  <dimension ref="A1:P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0.7109375" customWidth="1"/>
    <col min="16" max="16" width="0" hidden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284</v>
      </c>
      <c r="B3" s="7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111" t="s">
        <v>2515</v>
      </c>
      <c r="B4" s="7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7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566</v>
      </c>
      <c r="B6" s="65" t="s">
        <v>342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x14ac:dyDescent="0.25">
      <c r="A7" t="str">
        <f>VLOOKUP(P7,GroupLabels!$E$2:$G$145,3,0)</f>
        <v>Belgium (Flemish Community) - Dutch</v>
      </c>
      <c r="B7" s="33">
        <v>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574</v>
      </c>
    </row>
    <row r="8" spans="1:16" x14ac:dyDescent="0.25">
      <c r="A8" t="str">
        <f>VLOOKUP(P8,GroupLabels!$E$2:$G$145,3,0)</f>
        <v>Colombia - Spanish</v>
      </c>
      <c r="B8" s="33">
        <v>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586</v>
      </c>
    </row>
    <row r="9" spans="1:16" x14ac:dyDescent="0.25">
      <c r="A9" t="str">
        <f>VLOOKUP(P9,GroupLabels!$E$2:$G$145,3,0)</f>
        <v>Dominican Republic - Spanish</v>
      </c>
      <c r="B9" s="33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 t="s">
        <v>594</v>
      </c>
    </row>
    <row r="10" spans="1:16" x14ac:dyDescent="0.25">
      <c r="A10" t="str">
        <f>VLOOKUP(P10,GroupLabels!$E$2:$G$145,3,0)</f>
        <v>Germany - German</v>
      </c>
      <c r="B10" s="33">
        <v>9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 t="s">
        <v>607</v>
      </c>
    </row>
    <row r="11" spans="1:16" x14ac:dyDescent="0.25">
      <c r="A11" t="str">
        <f>VLOOKUP(P11,GroupLabels!$E$2:$G$145,3,0)</f>
        <v>Italy - German</v>
      </c>
      <c r="B11" s="33">
        <v>9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 t="s">
        <v>620</v>
      </c>
    </row>
    <row r="12" spans="1:16" x14ac:dyDescent="0.25">
      <c r="A12" t="str">
        <f>VLOOKUP(P12,GroupLabels!$E$2:$G$145,3,0)</f>
        <v>Italy - Italian</v>
      </c>
      <c r="B12" s="33">
        <v>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 t="s">
        <v>621</v>
      </c>
    </row>
    <row r="13" spans="1:16" x14ac:dyDescent="0.25">
      <c r="A13" t="str">
        <f>VLOOKUP(P13,GroupLabels!$E$2:$G$145,3,0)</f>
        <v>Portugal - Portuguese</v>
      </c>
      <c r="B13" s="33">
        <v>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 t="s">
        <v>671</v>
      </c>
    </row>
    <row r="14" spans="1:16" x14ac:dyDescent="0.25">
      <c r="A14" t="str">
        <f>VLOOKUP(P14,GroupLabels!$E$2:$G$145,3,0)</f>
        <v>Romania - Hungarian</v>
      </c>
      <c r="B14" s="33">
        <v>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 t="s">
        <v>674</v>
      </c>
    </row>
    <row r="15" spans="1:16" x14ac:dyDescent="0.25">
      <c r="A15" t="str">
        <f>VLOOKUP(P15,GroupLabels!$E$2:$G$145,3,0)</f>
        <v>Romania - Romanian</v>
      </c>
      <c r="B15" s="33">
        <v>9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 t="s">
        <v>675</v>
      </c>
    </row>
    <row r="16" spans="1:16" x14ac:dyDescent="0.25">
      <c r="A16" s="3" t="str">
        <f>VLOOKUP(P16,GroupLabels!$E$2:$G$145,3,0)</f>
        <v>Chinese Taipei - Chinese</v>
      </c>
      <c r="B16" s="40">
        <v>9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40" t="s">
        <v>693</v>
      </c>
    </row>
  </sheetData>
  <sheetProtection formatColumns="0" formatRows="0"/>
  <sortState xmlns:xlrd2="http://schemas.microsoft.com/office/spreadsheetml/2017/richdata2" ref="A7:P15">
    <sortCondition ref="A7:A15"/>
  </sortState>
  <hyperlinks>
    <hyperlink ref="A1" location="TOC!A1" display="Table of Contents" xr:uid="{CF746346-CE09-4446-B4A8-E26C850BBB5A}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38"/>
  <dimension ref="A1:I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.42578125" customWidth="1"/>
    <col min="2" max="2" width="17.7109375" customWidth="1"/>
    <col min="3" max="3" width="70.42578125" customWidth="1"/>
    <col min="4" max="9" width="9.140625" style="2" customWidth="1"/>
  </cols>
  <sheetData>
    <row r="1" spans="1:9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286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11" t="s">
        <v>287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86" t="s">
        <v>780</v>
      </c>
    </row>
    <row r="7" spans="1:9" x14ac:dyDescent="0.25">
      <c r="A7" s="33" t="s">
        <v>782</v>
      </c>
      <c r="B7" s="33" t="s">
        <v>2516</v>
      </c>
      <c r="C7" s="33" t="s">
        <v>2517</v>
      </c>
      <c r="D7" s="53">
        <v>0.41531000000000001</v>
      </c>
      <c r="E7" s="53">
        <v>1.0934699999999999</v>
      </c>
      <c r="F7" s="53">
        <v>0.37241999999999997</v>
      </c>
      <c r="G7" s="53">
        <v>-0.74614999999999998</v>
      </c>
      <c r="H7" s="53">
        <v>-0.12537999999999999</v>
      </c>
      <c r="I7" s="53">
        <v>0.49911</v>
      </c>
    </row>
    <row r="8" spans="1:9" x14ac:dyDescent="0.25">
      <c r="A8" s="33" t="s">
        <v>782</v>
      </c>
      <c r="B8" s="33" t="s">
        <v>2518</v>
      </c>
      <c r="C8" s="33" t="s">
        <v>2519</v>
      </c>
      <c r="D8" s="53">
        <v>1.80881</v>
      </c>
      <c r="E8" s="53">
        <v>2.1432500000000001</v>
      </c>
      <c r="F8" s="53">
        <v>-1.31731</v>
      </c>
      <c r="G8" s="53">
        <v>-1.1877500000000001</v>
      </c>
      <c r="H8" s="53">
        <v>0.40609000000000012</v>
      </c>
      <c r="I8" s="53">
        <v>2.09897</v>
      </c>
    </row>
    <row r="9" spans="1:9" x14ac:dyDescent="0.25">
      <c r="A9" s="33" t="s">
        <v>782</v>
      </c>
      <c r="B9" s="33" t="s">
        <v>2520</v>
      </c>
      <c r="C9" s="33" t="s">
        <v>2521</v>
      </c>
      <c r="D9" s="53">
        <v>0.59608000000000005</v>
      </c>
      <c r="E9" s="53">
        <v>1.38744</v>
      </c>
      <c r="F9" s="53">
        <v>0.52749999999999997</v>
      </c>
      <c r="G9" s="53">
        <v>-0.81081000000000003</v>
      </c>
      <c r="H9" s="53">
        <v>-4.7940000000000003E-2</v>
      </c>
      <c r="I9" s="53">
        <v>0.3312500000000001</v>
      </c>
    </row>
    <row r="10" spans="1:9" x14ac:dyDescent="0.25">
      <c r="A10" s="33" t="s">
        <v>782</v>
      </c>
      <c r="B10" s="33" t="s">
        <v>2522</v>
      </c>
      <c r="C10" s="33" t="s">
        <v>2523</v>
      </c>
      <c r="D10" s="53">
        <v>0.44941999999999999</v>
      </c>
      <c r="E10" s="53">
        <v>1.17578</v>
      </c>
      <c r="F10" s="53">
        <v>0.30183999999999989</v>
      </c>
      <c r="G10" s="53">
        <v>-0.72440000000000015</v>
      </c>
      <c r="H10" s="53">
        <v>0.14957999999999999</v>
      </c>
      <c r="I10" s="53">
        <v>0.27298000000000011</v>
      </c>
    </row>
    <row r="11" spans="1:9" x14ac:dyDescent="0.25">
      <c r="A11" s="40" t="s">
        <v>782</v>
      </c>
      <c r="B11" s="40" t="s">
        <v>2524</v>
      </c>
      <c r="C11" s="40" t="s">
        <v>2525</v>
      </c>
      <c r="D11" s="78">
        <v>1.86375</v>
      </c>
      <c r="E11" s="78">
        <v>2.3145099999999998</v>
      </c>
      <c r="F11" s="78">
        <v>-1.4483999999999999</v>
      </c>
      <c r="G11" s="78">
        <v>-1.0588599999999999</v>
      </c>
      <c r="H11" s="78">
        <v>0.44301000000000001</v>
      </c>
      <c r="I11" s="78">
        <v>2.064249999999999</v>
      </c>
    </row>
  </sheetData>
  <sheetProtection formatColumns="0" formatRows="0"/>
  <hyperlinks>
    <hyperlink ref="A1" location="TOC!A1" display="Table of Contents" xr:uid="{F6E1BCD2-722E-4423-809C-CFAED051E8DD}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39"/>
  <dimension ref="A1:I9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5.42578125" customWidth="1"/>
    <col min="2" max="2" width="14.7109375" customWidth="1"/>
    <col min="3" max="3" width="64.7109375" customWidth="1"/>
    <col min="4" max="9" width="9.140625" style="2" customWidth="1"/>
  </cols>
  <sheetData>
    <row r="1" spans="1:9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288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11" t="s">
        <v>289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86" t="s">
        <v>780</v>
      </c>
    </row>
    <row r="7" spans="1:9" x14ac:dyDescent="0.25">
      <c r="A7" s="33" t="s">
        <v>782</v>
      </c>
      <c r="B7" s="33" t="s">
        <v>2526</v>
      </c>
      <c r="C7" s="33" t="s">
        <v>2527</v>
      </c>
      <c r="D7" s="53">
        <v>3.1754399999999992</v>
      </c>
      <c r="E7" s="53">
        <v>-0.14881</v>
      </c>
      <c r="F7" s="53">
        <v>-5.28261</v>
      </c>
      <c r="G7" s="53">
        <v>-3.0587300000000002</v>
      </c>
      <c r="H7" s="53">
        <v>2.647629999999999</v>
      </c>
      <c r="I7" s="53">
        <v>5.6937100000000003</v>
      </c>
    </row>
    <row r="8" spans="1:9" x14ac:dyDescent="0.25">
      <c r="A8" s="33" t="s">
        <v>782</v>
      </c>
      <c r="B8" s="33" t="s">
        <v>2528</v>
      </c>
      <c r="C8" s="33" t="s">
        <v>2529</v>
      </c>
      <c r="D8" s="53">
        <v>2.2558099999999999</v>
      </c>
      <c r="E8" s="53">
        <v>0.11831</v>
      </c>
      <c r="F8" s="53">
        <v>-4.3672300000000002</v>
      </c>
      <c r="G8" s="53">
        <v>-2.0992099999999998</v>
      </c>
      <c r="H8" s="53">
        <v>2.1273</v>
      </c>
      <c r="I8" s="53">
        <v>4.3391400000000004</v>
      </c>
    </row>
    <row r="9" spans="1:9" x14ac:dyDescent="0.25">
      <c r="A9" s="40" t="s">
        <v>782</v>
      </c>
      <c r="B9" s="40" t="s">
        <v>2530</v>
      </c>
      <c r="C9" s="40" t="s">
        <v>2531</v>
      </c>
      <c r="D9" s="78">
        <v>4.1711299999999989</v>
      </c>
      <c r="E9" s="78">
        <v>-0.16386999999999999</v>
      </c>
      <c r="F9" s="78">
        <v>-7.0139199999999997</v>
      </c>
      <c r="G9" s="78">
        <v>-3.3931800000000001</v>
      </c>
      <c r="H9" s="78">
        <v>3.374200000000001</v>
      </c>
      <c r="I9" s="78">
        <v>7.0328999999999997</v>
      </c>
    </row>
  </sheetData>
  <sheetProtection formatColumns="0" formatRows="0"/>
  <hyperlinks>
    <hyperlink ref="A1" location="TOC!A1" display="Table of Contents" xr:uid="{9E8F5D57-DFE8-4CDA-AA8B-7E67892A53A8}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43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2" width="19.42578125" customWidth="1"/>
    <col min="3" max="3" width="92.140625" bestFit="1" customWidth="1"/>
    <col min="4" max="8" width="9.140625" style="2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290</v>
      </c>
      <c r="B3" s="33"/>
      <c r="C3" s="33"/>
      <c r="D3" s="33"/>
      <c r="E3" s="33"/>
      <c r="F3" s="33"/>
      <c r="G3" s="33"/>
      <c r="H3" s="33"/>
    </row>
    <row r="4" spans="1:8" x14ac:dyDescent="0.25">
      <c r="A4" s="111" t="s">
        <v>291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</row>
    <row r="7" spans="1:8" x14ac:dyDescent="0.25">
      <c r="A7" s="33" t="s">
        <v>782</v>
      </c>
      <c r="B7" s="33" t="s">
        <v>2532</v>
      </c>
      <c r="C7" s="33" t="s">
        <v>2533</v>
      </c>
      <c r="D7" s="53">
        <v>3.1758700000000002</v>
      </c>
      <c r="E7" s="53">
        <v>-5.0903899999999993</v>
      </c>
      <c r="F7" s="53">
        <v>-2.9371399999999999</v>
      </c>
      <c r="G7" s="53">
        <v>-0.79489000000000021</v>
      </c>
      <c r="H7" s="53">
        <v>3.73203</v>
      </c>
    </row>
    <row r="8" spans="1:8" x14ac:dyDescent="0.25">
      <c r="A8" s="33" t="s">
        <v>782</v>
      </c>
      <c r="B8" s="33" t="s">
        <v>2534</v>
      </c>
      <c r="C8" s="33" t="s">
        <v>2535</v>
      </c>
      <c r="D8" s="53">
        <v>3.9779300000000002</v>
      </c>
      <c r="E8" s="53">
        <v>-6.2677899999999998</v>
      </c>
      <c r="F8" s="53">
        <v>-3.8203299999999998</v>
      </c>
      <c r="G8" s="53">
        <v>-1.0673699999999999</v>
      </c>
      <c r="H8" s="53">
        <v>4.8876999999999997</v>
      </c>
    </row>
    <row r="9" spans="1:8" x14ac:dyDescent="0.25">
      <c r="A9" s="33" t="s">
        <v>782</v>
      </c>
      <c r="B9" s="33" t="s">
        <v>2536</v>
      </c>
      <c r="C9" s="33" t="s">
        <v>2537</v>
      </c>
      <c r="D9" s="53">
        <v>1.78827</v>
      </c>
      <c r="E9" s="53">
        <v>-2.9040499999999989</v>
      </c>
      <c r="F9" s="53">
        <v>-2.1646000000000001</v>
      </c>
      <c r="G9" s="53">
        <v>-0.49425999999999992</v>
      </c>
      <c r="H9" s="53">
        <v>2.6588599999999998</v>
      </c>
    </row>
    <row r="10" spans="1:8" x14ac:dyDescent="0.25">
      <c r="A10" s="33" t="s">
        <v>782</v>
      </c>
      <c r="B10" s="33" t="s">
        <v>2538</v>
      </c>
      <c r="C10" s="33" t="s">
        <v>2539</v>
      </c>
      <c r="D10" s="53">
        <v>2.46367</v>
      </c>
      <c r="E10" s="53">
        <v>-3.7292900000000002</v>
      </c>
      <c r="F10" s="53">
        <v>-2.51431</v>
      </c>
      <c r="G10" s="53">
        <v>-0.74433000000000005</v>
      </c>
      <c r="H10" s="53">
        <v>3.2586400000000002</v>
      </c>
    </row>
    <row r="11" spans="1:8" x14ac:dyDescent="0.25">
      <c r="A11" s="40" t="s">
        <v>782</v>
      </c>
      <c r="B11" s="40" t="s">
        <v>2540</v>
      </c>
      <c r="C11" s="40" t="s">
        <v>2541</v>
      </c>
      <c r="D11" s="78">
        <v>2.04034</v>
      </c>
      <c r="E11" s="78">
        <v>-3.6056100000000009</v>
      </c>
      <c r="F11" s="78">
        <v>-1.2666299999999999</v>
      </c>
      <c r="G11" s="78">
        <v>-1.0912500000000001</v>
      </c>
      <c r="H11" s="78">
        <v>2.3578800000000002</v>
      </c>
    </row>
  </sheetData>
  <sheetProtection formatColumns="0" formatRows="0"/>
  <hyperlinks>
    <hyperlink ref="A1" location="TOC!A1" display="Table of Contents" xr:uid="{E0D77247-385C-4803-ACF3-B1A91C962048}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4"/>
  <dimension ref="A1:H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2" width="20.140625" customWidth="1"/>
    <col min="3" max="3" width="123.7109375" bestFit="1" customWidth="1"/>
    <col min="4" max="8" width="9.140625" style="2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292</v>
      </c>
      <c r="B3" s="33"/>
      <c r="C3" s="33"/>
      <c r="D3" s="33"/>
      <c r="E3" s="33"/>
      <c r="F3" s="33"/>
      <c r="G3" s="33"/>
      <c r="H3" s="33"/>
    </row>
    <row r="4" spans="1:8" x14ac:dyDescent="0.25">
      <c r="A4" s="111" t="s">
        <v>293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</row>
    <row r="7" spans="1:8" x14ac:dyDescent="0.25">
      <c r="A7" s="33" t="s">
        <v>782</v>
      </c>
      <c r="B7" s="33" t="s">
        <v>2542</v>
      </c>
      <c r="C7" s="33" t="s">
        <v>2543</v>
      </c>
      <c r="D7" s="53">
        <v>3.3140800000000001</v>
      </c>
      <c r="E7" s="53">
        <v>-0.53441000000000005</v>
      </c>
      <c r="F7" s="53">
        <v>-2.6047899999999999</v>
      </c>
      <c r="G7" s="53">
        <v>-0.32934000000000002</v>
      </c>
      <c r="H7" s="53">
        <v>2.9341300000000001</v>
      </c>
    </row>
    <row r="8" spans="1:8" x14ac:dyDescent="0.25">
      <c r="A8" s="33" t="s">
        <v>782</v>
      </c>
      <c r="B8" s="33" t="s">
        <v>2544</v>
      </c>
      <c r="C8" s="33" t="s">
        <v>2545</v>
      </c>
      <c r="D8" s="53">
        <v>3.8096100000000002</v>
      </c>
      <c r="E8" s="53">
        <v>-0.39442999999999989</v>
      </c>
      <c r="F8" s="53">
        <v>-2.7950699999999999</v>
      </c>
      <c r="G8" s="53">
        <v>-0.39350000000000002</v>
      </c>
      <c r="H8" s="53">
        <v>3.1885699999999999</v>
      </c>
    </row>
    <row r="9" spans="1:8" x14ac:dyDescent="0.25">
      <c r="A9" s="33" t="s">
        <v>782</v>
      </c>
      <c r="B9" s="33" t="s">
        <v>2546</v>
      </c>
      <c r="C9" s="33" t="s">
        <v>2547</v>
      </c>
      <c r="D9" s="53">
        <v>4.0971299999999991</v>
      </c>
      <c r="E9" s="53">
        <v>0.37240000000000012</v>
      </c>
      <c r="F9" s="53">
        <v>-2.9179900000000001</v>
      </c>
      <c r="G9" s="53">
        <v>-0.26835999999999999</v>
      </c>
      <c r="H9" s="53">
        <v>3.18635</v>
      </c>
    </row>
    <row r="10" spans="1:8" x14ac:dyDescent="0.25">
      <c r="A10" s="33" t="s">
        <v>782</v>
      </c>
      <c r="B10" s="33" t="s">
        <v>2548</v>
      </c>
      <c r="C10" s="33" t="s">
        <v>2549</v>
      </c>
      <c r="D10" s="53">
        <v>3.0178199999999999</v>
      </c>
      <c r="E10" s="53">
        <v>1.07992</v>
      </c>
      <c r="F10" s="53">
        <v>-2.4170600000000002</v>
      </c>
      <c r="G10" s="53">
        <v>-0.20368</v>
      </c>
      <c r="H10" s="53">
        <v>2.6207400000000001</v>
      </c>
    </row>
    <row r="11" spans="1:8" x14ac:dyDescent="0.25">
      <c r="A11" s="33" t="s">
        <v>782</v>
      </c>
      <c r="B11" s="33" t="s">
        <v>2550</v>
      </c>
      <c r="C11" s="33" t="s">
        <v>2551</v>
      </c>
      <c r="D11" s="53">
        <v>2.45052</v>
      </c>
      <c r="E11" s="53">
        <v>1.08365</v>
      </c>
      <c r="F11" s="53">
        <v>-1.8747199999999991</v>
      </c>
      <c r="G11" s="53">
        <v>-0.22928000000000001</v>
      </c>
      <c r="H11" s="53">
        <v>2.1040000000000001</v>
      </c>
    </row>
    <row r="12" spans="1:8" x14ac:dyDescent="0.25">
      <c r="A12" s="33" t="s">
        <v>782</v>
      </c>
      <c r="B12" s="33" t="s">
        <v>2552</v>
      </c>
      <c r="C12" s="33" t="s">
        <v>2553</v>
      </c>
      <c r="D12" s="53">
        <v>2.764120000000001</v>
      </c>
      <c r="E12" s="53">
        <v>-1.5057799999999999</v>
      </c>
      <c r="F12" s="53">
        <v>-2.2861899999999999</v>
      </c>
      <c r="G12" s="53">
        <v>-0.28700999999999999</v>
      </c>
      <c r="H12" s="53">
        <v>2.5731999999999999</v>
      </c>
    </row>
    <row r="13" spans="1:8" x14ac:dyDescent="0.25">
      <c r="A13" s="33" t="s">
        <v>782</v>
      </c>
      <c r="B13" s="33" t="s">
        <v>2554</v>
      </c>
      <c r="C13" s="33" t="s">
        <v>2555</v>
      </c>
      <c r="D13" s="53">
        <v>3.785029999999999</v>
      </c>
      <c r="E13" s="53">
        <v>-1.6236299999999999</v>
      </c>
      <c r="F13" s="53">
        <v>-2.7612100000000011</v>
      </c>
      <c r="G13" s="53">
        <v>-0.32278000000000012</v>
      </c>
      <c r="H13" s="53">
        <v>3.08399</v>
      </c>
    </row>
    <row r="14" spans="1:8" x14ac:dyDescent="0.25">
      <c r="A14" s="33" t="s">
        <v>782</v>
      </c>
      <c r="B14" s="33" t="s">
        <v>2556</v>
      </c>
      <c r="C14" s="33" t="s">
        <v>2557</v>
      </c>
      <c r="D14" s="53">
        <v>4.3715799999999998</v>
      </c>
      <c r="E14" s="53">
        <v>-0.94068000000000018</v>
      </c>
      <c r="F14" s="53">
        <v>-3.1684600000000001</v>
      </c>
      <c r="G14" s="53">
        <v>-0.23433000000000001</v>
      </c>
      <c r="H14" s="53">
        <v>3.40279</v>
      </c>
    </row>
    <row r="15" spans="1:8" x14ac:dyDescent="0.25">
      <c r="A15" s="33" t="s">
        <v>782</v>
      </c>
      <c r="B15" s="33" t="s">
        <v>2558</v>
      </c>
      <c r="C15" s="33" t="s">
        <v>2559</v>
      </c>
      <c r="D15" s="53">
        <v>3.9550900000000002</v>
      </c>
      <c r="E15" s="53">
        <v>0.45434999999999998</v>
      </c>
      <c r="F15" s="53">
        <v>-3.090879999999999</v>
      </c>
      <c r="G15" s="53">
        <v>-0.23424</v>
      </c>
      <c r="H15" s="53">
        <v>3.3251200000000001</v>
      </c>
    </row>
    <row r="16" spans="1:8" x14ac:dyDescent="0.25">
      <c r="A16" s="40" t="s">
        <v>782</v>
      </c>
      <c r="B16" s="40" t="s">
        <v>2560</v>
      </c>
      <c r="C16" s="40" t="s">
        <v>2561</v>
      </c>
      <c r="D16" s="78">
        <v>3.1084399999999999</v>
      </c>
      <c r="E16" s="78">
        <v>0.79715000000000014</v>
      </c>
      <c r="F16" s="78">
        <v>-2.4850699999999999</v>
      </c>
      <c r="G16" s="78">
        <v>-0.18531</v>
      </c>
      <c r="H16" s="78">
        <v>2.6703800000000002</v>
      </c>
    </row>
  </sheetData>
  <sheetProtection formatColumns="0" formatRows="0"/>
  <hyperlinks>
    <hyperlink ref="A1" location="TOC!A1" display="Table of Contents" xr:uid="{18EDC1E0-A600-43E6-8760-6963F5B76393}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45"/>
  <dimension ref="A1:I10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2" width="21.7109375" customWidth="1"/>
    <col min="3" max="3" width="67.28515625" customWidth="1"/>
    <col min="4" max="9" width="9.140625" style="2" customWidth="1"/>
  </cols>
  <sheetData>
    <row r="1" spans="1:9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294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11" t="s">
        <v>295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86" t="s">
        <v>780</v>
      </c>
    </row>
    <row r="7" spans="1:9" x14ac:dyDescent="0.25">
      <c r="A7" s="33" t="s">
        <v>782</v>
      </c>
      <c r="B7" s="33" t="s">
        <v>2562</v>
      </c>
      <c r="C7" s="33" t="s">
        <v>2563</v>
      </c>
      <c r="D7" s="53">
        <v>2.0149900000000001</v>
      </c>
      <c r="E7" s="53">
        <v>1.77203</v>
      </c>
      <c r="F7" s="53">
        <v>-1.37923</v>
      </c>
      <c r="G7" s="53">
        <v>0.12963</v>
      </c>
      <c r="H7" s="53">
        <v>0.33543000000000012</v>
      </c>
      <c r="I7" s="53">
        <v>0.91417000000000004</v>
      </c>
    </row>
    <row r="8" spans="1:9" x14ac:dyDescent="0.25">
      <c r="A8" s="33" t="s">
        <v>782</v>
      </c>
      <c r="B8" s="33" t="s">
        <v>2564</v>
      </c>
      <c r="C8" s="33" t="s">
        <v>2565</v>
      </c>
      <c r="D8" s="53">
        <v>3.7572499999999991</v>
      </c>
      <c r="E8" s="53">
        <v>3.3243399999999999</v>
      </c>
      <c r="F8" s="53">
        <v>-2.3898100000000002</v>
      </c>
      <c r="G8" s="53">
        <v>-0.17582999999999999</v>
      </c>
      <c r="H8" s="53">
        <v>0.75560999999999989</v>
      </c>
      <c r="I8" s="53">
        <v>1.81003</v>
      </c>
    </row>
    <row r="9" spans="1:9" x14ac:dyDescent="0.25">
      <c r="A9" s="33" t="s">
        <v>782</v>
      </c>
      <c r="B9" s="33" t="s">
        <v>2566</v>
      </c>
      <c r="C9" s="33" t="s">
        <v>2567</v>
      </c>
      <c r="D9" s="53">
        <v>2.2764600000000002</v>
      </c>
      <c r="E9" s="53">
        <v>1.3317699999999999</v>
      </c>
      <c r="F9" s="53">
        <v>-1.75718</v>
      </c>
      <c r="G9" s="53">
        <v>-0.1017</v>
      </c>
      <c r="H9" s="53">
        <v>0.54898999999999987</v>
      </c>
      <c r="I9" s="53">
        <v>1.30989</v>
      </c>
    </row>
    <row r="10" spans="1:9" x14ac:dyDescent="0.25">
      <c r="A10" s="40" t="s">
        <v>782</v>
      </c>
      <c r="B10" s="40" t="s">
        <v>2568</v>
      </c>
      <c r="C10" s="40" t="s">
        <v>2569</v>
      </c>
      <c r="D10" s="78">
        <v>3.7149899999999989</v>
      </c>
      <c r="E10" s="78">
        <v>2.3228200000000001</v>
      </c>
      <c r="F10" s="78">
        <v>-2.4518599999999999</v>
      </c>
      <c r="G10" s="78">
        <v>-0.24883</v>
      </c>
      <c r="H10" s="78">
        <v>0.81623999999999997</v>
      </c>
      <c r="I10" s="78">
        <v>1.88445</v>
      </c>
    </row>
  </sheetData>
  <sheetProtection formatColumns="0" formatRows="0"/>
  <hyperlinks>
    <hyperlink ref="A1" location="TOC!A1" display="Table of Contents" xr:uid="{3A7E3F3C-FB0D-45FA-A99C-519DD46CAD0E}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89"/>
  <dimension ref="A1:D25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.42578125" customWidth="1"/>
    <col min="2" max="2" width="60.140625" customWidth="1"/>
    <col min="6" max="6" width="8.710937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296</v>
      </c>
      <c r="B3" s="33"/>
      <c r="C3" s="33"/>
      <c r="D3" s="33"/>
    </row>
    <row r="4" spans="1:4" x14ac:dyDescent="0.25">
      <c r="A4" s="34" t="s">
        <v>297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438</v>
      </c>
      <c r="B6" s="65" t="s">
        <v>439</v>
      </c>
      <c r="C6" s="33"/>
      <c r="D6" s="33"/>
    </row>
    <row r="7" spans="1:4" x14ac:dyDescent="0.25">
      <c r="A7" s="38" t="s">
        <v>440</v>
      </c>
      <c r="B7" s="66"/>
      <c r="C7" s="33"/>
      <c r="D7" s="33"/>
    </row>
    <row r="8" spans="1:4" x14ac:dyDescent="0.25">
      <c r="A8" s="59" t="s">
        <v>2570</v>
      </c>
      <c r="B8" s="59" t="s">
        <v>2571</v>
      </c>
      <c r="C8" s="33"/>
      <c r="D8" s="33"/>
    </row>
    <row r="9" spans="1:4" x14ac:dyDescent="0.25">
      <c r="A9" s="33" t="s">
        <v>2572</v>
      </c>
      <c r="B9" s="33" t="s">
        <v>2573</v>
      </c>
      <c r="C9" s="33"/>
      <c r="D9" s="33"/>
    </row>
    <row r="10" spans="1:4" x14ac:dyDescent="0.25">
      <c r="A10" s="33" t="s">
        <v>2574</v>
      </c>
      <c r="B10" s="33" t="s">
        <v>2575</v>
      </c>
      <c r="C10" s="33"/>
      <c r="D10" s="33"/>
    </row>
    <row r="11" spans="1:4" x14ac:dyDescent="0.25">
      <c r="A11" s="33" t="s">
        <v>2085</v>
      </c>
      <c r="B11" s="33" t="s">
        <v>2086</v>
      </c>
      <c r="C11" s="33"/>
      <c r="D11" s="33"/>
    </row>
    <row r="12" spans="1:4" x14ac:dyDescent="0.25">
      <c r="A12" s="33" t="s">
        <v>2087</v>
      </c>
      <c r="B12" s="33" t="s">
        <v>2088</v>
      </c>
      <c r="C12" s="33"/>
      <c r="D12" s="33"/>
    </row>
    <row r="13" spans="1:4" x14ac:dyDescent="0.25">
      <c r="A13" s="38" t="s">
        <v>497</v>
      </c>
      <c r="B13" s="38"/>
      <c r="C13" s="33"/>
      <c r="D13" s="33"/>
    </row>
    <row r="14" spans="1:4" x14ac:dyDescent="0.25">
      <c r="A14" s="59" t="s">
        <v>427</v>
      </c>
      <c r="B14" s="59" t="s">
        <v>2576</v>
      </c>
      <c r="C14" s="33"/>
      <c r="D14" s="33"/>
    </row>
    <row r="15" spans="1:4" x14ac:dyDescent="0.25">
      <c r="A15" s="33" t="s">
        <v>428</v>
      </c>
      <c r="B15" s="33" t="s">
        <v>2576</v>
      </c>
      <c r="C15" s="33"/>
      <c r="D15" s="33"/>
    </row>
    <row r="16" spans="1:4" x14ac:dyDescent="0.25">
      <c r="A16" s="33" t="s">
        <v>429</v>
      </c>
      <c r="B16" s="33" t="s">
        <v>2577</v>
      </c>
      <c r="C16" s="33"/>
      <c r="D16" s="33"/>
    </row>
    <row r="17" spans="1:4" x14ac:dyDescent="0.25">
      <c r="A17" s="33" t="s">
        <v>430</v>
      </c>
      <c r="B17" s="33" t="s">
        <v>2578</v>
      </c>
      <c r="C17" s="33"/>
      <c r="D17" s="33"/>
    </row>
    <row r="18" spans="1:4" x14ac:dyDescent="0.25">
      <c r="A18" s="40" t="s">
        <v>431</v>
      </c>
      <c r="B18" s="40" t="s">
        <v>2579</v>
      </c>
      <c r="C18" s="33"/>
      <c r="D18" s="33"/>
    </row>
    <row r="24" spans="1:4" x14ac:dyDescent="0.25">
      <c r="C24" s="33"/>
      <c r="D24" s="33"/>
    </row>
    <row r="25" spans="1:4" x14ac:dyDescent="0.25">
      <c r="C25" s="33"/>
      <c r="D25" s="33"/>
    </row>
  </sheetData>
  <sheetProtection formatColumns="0" formatRows="0"/>
  <hyperlinks>
    <hyperlink ref="A1" location="TOC!A1" display="Table of Contents" xr:uid="{4FBD3188-C11E-464A-BEB0-59AA89284D94}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46"/>
  <dimension ref="A1:Q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4.42578125" customWidth="1"/>
    <col min="2" max="14" width="12.140625" style="13" customWidth="1"/>
    <col min="15" max="15" width="9.140625" style="9" customWidth="1"/>
    <col min="16" max="16" width="8.7109375" style="9" hidden="1" customWidth="1"/>
    <col min="17" max="17" width="0" style="9" hidden="1" customWidth="1"/>
  </cols>
  <sheetData>
    <row r="1" spans="1:17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25">
      <c r="A3" s="34" t="s">
        <v>298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25">
      <c r="A4" s="34" t="s">
        <v>2580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65" t="s">
        <v>566</v>
      </c>
      <c r="B6" s="116" t="s">
        <v>358</v>
      </c>
      <c r="C6" s="116" t="s">
        <v>359</v>
      </c>
      <c r="D6" s="116" t="s">
        <v>430</v>
      </c>
      <c r="E6" s="116" t="s">
        <v>405</v>
      </c>
      <c r="F6" s="116" t="s">
        <v>408</v>
      </c>
      <c r="G6" s="116" t="s">
        <v>360</v>
      </c>
      <c r="H6" s="116" t="s">
        <v>361</v>
      </c>
      <c r="I6" s="116" t="s">
        <v>362</v>
      </c>
      <c r="J6" s="116" t="s">
        <v>364</v>
      </c>
      <c r="K6" s="116" t="s">
        <v>429</v>
      </c>
      <c r="L6" s="116" t="s">
        <v>428</v>
      </c>
      <c r="M6" s="116" t="s">
        <v>427</v>
      </c>
      <c r="N6" s="116" t="s">
        <v>431</v>
      </c>
      <c r="O6" s="33"/>
      <c r="P6" s="33"/>
      <c r="Q6" s="33"/>
    </row>
    <row r="7" spans="1:17" x14ac:dyDescent="0.25">
      <c r="A7" t="str">
        <f>VLOOKUP(P7,GroupLabels!$E$2:$G$145,3,0)</f>
        <v>Cyprus - Modern Greek*</v>
      </c>
      <c r="B7" s="57">
        <v>0.95</v>
      </c>
      <c r="C7" s="57">
        <v>0.82</v>
      </c>
      <c r="D7" s="57">
        <v>0.83</v>
      </c>
      <c r="E7" s="57">
        <v>0.81</v>
      </c>
      <c r="F7" s="57">
        <v>0.94</v>
      </c>
      <c r="G7" s="57">
        <v>0.8</v>
      </c>
      <c r="H7" s="57">
        <v>0.8</v>
      </c>
      <c r="I7" s="57">
        <v>0.81</v>
      </c>
      <c r="J7" s="57">
        <v>0.76</v>
      </c>
      <c r="K7" s="57">
        <v>0.9</v>
      </c>
      <c r="L7" s="57">
        <v>0.9</v>
      </c>
      <c r="M7" s="57">
        <v>0.81</v>
      </c>
      <c r="N7" s="57">
        <v>0.89</v>
      </c>
      <c r="O7" s="33"/>
      <c r="P7" s="77" t="s">
        <v>590</v>
      </c>
      <c r="Q7" t="str">
        <f>VLOOKUP(P7,GroupLabels!$E$2:$H$145,3,0)</f>
        <v>Cyprus - Modern Greek*</v>
      </c>
    </row>
    <row r="8" spans="1:17" x14ac:dyDescent="0.25">
      <c r="A8" t="str">
        <f>VLOOKUP(P8,GroupLabels!$E$2:$G$145,3,0)</f>
        <v>Dominican Republic - Spanish</v>
      </c>
      <c r="B8" s="57">
        <v>0.94</v>
      </c>
      <c r="C8" s="57">
        <v>0.8</v>
      </c>
      <c r="D8" s="57">
        <v>0.77</v>
      </c>
      <c r="E8" s="57">
        <v>0.79</v>
      </c>
      <c r="F8" s="57">
        <v>0.96</v>
      </c>
      <c r="G8" s="57">
        <v>0.81</v>
      </c>
      <c r="H8" s="57">
        <v>0.84</v>
      </c>
      <c r="I8" s="57">
        <v>0.77</v>
      </c>
      <c r="J8" s="57">
        <v>0.85</v>
      </c>
      <c r="K8" s="57">
        <v>0.9</v>
      </c>
      <c r="L8" s="57">
        <v>0.91</v>
      </c>
      <c r="M8" s="57">
        <v>0.94</v>
      </c>
      <c r="N8" s="57">
        <v>0.85</v>
      </c>
      <c r="O8" s="33"/>
      <c r="P8" s="77" t="s">
        <v>594</v>
      </c>
      <c r="Q8" t="str">
        <f>VLOOKUP(P8,GroupLabels!$E$2:$H$145,3,0)</f>
        <v>Dominican Republic - Spanish</v>
      </c>
    </row>
    <row r="9" spans="1:17" x14ac:dyDescent="0.25">
      <c r="A9" t="str">
        <f>VLOOKUP(P9,GroupLabels!$E$2:$G$145,3,0)</f>
        <v>France - French</v>
      </c>
      <c r="B9" s="57">
        <v>0.9</v>
      </c>
      <c r="C9" s="57">
        <v>0.81</v>
      </c>
      <c r="D9" s="57">
        <v>0.78</v>
      </c>
      <c r="E9" s="57">
        <v>0.73</v>
      </c>
      <c r="F9" s="57">
        <v>0.91</v>
      </c>
      <c r="G9" s="57">
        <v>0.87</v>
      </c>
      <c r="H9" s="57">
        <v>0.8</v>
      </c>
      <c r="I9" s="57">
        <v>0.83</v>
      </c>
      <c r="J9" s="57">
        <v>0.78</v>
      </c>
      <c r="K9" s="57">
        <v>0.89</v>
      </c>
      <c r="L9" s="57">
        <v>0.86</v>
      </c>
      <c r="M9" s="57">
        <v>0.81</v>
      </c>
      <c r="N9" s="57">
        <v>0.8</v>
      </c>
      <c r="O9" s="33"/>
      <c r="P9" s="77" t="s">
        <v>603</v>
      </c>
      <c r="Q9" t="str">
        <f>VLOOKUP(P9,GroupLabels!$E$2:$H$145,3,0)</f>
        <v>France - French</v>
      </c>
    </row>
    <row r="10" spans="1:17" x14ac:dyDescent="0.25">
      <c r="A10" t="str">
        <f>VLOOKUP(P10,GroupLabels!$E$2:$G$145,3,0)</f>
        <v>Germany - German</v>
      </c>
      <c r="B10" s="57">
        <v>0.87</v>
      </c>
      <c r="C10" s="57">
        <v>0.78</v>
      </c>
      <c r="D10" s="57">
        <v>0.78</v>
      </c>
      <c r="E10" s="57">
        <v>0.53</v>
      </c>
      <c r="F10" s="57">
        <v>0.9</v>
      </c>
      <c r="G10" s="57">
        <v>0.82</v>
      </c>
      <c r="H10" s="57">
        <v>0.74</v>
      </c>
      <c r="I10" s="57">
        <v>0.76</v>
      </c>
      <c r="J10" s="57">
        <v>0.8</v>
      </c>
      <c r="K10" s="57">
        <v>0.92</v>
      </c>
      <c r="L10" s="57">
        <v>0.88</v>
      </c>
      <c r="M10" s="57">
        <v>0.91</v>
      </c>
      <c r="N10" s="57">
        <v>0.86</v>
      </c>
      <c r="O10" s="33"/>
      <c r="P10" s="77" t="s">
        <v>607</v>
      </c>
      <c r="Q10" t="str">
        <f>VLOOKUP(P10,GroupLabels!$E$2:$H$145,3,0)</f>
        <v>Germany - German</v>
      </c>
    </row>
    <row r="11" spans="1:17" x14ac:dyDescent="0.25">
      <c r="A11" t="str">
        <f>VLOOKUP(P11,GroupLabels!$E$2:$G$145,3,0)</f>
        <v>Italy - German</v>
      </c>
      <c r="B11" s="57">
        <v>0.89</v>
      </c>
      <c r="C11" s="57">
        <v>0.74</v>
      </c>
      <c r="D11" s="57">
        <v>0.79</v>
      </c>
      <c r="E11" s="57">
        <v>0.66</v>
      </c>
      <c r="F11" s="57">
        <v>0.93</v>
      </c>
      <c r="G11" s="57">
        <v>0.88</v>
      </c>
      <c r="H11" s="57">
        <v>0.77</v>
      </c>
      <c r="I11" s="57">
        <v>0.86</v>
      </c>
      <c r="J11" s="57">
        <v>0.76</v>
      </c>
      <c r="K11" s="57">
        <v>0.91</v>
      </c>
      <c r="L11" s="57">
        <v>0.89</v>
      </c>
      <c r="M11" s="57">
        <v>0.91</v>
      </c>
      <c r="N11" s="57">
        <v>0.84</v>
      </c>
      <c r="O11" s="33"/>
      <c r="P11" s="77" t="s">
        <v>620</v>
      </c>
      <c r="Q11" t="str">
        <f>VLOOKUP(P11,GroupLabels!$E$2:$H$145,3,0)</f>
        <v>Italy - German</v>
      </c>
    </row>
    <row r="12" spans="1:17" x14ac:dyDescent="0.25">
      <c r="A12" t="str">
        <f>VLOOKUP(P12,GroupLabels!$E$2:$G$145,3,0)</f>
        <v>Italy - Italian</v>
      </c>
      <c r="B12" s="57">
        <v>0.91</v>
      </c>
      <c r="C12" s="57">
        <v>0.79</v>
      </c>
      <c r="D12" s="57">
        <v>0.8</v>
      </c>
      <c r="E12" s="57">
        <v>0.7</v>
      </c>
      <c r="F12" s="57">
        <v>0.93</v>
      </c>
      <c r="G12" s="57">
        <v>0.78</v>
      </c>
      <c r="H12" s="57">
        <v>0.77</v>
      </c>
      <c r="I12" s="57">
        <v>0.79</v>
      </c>
      <c r="J12" s="57">
        <v>0.78</v>
      </c>
      <c r="K12" s="57">
        <v>0.9</v>
      </c>
      <c r="L12" s="57">
        <v>0.85</v>
      </c>
      <c r="M12" s="57">
        <v>0.84</v>
      </c>
      <c r="N12" s="57">
        <v>0.8</v>
      </c>
      <c r="O12" s="33"/>
      <c r="P12" s="77" t="s">
        <v>621</v>
      </c>
      <c r="Q12" t="str">
        <f>VLOOKUP(P12,GroupLabels!$E$2:$H$145,3,0)</f>
        <v>Italy - Italian</v>
      </c>
    </row>
    <row r="13" spans="1:17" x14ac:dyDescent="0.25">
      <c r="A13" t="str">
        <f>VLOOKUP(P13,GroupLabels!$E$2:$G$145,3,0)</f>
        <v>Peru - Spanish</v>
      </c>
      <c r="B13" s="57">
        <v>0.94</v>
      </c>
      <c r="C13" s="57">
        <v>0.82</v>
      </c>
      <c r="D13" s="57">
        <v>0.8</v>
      </c>
      <c r="E13" s="57">
        <v>0.83</v>
      </c>
      <c r="F13" s="57">
        <v>0.95</v>
      </c>
      <c r="G13" s="57">
        <v>0.83</v>
      </c>
      <c r="H13" s="57">
        <v>0.83</v>
      </c>
      <c r="I13" s="57">
        <v>0.67</v>
      </c>
      <c r="J13" s="57">
        <v>0.84</v>
      </c>
      <c r="K13" s="57">
        <v>0.92</v>
      </c>
      <c r="L13" s="57">
        <v>0.9</v>
      </c>
      <c r="M13" s="57">
        <v>0.92</v>
      </c>
      <c r="N13" s="57">
        <v>0.9</v>
      </c>
      <c r="O13" s="33"/>
      <c r="P13" s="77" t="s">
        <v>668</v>
      </c>
      <c r="Q13" t="str">
        <f>VLOOKUP(P13,GroupLabels!$E$2:$H$145,3,0)</f>
        <v>Peru - Spanish</v>
      </c>
    </row>
    <row r="14" spans="1:17" x14ac:dyDescent="0.25">
      <c r="A14" t="str">
        <f>VLOOKUP(P14,GroupLabels!$E$2:$G$145,3,0)</f>
        <v>Qatar - Arabic</v>
      </c>
      <c r="B14" s="57">
        <v>0.97</v>
      </c>
      <c r="C14" s="57">
        <v>0.89</v>
      </c>
      <c r="D14" s="57">
        <v>0.9</v>
      </c>
      <c r="E14" s="57">
        <v>0.9</v>
      </c>
      <c r="F14" s="57">
        <v>0.96</v>
      </c>
      <c r="G14" s="57">
        <v>0.81</v>
      </c>
      <c r="H14" s="57">
        <v>0.85</v>
      </c>
      <c r="I14" s="57">
        <v>0.79</v>
      </c>
      <c r="J14" s="57">
        <v>0.87</v>
      </c>
      <c r="K14" s="57">
        <v>0.93</v>
      </c>
      <c r="L14" s="57">
        <v>0.89</v>
      </c>
      <c r="M14" s="57">
        <v>0.97</v>
      </c>
      <c r="N14" s="57">
        <v>0.85</v>
      </c>
      <c r="O14" s="33"/>
      <c r="P14" s="77" t="s">
        <v>672</v>
      </c>
      <c r="Q14" t="str">
        <f>VLOOKUP(P14,GroupLabels!$E$2:$H$145,3,0)</f>
        <v>Qatar - Arabic</v>
      </c>
    </row>
    <row r="15" spans="1:17" x14ac:dyDescent="0.25">
      <c r="A15" t="str">
        <f>VLOOKUP(P15,GroupLabels!$E$2:$G$145,3,0)</f>
        <v>Romania - Romanian</v>
      </c>
      <c r="B15" s="57">
        <v>0.94</v>
      </c>
      <c r="C15" s="57">
        <v>0.87</v>
      </c>
      <c r="D15" s="57">
        <v>0.89</v>
      </c>
      <c r="E15" s="57">
        <v>0.7</v>
      </c>
      <c r="F15" s="57">
        <v>0.95</v>
      </c>
      <c r="G15" s="57">
        <v>0.85</v>
      </c>
      <c r="H15" s="57">
        <v>0.83</v>
      </c>
      <c r="I15" s="57">
        <v>0.83</v>
      </c>
      <c r="J15" s="57">
        <v>0.77</v>
      </c>
      <c r="K15" s="57">
        <v>0.91</v>
      </c>
      <c r="L15" s="57">
        <v>0.85</v>
      </c>
      <c r="M15" s="57">
        <v>0.87</v>
      </c>
      <c r="N15" s="57">
        <v>0.83</v>
      </c>
      <c r="O15" s="33"/>
      <c r="P15" s="77" t="s">
        <v>675</v>
      </c>
      <c r="Q15" t="str">
        <f>VLOOKUP(P15,GroupLabels!$E$2:$H$145,3,0)</f>
        <v>Romania - Romanian</v>
      </c>
    </row>
    <row r="16" spans="1:17" s="3" customFormat="1" x14ac:dyDescent="0.25">
      <c r="A16" s="3" t="str">
        <f>VLOOKUP(P16,GroupLabels!$E$2:$G$145,3,0)</f>
        <v>Chinese Taipei - Chinese</v>
      </c>
      <c r="B16" s="64">
        <v>0.94</v>
      </c>
      <c r="C16" s="64">
        <v>0.88</v>
      </c>
      <c r="D16" s="64">
        <v>0.81</v>
      </c>
      <c r="E16" s="64">
        <v>0.77</v>
      </c>
      <c r="F16" s="64">
        <v>0.91</v>
      </c>
      <c r="G16" s="64">
        <v>0.88</v>
      </c>
      <c r="H16" s="64">
        <v>0.85</v>
      </c>
      <c r="I16" s="64">
        <v>0.84</v>
      </c>
      <c r="J16" s="64">
        <v>0.88</v>
      </c>
      <c r="K16" s="64">
        <v>0.92</v>
      </c>
      <c r="L16" s="64">
        <v>0.89</v>
      </c>
      <c r="M16" s="64">
        <v>0.92</v>
      </c>
      <c r="N16" s="64">
        <v>0.82</v>
      </c>
      <c r="O16" s="40"/>
      <c r="P16" s="94" t="s">
        <v>693</v>
      </c>
      <c r="Q16" s="3" t="str">
        <f>VLOOKUP(P16,GroupLabels!$E$2:$H$145,3,0)</f>
        <v>Chinese Taipei - Chinese</v>
      </c>
    </row>
  </sheetData>
  <sheetProtection formatColumns="0" formatRows="0"/>
  <sortState xmlns:xlrd2="http://schemas.microsoft.com/office/spreadsheetml/2017/richdata2" ref="A7:Q15">
    <sortCondition ref="A7:A15"/>
  </sortState>
  <hyperlinks>
    <hyperlink ref="A1" location="TOC!A1" display="Table of Contents" xr:uid="{6F670BCC-072E-48BC-8289-78192CDFBA5F}"/>
  </hyperlink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0"/>
  <dimension ref="A1:P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0.7109375" customWidth="1"/>
    <col min="2" max="3" width="9.140625" style="8" customWidth="1"/>
    <col min="4" max="4" width="10" style="8" bestFit="1" customWidth="1"/>
    <col min="5" max="5" width="11.7109375" style="8" bestFit="1" customWidth="1"/>
    <col min="6" max="14" width="9.140625" style="8" customWidth="1"/>
    <col min="16" max="16" width="0" hidden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300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111" t="s">
        <v>2581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566</v>
      </c>
      <c r="B6" s="79" t="s">
        <v>358</v>
      </c>
      <c r="C6" s="79" t="s">
        <v>359</v>
      </c>
      <c r="D6" s="79" t="s">
        <v>430</v>
      </c>
      <c r="E6" s="79" t="s">
        <v>405</v>
      </c>
      <c r="F6" s="79" t="s">
        <v>408</v>
      </c>
      <c r="G6" s="79" t="s">
        <v>360</v>
      </c>
      <c r="H6" s="79" t="s">
        <v>361</v>
      </c>
      <c r="I6" s="79" t="s">
        <v>362</v>
      </c>
      <c r="J6" s="79" t="s">
        <v>364</v>
      </c>
      <c r="K6" s="79" t="s">
        <v>429</v>
      </c>
      <c r="L6" s="79" t="s">
        <v>428</v>
      </c>
      <c r="M6" s="79" t="s">
        <v>427</v>
      </c>
      <c r="N6" s="79" t="s">
        <v>431</v>
      </c>
      <c r="O6" s="33"/>
      <c r="P6" s="33"/>
    </row>
    <row r="7" spans="1:16" x14ac:dyDescent="0.25">
      <c r="A7" t="str">
        <f>VLOOKUP(P7,GroupLabels!$E$2:$G$145,3,0)</f>
        <v>Cyprus - Modern Greek*</v>
      </c>
      <c r="B7" s="73">
        <v>15</v>
      </c>
      <c r="C7" s="73">
        <v>5</v>
      </c>
      <c r="D7" s="73">
        <v>6</v>
      </c>
      <c r="E7" s="73">
        <v>5</v>
      </c>
      <c r="F7" s="73">
        <v>7</v>
      </c>
      <c r="G7" s="73">
        <v>4</v>
      </c>
      <c r="H7" s="73">
        <v>6</v>
      </c>
      <c r="I7" s="73">
        <v>4</v>
      </c>
      <c r="J7" s="73">
        <v>6</v>
      </c>
      <c r="K7" s="73">
        <v>6</v>
      </c>
      <c r="L7" s="73">
        <v>5</v>
      </c>
      <c r="M7" s="73">
        <v>6</v>
      </c>
      <c r="N7" s="73">
        <v>6</v>
      </c>
      <c r="O7" s="33"/>
      <c r="P7" s="33" t="s">
        <v>590</v>
      </c>
    </row>
    <row r="8" spans="1:16" x14ac:dyDescent="0.25">
      <c r="A8" t="str">
        <f>VLOOKUP(P8,GroupLabels!$E$2:$G$145,3,0)</f>
        <v>Dominican Republic - Spanish</v>
      </c>
      <c r="B8" s="73">
        <v>15</v>
      </c>
      <c r="C8" s="73">
        <v>5</v>
      </c>
      <c r="D8" s="73">
        <v>6</v>
      </c>
      <c r="E8" s="73">
        <v>5</v>
      </c>
      <c r="F8" s="73">
        <v>7</v>
      </c>
      <c r="G8" s="73">
        <v>4</v>
      </c>
      <c r="H8" s="73">
        <v>6</v>
      </c>
      <c r="I8" s="73">
        <v>4</v>
      </c>
      <c r="J8" s="73">
        <v>6</v>
      </c>
      <c r="K8" s="73">
        <v>6</v>
      </c>
      <c r="L8" s="73">
        <v>5</v>
      </c>
      <c r="M8" s="73">
        <v>6</v>
      </c>
      <c r="N8" s="73">
        <v>6</v>
      </c>
      <c r="O8" s="33"/>
      <c r="P8" s="33" t="s">
        <v>594</v>
      </c>
    </row>
    <row r="9" spans="1:16" x14ac:dyDescent="0.25">
      <c r="A9" t="str">
        <f>VLOOKUP(P9,GroupLabels!$E$2:$G$145,3,0)</f>
        <v>France - French</v>
      </c>
      <c r="B9" s="73">
        <v>15</v>
      </c>
      <c r="C9" s="73">
        <v>5</v>
      </c>
      <c r="D9" s="73">
        <v>6</v>
      </c>
      <c r="E9" s="73">
        <v>5</v>
      </c>
      <c r="F9" s="73">
        <v>7</v>
      </c>
      <c r="G9" s="73">
        <v>4</v>
      </c>
      <c r="H9" s="73">
        <v>6</v>
      </c>
      <c r="I9" s="73">
        <v>4</v>
      </c>
      <c r="J9" s="73">
        <v>6</v>
      </c>
      <c r="K9" s="73">
        <v>6</v>
      </c>
      <c r="L9" s="73">
        <v>5</v>
      </c>
      <c r="M9" s="73">
        <v>6</v>
      </c>
      <c r="N9" s="73">
        <v>6</v>
      </c>
      <c r="O9" s="33"/>
      <c r="P9" s="33" t="s">
        <v>603</v>
      </c>
    </row>
    <row r="10" spans="1:16" x14ac:dyDescent="0.25">
      <c r="A10" t="str">
        <f>VLOOKUP(P10,GroupLabels!$E$2:$G$145,3,0)</f>
        <v>Germany - German</v>
      </c>
      <c r="B10" s="73">
        <v>15</v>
      </c>
      <c r="C10" s="73">
        <v>5</v>
      </c>
      <c r="D10" s="73">
        <v>6</v>
      </c>
      <c r="E10" s="73">
        <v>5</v>
      </c>
      <c r="F10" s="73">
        <v>7</v>
      </c>
      <c r="G10" s="73">
        <v>4</v>
      </c>
      <c r="H10" s="73">
        <v>6</v>
      </c>
      <c r="I10" s="73">
        <v>4</v>
      </c>
      <c r="J10" s="73">
        <v>6</v>
      </c>
      <c r="K10" s="73">
        <v>6</v>
      </c>
      <c r="L10" s="73">
        <v>5</v>
      </c>
      <c r="M10" s="73">
        <v>6</v>
      </c>
      <c r="N10" s="73">
        <v>6</v>
      </c>
      <c r="O10" s="33"/>
      <c r="P10" s="33" t="s">
        <v>607</v>
      </c>
    </row>
    <row r="11" spans="1:16" x14ac:dyDescent="0.25">
      <c r="A11" t="str">
        <f>VLOOKUP(P11,GroupLabels!$E$2:$G$145,3,0)</f>
        <v>Italy - German</v>
      </c>
      <c r="B11" s="73">
        <v>15</v>
      </c>
      <c r="C11" s="73">
        <v>5</v>
      </c>
      <c r="D11" s="73">
        <v>6</v>
      </c>
      <c r="E11" s="73">
        <v>5</v>
      </c>
      <c r="F11" s="73">
        <v>7</v>
      </c>
      <c r="G11" s="73">
        <v>4</v>
      </c>
      <c r="H11" s="73">
        <v>6</v>
      </c>
      <c r="I11" s="73">
        <v>4</v>
      </c>
      <c r="J11" s="73">
        <v>6</v>
      </c>
      <c r="K11" s="73">
        <v>6</v>
      </c>
      <c r="L11" s="73">
        <v>5</v>
      </c>
      <c r="M11" s="73">
        <v>6</v>
      </c>
      <c r="N11" s="73">
        <v>6</v>
      </c>
      <c r="O11" s="33"/>
      <c r="P11" s="33" t="s">
        <v>620</v>
      </c>
    </row>
    <row r="12" spans="1:16" x14ac:dyDescent="0.25">
      <c r="A12" t="str">
        <f>VLOOKUP(P12,GroupLabels!$E$2:$G$145,3,0)</f>
        <v>Italy - Italian</v>
      </c>
      <c r="B12" s="73">
        <v>15</v>
      </c>
      <c r="C12" s="73">
        <v>5</v>
      </c>
      <c r="D12" s="73">
        <v>6</v>
      </c>
      <c r="E12" s="73">
        <v>5</v>
      </c>
      <c r="F12" s="73">
        <v>7</v>
      </c>
      <c r="G12" s="73">
        <v>4</v>
      </c>
      <c r="H12" s="73">
        <v>6</v>
      </c>
      <c r="I12" s="73">
        <v>4</v>
      </c>
      <c r="J12" s="73">
        <v>6</v>
      </c>
      <c r="K12" s="73">
        <v>6</v>
      </c>
      <c r="L12" s="73">
        <v>5</v>
      </c>
      <c r="M12" s="73">
        <v>6</v>
      </c>
      <c r="N12" s="73">
        <v>6</v>
      </c>
      <c r="O12" s="33"/>
      <c r="P12" s="33" t="s">
        <v>621</v>
      </c>
    </row>
    <row r="13" spans="1:16" x14ac:dyDescent="0.25">
      <c r="A13" t="str">
        <f>VLOOKUP(P13,GroupLabels!$E$2:$G$145,3,0)</f>
        <v>Peru - Spanish</v>
      </c>
      <c r="B13" s="73">
        <v>15</v>
      </c>
      <c r="C13" s="73">
        <v>5</v>
      </c>
      <c r="D13" s="73">
        <v>6</v>
      </c>
      <c r="E13" s="73">
        <v>5</v>
      </c>
      <c r="F13" s="73">
        <v>7</v>
      </c>
      <c r="G13" s="73">
        <v>4</v>
      </c>
      <c r="H13" s="73">
        <v>6</v>
      </c>
      <c r="I13" s="73">
        <v>4</v>
      </c>
      <c r="J13" s="73">
        <v>6</v>
      </c>
      <c r="K13" s="73">
        <v>6</v>
      </c>
      <c r="L13" s="73">
        <v>5</v>
      </c>
      <c r="M13" s="73">
        <v>6</v>
      </c>
      <c r="N13" s="73">
        <v>6</v>
      </c>
      <c r="O13" s="33"/>
      <c r="P13" s="33" t="s">
        <v>668</v>
      </c>
    </row>
    <row r="14" spans="1:16" x14ac:dyDescent="0.25">
      <c r="A14" t="str">
        <f>VLOOKUP(P14,GroupLabels!$E$2:$G$145,3,0)</f>
        <v>Qatar - Arabic</v>
      </c>
      <c r="B14" s="73">
        <v>15</v>
      </c>
      <c r="C14" s="73">
        <v>5</v>
      </c>
      <c r="D14" s="73">
        <v>6</v>
      </c>
      <c r="E14" s="73">
        <v>5</v>
      </c>
      <c r="F14" s="73">
        <v>7</v>
      </c>
      <c r="G14" s="73">
        <v>4</v>
      </c>
      <c r="H14" s="73">
        <v>6</v>
      </c>
      <c r="I14" s="73">
        <v>4</v>
      </c>
      <c r="J14" s="73">
        <v>6</v>
      </c>
      <c r="K14" s="73">
        <v>6</v>
      </c>
      <c r="L14" s="73">
        <v>5</v>
      </c>
      <c r="M14" s="73">
        <v>6</v>
      </c>
      <c r="N14" s="73">
        <v>6</v>
      </c>
      <c r="O14" s="33"/>
      <c r="P14" s="33" t="s">
        <v>672</v>
      </c>
    </row>
    <row r="15" spans="1:16" x14ac:dyDescent="0.25">
      <c r="A15" t="str">
        <f>VLOOKUP(P15,GroupLabels!$E$2:$G$145,3,0)</f>
        <v>Romania - Romanian</v>
      </c>
      <c r="B15" s="73">
        <v>15</v>
      </c>
      <c r="C15" s="73">
        <v>5</v>
      </c>
      <c r="D15" s="73">
        <v>6</v>
      </c>
      <c r="E15" s="73">
        <v>5</v>
      </c>
      <c r="F15" s="73">
        <v>7</v>
      </c>
      <c r="G15" s="73">
        <v>4</v>
      </c>
      <c r="H15" s="73">
        <v>6</v>
      </c>
      <c r="I15" s="73">
        <v>4</v>
      </c>
      <c r="J15" s="73">
        <v>6</v>
      </c>
      <c r="K15" s="73">
        <v>6</v>
      </c>
      <c r="L15" s="73">
        <v>5</v>
      </c>
      <c r="M15" s="73">
        <v>6</v>
      </c>
      <c r="N15" s="73">
        <v>6</v>
      </c>
      <c r="O15" s="33"/>
      <c r="P15" s="33" t="s">
        <v>675</v>
      </c>
    </row>
    <row r="16" spans="1:16" x14ac:dyDescent="0.25">
      <c r="A16" s="3" t="str">
        <f>VLOOKUP(P16,GroupLabels!$E$2:$G$145,3,0)</f>
        <v>Chinese Taipei - Chinese</v>
      </c>
      <c r="B16" s="75">
        <v>15</v>
      </c>
      <c r="C16" s="75">
        <v>5</v>
      </c>
      <c r="D16" s="75">
        <v>6</v>
      </c>
      <c r="E16" s="75">
        <v>5</v>
      </c>
      <c r="F16" s="75">
        <v>7</v>
      </c>
      <c r="G16" s="75">
        <v>4</v>
      </c>
      <c r="H16" s="75">
        <v>6</v>
      </c>
      <c r="I16" s="75">
        <v>4</v>
      </c>
      <c r="J16" s="75">
        <v>6</v>
      </c>
      <c r="K16" s="75">
        <v>6</v>
      </c>
      <c r="L16" s="75">
        <v>5</v>
      </c>
      <c r="M16" s="75">
        <v>6</v>
      </c>
      <c r="N16" s="75">
        <v>6</v>
      </c>
      <c r="O16" s="33"/>
      <c r="P16" s="33" t="s">
        <v>693</v>
      </c>
    </row>
  </sheetData>
  <sheetProtection formatColumns="0" formatRows="0"/>
  <sortState xmlns:xlrd2="http://schemas.microsoft.com/office/spreadsheetml/2017/richdata2" ref="A7:P15">
    <sortCondition ref="A7:A15"/>
  </sortState>
  <hyperlinks>
    <hyperlink ref="A1" location="TOC!A1" display="Table of Contents" xr:uid="{F358000B-CC34-4CD4-A53E-C562BEE61E15}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1"/>
  <dimension ref="A1:P16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41.7109375" customWidth="1"/>
    <col min="16" max="16" width="0" hidden="1"/>
  </cols>
  <sheetData>
    <row r="1" spans="1:16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4" t="s">
        <v>302</v>
      </c>
      <c r="B3" s="7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111" t="s">
        <v>2582</v>
      </c>
      <c r="B4" s="7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x14ac:dyDescent="0.25">
      <c r="A5" s="33"/>
      <c r="B5" s="7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65" t="s">
        <v>566</v>
      </c>
      <c r="B6" s="65" t="s">
        <v>358</v>
      </c>
      <c r="C6" s="65" t="s">
        <v>359</v>
      </c>
      <c r="D6" s="65" t="s">
        <v>360</v>
      </c>
      <c r="E6" s="65" t="s">
        <v>361</v>
      </c>
      <c r="F6" s="65" t="s">
        <v>362</v>
      </c>
      <c r="G6" s="65" t="s">
        <v>364</v>
      </c>
      <c r="H6" s="33"/>
      <c r="I6" s="33"/>
      <c r="J6" s="33"/>
      <c r="K6" s="33"/>
      <c r="L6" s="33"/>
      <c r="M6" s="33"/>
      <c r="N6" s="33"/>
      <c r="O6" s="33"/>
      <c r="P6" s="33"/>
    </row>
    <row r="7" spans="1:16" x14ac:dyDescent="0.25">
      <c r="A7" t="str">
        <f>VLOOKUP(P7,GroupLabels!$E$2:$G$145,3,0)</f>
        <v>Cyprus - Modern Greek*</v>
      </c>
      <c r="B7" s="33">
        <v>11</v>
      </c>
      <c r="C7" s="33">
        <v>4</v>
      </c>
      <c r="D7" s="33">
        <v>4</v>
      </c>
      <c r="E7" s="33">
        <v>4</v>
      </c>
      <c r="F7" s="33">
        <v>4</v>
      </c>
      <c r="G7" s="33">
        <v>4</v>
      </c>
      <c r="H7" s="33"/>
      <c r="I7" s="33"/>
      <c r="J7" s="33"/>
      <c r="K7" s="33"/>
      <c r="L7" s="33"/>
      <c r="M7" s="33"/>
      <c r="N7" s="33"/>
      <c r="O7" s="33"/>
      <c r="P7" s="33" t="s">
        <v>590</v>
      </c>
    </row>
    <row r="8" spans="1:16" x14ac:dyDescent="0.25">
      <c r="A8" t="str">
        <f>VLOOKUP(P8,GroupLabels!$E$2:$G$145,3,0)</f>
        <v>Dominican Republic - Spanish</v>
      </c>
      <c r="B8" s="33">
        <v>11</v>
      </c>
      <c r="C8" s="33">
        <v>4</v>
      </c>
      <c r="D8" s="33">
        <v>4</v>
      </c>
      <c r="E8" s="33">
        <v>4</v>
      </c>
      <c r="F8" s="33">
        <v>4</v>
      </c>
      <c r="G8" s="33">
        <v>4</v>
      </c>
      <c r="H8" s="33"/>
      <c r="I8" s="33"/>
      <c r="J8" s="33"/>
      <c r="K8" s="33"/>
      <c r="L8" s="33"/>
      <c r="M8" s="33"/>
      <c r="N8" s="33"/>
      <c r="O8" s="33"/>
      <c r="P8" s="33" t="s">
        <v>594</v>
      </c>
    </row>
    <row r="9" spans="1:16" x14ac:dyDescent="0.25">
      <c r="A9" t="str">
        <f>VLOOKUP(P9,GroupLabels!$E$2:$G$145,3,0)</f>
        <v>France - French</v>
      </c>
      <c r="B9" s="33">
        <v>11</v>
      </c>
      <c r="C9" s="33">
        <v>4</v>
      </c>
      <c r="D9" s="33">
        <v>4</v>
      </c>
      <c r="E9" s="33">
        <v>4</v>
      </c>
      <c r="F9" s="33">
        <v>4</v>
      </c>
      <c r="G9" s="33">
        <v>4</v>
      </c>
      <c r="H9" s="33"/>
      <c r="I9" s="33"/>
      <c r="J9" s="33"/>
      <c r="K9" s="33"/>
      <c r="L9" s="33"/>
      <c r="M9" s="33"/>
      <c r="N9" s="33"/>
      <c r="O9" s="33"/>
      <c r="P9" s="33" t="s">
        <v>603</v>
      </c>
    </row>
    <row r="10" spans="1:16" x14ac:dyDescent="0.25">
      <c r="A10" t="str">
        <f>VLOOKUP(P10,GroupLabels!$E$2:$G$145,3,0)</f>
        <v>Germany - German</v>
      </c>
      <c r="B10" s="33">
        <v>11</v>
      </c>
      <c r="C10" s="33">
        <v>4</v>
      </c>
      <c r="D10" s="33">
        <v>4</v>
      </c>
      <c r="E10" s="33">
        <v>4</v>
      </c>
      <c r="F10" s="33">
        <v>4</v>
      </c>
      <c r="G10" s="33">
        <v>4</v>
      </c>
      <c r="H10" s="33"/>
      <c r="I10" s="33"/>
      <c r="J10" s="33"/>
      <c r="K10" s="33"/>
      <c r="L10" s="33"/>
      <c r="M10" s="33"/>
      <c r="N10" s="33"/>
      <c r="O10" s="33"/>
      <c r="P10" s="33" t="s">
        <v>607</v>
      </c>
    </row>
    <row r="11" spans="1:16" x14ac:dyDescent="0.25">
      <c r="A11" t="str">
        <f>VLOOKUP(P11,GroupLabels!$E$2:$G$145,3,0)</f>
        <v>Italy - German</v>
      </c>
      <c r="B11" s="33">
        <v>11</v>
      </c>
      <c r="C11" s="33">
        <v>4</v>
      </c>
      <c r="D11" s="33">
        <v>4</v>
      </c>
      <c r="E11" s="33">
        <v>4</v>
      </c>
      <c r="F11" s="33">
        <v>4</v>
      </c>
      <c r="G11" s="33">
        <v>4</v>
      </c>
      <c r="H11" s="33"/>
      <c r="I11" s="33"/>
      <c r="J11" s="33"/>
      <c r="K11" s="33"/>
      <c r="L11" s="33"/>
      <c r="M11" s="33"/>
      <c r="N11" s="33"/>
      <c r="O11" s="33"/>
      <c r="P11" s="33" t="s">
        <v>620</v>
      </c>
    </row>
    <row r="12" spans="1:16" x14ac:dyDescent="0.25">
      <c r="A12" t="str">
        <f>VLOOKUP(P12,GroupLabels!$E$2:$G$145,3,0)</f>
        <v>Italy - Italian</v>
      </c>
      <c r="B12" s="33">
        <v>11</v>
      </c>
      <c r="C12" s="33">
        <v>4</v>
      </c>
      <c r="D12" s="33">
        <v>4</v>
      </c>
      <c r="E12" s="33">
        <v>4</v>
      </c>
      <c r="F12" s="33">
        <v>4</v>
      </c>
      <c r="G12" s="33">
        <v>4</v>
      </c>
      <c r="H12" s="33"/>
      <c r="I12" s="33"/>
      <c r="J12" s="33"/>
      <c r="K12" s="33"/>
      <c r="L12" s="33"/>
      <c r="M12" s="33"/>
      <c r="N12" s="33"/>
      <c r="O12" s="33"/>
      <c r="P12" s="33" t="s">
        <v>621</v>
      </c>
    </row>
    <row r="13" spans="1:16" x14ac:dyDescent="0.25">
      <c r="A13" t="str">
        <f>VLOOKUP(P13,GroupLabels!$E$2:$G$145,3,0)</f>
        <v>Peru - Spanish</v>
      </c>
      <c r="B13" s="33">
        <v>11</v>
      </c>
      <c r="C13" s="33">
        <v>4</v>
      </c>
      <c r="D13" s="33">
        <v>4</v>
      </c>
      <c r="E13" s="33">
        <v>4</v>
      </c>
      <c r="F13" s="33">
        <v>4</v>
      </c>
      <c r="G13" s="33">
        <v>4</v>
      </c>
      <c r="H13" s="33"/>
      <c r="I13" s="33"/>
      <c r="J13" s="33"/>
      <c r="K13" s="33"/>
      <c r="L13" s="33"/>
      <c r="M13" s="33"/>
      <c r="N13" s="33"/>
      <c r="O13" s="33"/>
      <c r="P13" s="33" t="s">
        <v>668</v>
      </c>
    </row>
    <row r="14" spans="1:16" x14ac:dyDescent="0.25">
      <c r="A14" t="str">
        <f>VLOOKUP(P14,GroupLabels!$E$2:$G$145,3,0)</f>
        <v>Qatar - Arabic</v>
      </c>
      <c r="B14" s="33">
        <v>11</v>
      </c>
      <c r="C14" s="33">
        <v>4</v>
      </c>
      <c r="D14" s="33">
        <v>4</v>
      </c>
      <c r="E14" s="33">
        <v>4</v>
      </c>
      <c r="F14" s="33">
        <v>4</v>
      </c>
      <c r="G14" s="33">
        <v>4</v>
      </c>
      <c r="H14" s="33"/>
      <c r="I14" s="33"/>
      <c r="J14" s="33"/>
      <c r="K14" s="33"/>
      <c r="L14" s="33"/>
      <c r="M14" s="33"/>
      <c r="N14" s="33"/>
      <c r="O14" s="33"/>
      <c r="P14" s="33" t="s">
        <v>672</v>
      </c>
    </row>
    <row r="15" spans="1:16" x14ac:dyDescent="0.25">
      <c r="A15" t="str">
        <f>VLOOKUP(P15,GroupLabels!$E$2:$G$145,3,0)</f>
        <v>Romania - Romanian</v>
      </c>
      <c r="B15" s="33">
        <v>11</v>
      </c>
      <c r="C15" s="33">
        <v>4</v>
      </c>
      <c r="D15" s="33">
        <v>4</v>
      </c>
      <c r="E15" s="33">
        <v>4</v>
      </c>
      <c r="F15" s="33">
        <v>4</v>
      </c>
      <c r="G15" s="33">
        <v>4</v>
      </c>
      <c r="H15" s="33"/>
      <c r="I15" s="33"/>
      <c r="J15" s="33"/>
      <c r="K15" s="33"/>
      <c r="L15" s="33"/>
      <c r="M15" s="33"/>
      <c r="N15" s="33"/>
      <c r="O15" s="33"/>
      <c r="P15" s="33" t="s">
        <v>675</v>
      </c>
    </row>
    <row r="16" spans="1:16" x14ac:dyDescent="0.25">
      <c r="A16" s="3" t="str">
        <f>VLOOKUP(P16,GroupLabels!$E$2:$G$145,3,0)</f>
        <v>Chinese Taipei - Chinese</v>
      </c>
      <c r="B16" s="40">
        <v>11</v>
      </c>
      <c r="C16" s="40">
        <v>4</v>
      </c>
      <c r="D16" s="40">
        <v>4</v>
      </c>
      <c r="E16" s="40">
        <v>4</v>
      </c>
      <c r="F16" s="40">
        <v>4</v>
      </c>
      <c r="G16" s="40">
        <v>4</v>
      </c>
      <c r="H16" s="33"/>
      <c r="I16" s="33"/>
      <c r="J16" s="33"/>
      <c r="K16" s="33"/>
      <c r="L16" s="33"/>
      <c r="M16" s="33"/>
      <c r="N16" s="33"/>
      <c r="O16" s="33"/>
      <c r="P16" s="33" t="s">
        <v>693</v>
      </c>
    </row>
  </sheetData>
  <sheetProtection formatColumns="0" formatRows="0"/>
  <sortState xmlns:xlrd2="http://schemas.microsoft.com/office/spreadsheetml/2017/richdata2" ref="A7:P15">
    <sortCondition ref="A7:A15"/>
  </sortState>
  <hyperlinks>
    <hyperlink ref="A1" location="TOC!A1" display="Table of Contents" xr:uid="{3F36B151-FCE3-4073-9163-E0DCF4A37C68}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2"/>
  <dimension ref="A1:D7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7.7109375" customWidth="1"/>
    <col min="2" max="2" width="24.42578125" customWidth="1"/>
  </cols>
  <sheetData>
    <row r="1" spans="1:4" x14ac:dyDescent="0.25">
      <c r="A1" s="141" t="s">
        <v>316</v>
      </c>
      <c r="B1" s="32"/>
      <c r="C1" s="33"/>
      <c r="D1" s="33"/>
    </row>
    <row r="2" spans="1:4" x14ac:dyDescent="0.25">
      <c r="A2" s="33"/>
      <c r="B2" s="33"/>
      <c r="C2" s="33"/>
      <c r="D2" s="33"/>
    </row>
    <row r="3" spans="1:4" x14ac:dyDescent="0.25">
      <c r="A3" s="34" t="s">
        <v>304</v>
      </c>
      <c r="B3" s="33"/>
      <c r="C3" s="33"/>
      <c r="D3" s="33"/>
    </row>
    <row r="4" spans="1:4" x14ac:dyDescent="0.25">
      <c r="A4" s="111" t="s">
        <v>2583</v>
      </c>
      <c r="B4" s="33"/>
      <c r="C4" s="33"/>
      <c r="D4" s="33"/>
    </row>
    <row r="5" spans="1:4" x14ac:dyDescent="0.25">
      <c r="A5" s="33"/>
      <c r="B5" s="33"/>
      <c r="C5" s="33"/>
      <c r="D5" s="33"/>
    </row>
    <row r="6" spans="1:4" x14ac:dyDescent="0.25">
      <c r="A6" s="65" t="s">
        <v>317</v>
      </c>
      <c r="B6" s="65" t="s">
        <v>709</v>
      </c>
      <c r="C6" s="33"/>
      <c r="D6" s="33"/>
    </row>
    <row r="7" spans="1:4" x14ac:dyDescent="0.25">
      <c r="A7" s="117" t="s">
        <v>405</v>
      </c>
      <c r="B7" s="117" t="s">
        <v>1789</v>
      </c>
      <c r="C7" s="33"/>
      <c r="D7" s="33"/>
    </row>
  </sheetData>
  <sheetProtection formatColumns="0" formatRows="0"/>
  <hyperlinks>
    <hyperlink ref="A1" location="TOC!A1" display="Table of Contents" xr:uid="{9002BF26-C1D4-41C6-B470-4D45F81EDCF4}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3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7109375" customWidth="1"/>
    <col min="2" max="2" width="16.42578125" customWidth="1"/>
    <col min="3" max="3" width="66" customWidth="1"/>
    <col min="4" max="8" width="9.140625" style="2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306</v>
      </c>
      <c r="B3" s="33"/>
      <c r="C3" s="33"/>
      <c r="D3" s="33"/>
      <c r="E3" s="33"/>
      <c r="F3" s="33"/>
      <c r="G3" s="33"/>
      <c r="H3" s="33"/>
    </row>
    <row r="4" spans="1:8" x14ac:dyDescent="0.25">
      <c r="A4" s="111" t="s">
        <v>307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</row>
    <row r="7" spans="1:8" x14ac:dyDescent="0.25">
      <c r="A7" s="33" t="s">
        <v>782</v>
      </c>
      <c r="B7" s="33" t="s">
        <v>2584</v>
      </c>
      <c r="C7" s="33" t="s">
        <v>2585</v>
      </c>
      <c r="D7" s="53">
        <v>1.0188900000000001</v>
      </c>
      <c r="E7" s="53">
        <v>-1.52014</v>
      </c>
      <c r="F7" s="53">
        <v>-1.17398</v>
      </c>
      <c r="G7" s="53">
        <v>-1.0208299999999999</v>
      </c>
      <c r="H7" s="53">
        <v>2.1948099999999999</v>
      </c>
    </row>
    <row r="8" spans="1:8" x14ac:dyDescent="0.25">
      <c r="A8" s="33" t="s">
        <v>782</v>
      </c>
      <c r="B8" s="33" t="s">
        <v>2586</v>
      </c>
      <c r="C8" s="33" t="s">
        <v>2587</v>
      </c>
      <c r="D8" s="53">
        <v>0.93964000000000003</v>
      </c>
      <c r="E8" s="53">
        <v>-2.111689999999999</v>
      </c>
      <c r="F8" s="53">
        <v>-5.645E-2</v>
      </c>
      <c r="G8" s="53">
        <v>-1.2067699999999999</v>
      </c>
      <c r="H8" s="53">
        <v>1.26322</v>
      </c>
    </row>
    <row r="9" spans="1:8" x14ac:dyDescent="0.25">
      <c r="A9" s="33" t="s">
        <v>782</v>
      </c>
      <c r="B9" s="33" t="s">
        <v>2588</v>
      </c>
      <c r="C9" s="33" t="s">
        <v>2589</v>
      </c>
      <c r="D9" s="53">
        <v>5</v>
      </c>
      <c r="E9" s="53">
        <v>-3.3116100000000008</v>
      </c>
      <c r="F9" s="53">
        <v>-5.0644299999999998</v>
      </c>
      <c r="G9" s="53">
        <v>-0.57415000000000005</v>
      </c>
      <c r="H9" s="53">
        <v>5.638580000000001</v>
      </c>
    </row>
    <row r="10" spans="1:8" x14ac:dyDescent="0.25">
      <c r="A10" s="33" t="s">
        <v>782</v>
      </c>
      <c r="B10" s="33" t="s">
        <v>2590</v>
      </c>
      <c r="C10" s="33" t="s">
        <v>2591</v>
      </c>
      <c r="D10" s="53">
        <v>5</v>
      </c>
      <c r="E10" s="53">
        <v>-2.5768599999999999</v>
      </c>
      <c r="F10" s="53">
        <v>-5.5111699999999999</v>
      </c>
      <c r="G10" s="53">
        <v>-0.52237</v>
      </c>
      <c r="H10" s="53">
        <v>6.0335400000000012</v>
      </c>
    </row>
    <row r="11" spans="1:8" x14ac:dyDescent="0.25">
      <c r="A11" s="33" t="s">
        <v>782</v>
      </c>
      <c r="B11" s="33" t="s">
        <v>2592</v>
      </c>
      <c r="C11" s="33" t="s">
        <v>2593</v>
      </c>
      <c r="D11" s="53">
        <v>0.79925000000000002</v>
      </c>
      <c r="E11" s="53">
        <v>-1.16049</v>
      </c>
      <c r="F11" s="53">
        <v>-0.46754000000000001</v>
      </c>
      <c r="G11" s="53">
        <v>-0.27018999999999999</v>
      </c>
      <c r="H11" s="53">
        <v>0.73773</v>
      </c>
    </row>
    <row r="12" spans="1:8" x14ac:dyDescent="0.25">
      <c r="A12" s="40" t="s">
        <v>782</v>
      </c>
      <c r="B12" s="40" t="s">
        <v>2594</v>
      </c>
      <c r="C12" s="40" t="s">
        <v>2595</v>
      </c>
      <c r="D12" s="78">
        <v>1.16252</v>
      </c>
      <c r="E12" s="78">
        <v>-0.99614999999999998</v>
      </c>
      <c r="F12" s="78">
        <v>-2.0391699999999999</v>
      </c>
      <c r="G12" s="78">
        <v>-0.3735500000000001</v>
      </c>
      <c r="H12" s="78">
        <v>2.4127200000000002</v>
      </c>
    </row>
  </sheetData>
  <sheetProtection formatColumns="0" formatRows="0"/>
  <hyperlinks>
    <hyperlink ref="A1" location="TOC!A1" display="Table of Contents" xr:uid="{309A5F20-1A55-472D-AA79-90FCF48AD62F}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54"/>
  <dimension ref="A1:H11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7109375" customWidth="1"/>
    <col min="2" max="2" width="16.42578125" customWidth="1"/>
    <col min="3" max="3" width="66" customWidth="1"/>
    <col min="4" max="8" width="9.140625" style="2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308</v>
      </c>
      <c r="B3" s="33"/>
      <c r="C3" s="33"/>
      <c r="D3" s="33"/>
      <c r="E3" s="33"/>
      <c r="F3" s="33"/>
      <c r="G3" s="33"/>
      <c r="H3" s="33"/>
    </row>
    <row r="4" spans="1:8" x14ac:dyDescent="0.25">
      <c r="A4" s="111" t="s">
        <v>309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</row>
    <row r="7" spans="1:8" x14ac:dyDescent="0.25">
      <c r="A7" s="33" t="s">
        <v>782</v>
      </c>
      <c r="B7" s="33" t="s">
        <v>2596</v>
      </c>
      <c r="C7" s="33" t="s">
        <v>2597</v>
      </c>
      <c r="D7" s="53">
        <v>2.2483900000000001</v>
      </c>
      <c r="E7" s="53">
        <v>-3.5802200000000002</v>
      </c>
      <c r="F7" s="53">
        <v>-3.1626699999999999</v>
      </c>
      <c r="G7" s="53">
        <v>-0.48363</v>
      </c>
      <c r="H7" s="53">
        <v>3.6463000000000001</v>
      </c>
    </row>
    <row r="8" spans="1:8" x14ac:dyDescent="0.25">
      <c r="A8" s="33" t="s">
        <v>782</v>
      </c>
      <c r="B8" s="33" t="s">
        <v>2598</v>
      </c>
      <c r="C8" s="33" t="s">
        <v>2599</v>
      </c>
      <c r="D8" s="53">
        <v>2.766020000000001</v>
      </c>
      <c r="E8" s="53">
        <v>-4.0229700000000008</v>
      </c>
      <c r="F8" s="53">
        <v>-4.0343299999999997</v>
      </c>
      <c r="G8" s="53">
        <v>-0.65978999999999999</v>
      </c>
      <c r="H8" s="53">
        <v>4.694119999999999</v>
      </c>
    </row>
    <row r="9" spans="1:8" x14ac:dyDescent="0.25">
      <c r="A9" s="33" t="s">
        <v>782</v>
      </c>
      <c r="B9" s="33" t="s">
        <v>2600</v>
      </c>
      <c r="C9" s="33" t="s">
        <v>2601</v>
      </c>
      <c r="D9" s="53">
        <v>3.494870000000001</v>
      </c>
      <c r="E9" s="53">
        <v>-5.2650199999999998</v>
      </c>
      <c r="F9" s="53">
        <v>-5.0379599999999991</v>
      </c>
      <c r="G9" s="53">
        <v>-1.09212</v>
      </c>
      <c r="H9" s="53">
        <v>6.1300799999999986</v>
      </c>
    </row>
    <row r="10" spans="1:8" x14ac:dyDescent="0.25">
      <c r="A10" s="33" t="s">
        <v>782</v>
      </c>
      <c r="B10" s="33" t="s">
        <v>2602</v>
      </c>
      <c r="C10" s="33" t="s">
        <v>2603</v>
      </c>
      <c r="D10" s="53">
        <v>4.2449300000000001</v>
      </c>
      <c r="E10" s="53">
        <v>-5.7797200000000002</v>
      </c>
      <c r="F10" s="53">
        <v>-5.9878099999999987</v>
      </c>
      <c r="G10" s="53">
        <v>-0.57093000000000005</v>
      </c>
      <c r="H10" s="53">
        <v>6.5587400000000002</v>
      </c>
    </row>
    <row r="11" spans="1:8" x14ac:dyDescent="0.25">
      <c r="A11" s="40" t="s">
        <v>782</v>
      </c>
      <c r="B11" s="40" t="s">
        <v>2604</v>
      </c>
      <c r="C11" s="40" t="s">
        <v>2605</v>
      </c>
      <c r="D11" s="78">
        <v>4.6741500000000009</v>
      </c>
      <c r="E11" s="78">
        <v>-7.1304100000000004</v>
      </c>
      <c r="F11" s="78">
        <v>-6.5718199999999998</v>
      </c>
      <c r="G11" s="78">
        <v>-0.69720000000000004</v>
      </c>
      <c r="H11" s="78">
        <v>7.2690200000000003</v>
      </c>
    </row>
  </sheetData>
  <sheetProtection formatColumns="0" formatRows="0"/>
  <hyperlinks>
    <hyperlink ref="A1" location="TOC!A1" display="Table of Contents" xr:uid="{C7D9E5F2-F68B-4FF0-9A81-56641A73990C}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55"/>
  <dimension ref="A1:H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7109375" customWidth="1"/>
    <col min="2" max="2" width="16.42578125" customWidth="1"/>
    <col min="3" max="3" width="66" customWidth="1"/>
    <col min="4" max="8" width="9.140625" style="2" customWidth="1"/>
  </cols>
  <sheetData>
    <row r="1" spans="1:8" x14ac:dyDescent="0.25">
      <c r="A1" s="141" t="s">
        <v>316</v>
      </c>
      <c r="B1" s="32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3"/>
      <c r="H2" s="33"/>
    </row>
    <row r="3" spans="1:8" x14ac:dyDescent="0.25">
      <c r="A3" s="34" t="s">
        <v>310</v>
      </c>
      <c r="B3" s="33"/>
      <c r="C3" s="33"/>
      <c r="D3" s="33"/>
      <c r="E3" s="33"/>
      <c r="F3" s="33"/>
      <c r="G3" s="33"/>
      <c r="H3" s="33"/>
    </row>
    <row r="4" spans="1:8" x14ac:dyDescent="0.25">
      <c r="A4" s="111" t="s">
        <v>311</v>
      </c>
      <c r="B4" s="33"/>
      <c r="C4" s="33"/>
      <c r="D4" s="33"/>
      <c r="E4" s="33"/>
      <c r="F4" s="33"/>
      <c r="G4" s="33"/>
      <c r="H4" s="33"/>
    </row>
    <row r="5" spans="1:8" x14ac:dyDescent="0.25">
      <c r="A5" s="33"/>
      <c r="B5" s="33"/>
      <c r="C5" s="33"/>
      <c r="D5" s="33"/>
      <c r="E5" s="33"/>
      <c r="F5" s="33"/>
      <c r="G5" s="33"/>
      <c r="H5" s="33"/>
    </row>
    <row r="6" spans="1:8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</row>
    <row r="7" spans="1:8" x14ac:dyDescent="0.25">
      <c r="A7" s="33" t="s">
        <v>782</v>
      </c>
      <c r="B7" s="33" t="s">
        <v>2606</v>
      </c>
      <c r="C7" s="33" t="s">
        <v>2607</v>
      </c>
      <c r="D7" s="53">
        <v>3.58562</v>
      </c>
      <c r="E7" s="53">
        <v>-6.2728599999999997</v>
      </c>
      <c r="F7" s="53">
        <v>-3.3070499999999989</v>
      </c>
      <c r="G7" s="53">
        <v>-0.42159000000000008</v>
      </c>
      <c r="H7" s="53">
        <v>3.72864</v>
      </c>
    </row>
    <row r="8" spans="1:8" x14ac:dyDescent="0.25">
      <c r="A8" s="33" t="s">
        <v>782</v>
      </c>
      <c r="B8" s="33" t="s">
        <v>2608</v>
      </c>
      <c r="C8" s="33" t="s">
        <v>2609</v>
      </c>
      <c r="D8" s="53">
        <v>1.6811199999999999</v>
      </c>
      <c r="E8" s="53">
        <v>-2.227139999999999</v>
      </c>
      <c r="F8" s="53">
        <v>-1.42716</v>
      </c>
      <c r="G8" s="53">
        <v>-6.6369999999999985E-2</v>
      </c>
      <c r="H8" s="53">
        <v>1.49353</v>
      </c>
    </row>
    <row r="9" spans="1:8" x14ac:dyDescent="0.25">
      <c r="A9" s="33" t="s">
        <v>782</v>
      </c>
      <c r="B9" s="33" t="s">
        <v>2610</v>
      </c>
      <c r="C9" s="33" t="s">
        <v>2611</v>
      </c>
      <c r="D9" s="53">
        <v>2.6096900000000001</v>
      </c>
      <c r="E9" s="53">
        <v>-4.8161300000000011</v>
      </c>
      <c r="F9" s="53">
        <v>-2.6010499999999999</v>
      </c>
      <c r="G9" s="53">
        <v>-0.50038000000000005</v>
      </c>
      <c r="H9" s="53">
        <v>3.1014300000000001</v>
      </c>
    </row>
    <row r="10" spans="1:8" x14ac:dyDescent="0.25">
      <c r="A10" s="33" t="s">
        <v>782</v>
      </c>
      <c r="B10" s="33" t="s">
        <v>2612</v>
      </c>
      <c r="C10" s="33" t="s">
        <v>2613</v>
      </c>
      <c r="D10" s="53">
        <v>4.6572799999999992</v>
      </c>
      <c r="E10" s="53">
        <v>-8.4829700000000017</v>
      </c>
      <c r="F10" s="53">
        <v>-4.2864699999999996</v>
      </c>
      <c r="G10" s="53">
        <v>-0.33515</v>
      </c>
      <c r="H10" s="53">
        <v>4.6216199999999992</v>
      </c>
    </row>
    <row r="11" spans="1:8" x14ac:dyDescent="0.25">
      <c r="A11" s="33" t="s">
        <v>782</v>
      </c>
      <c r="B11" s="33" t="s">
        <v>2614</v>
      </c>
      <c r="C11" s="33" t="s">
        <v>2615</v>
      </c>
      <c r="D11" s="53">
        <v>3.76755</v>
      </c>
      <c r="E11" s="53">
        <v>-6.4772800000000004</v>
      </c>
      <c r="F11" s="53">
        <v>-3.53112</v>
      </c>
      <c r="G11" s="53">
        <v>-0.20679</v>
      </c>
      <c r="H11" s="53">
        <v>3.7379099999999998</v>
      </c>
    </row>
    <row r="12" spans="1:8" x14ac:dyDescent="0.25">
      <c r="A12" s="40" t="s">
        <v>782</v>
      </c>
      <c r="B12" s="40" t="s">
        <v>2616</v>
      </c>
      <c r="C12" s="40" t="s">
        <v>2617</v>
      </c>
      <c r="D12" s="78">
        <v>1.75928</v>
      </c>
      <c r="E12" s="78">
        <v>-2.2381099999999998</v>
      </c>
      <c r="F12" s="78">
        <v>-1.64575</v>
      </c>
      <c r="G12" s="78">
        <v>-0.24188999999999999</v>
      </c>
      <c r="H12" s="78">
        <v>1.88764</v>
      </c>
    </row>
  </sheetData>
  <sheetProtection formatColumns="0" formatRows="0"/>
  <hyperlinks>
    <hyperlink ref="A1" location="TOC!A1" display="Table of Contents" xr:uid="{89DD1F43-6C16-44BA-BDC9-0246F8E2DEFB}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56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7109375" customWidth="1"/>
    <col min="2" max="2" width="16.42578125" customWidth="1"/>
    <col min="3" max="3" width="66" customWidth="1"/>
    <col min="4" max="9" width="9.140625" style="2" customWidth="1"/>
  </cols>
  <sheetData>
    <row r="1" spans="1:9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312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11" t="s">
        <v>313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86" t="s">
        <v>780</v>
      </c>
    </row>
    <row r="7" spans="1:9" x14ac:dyDescent="0.25">
      <c r="A7" s="33" t="s">
        <v>782</v>
      </c>
      <c r="B7" s="33" t="s">
        <v>2618</v>
      </c>
      <c r="C7" s="33" t="s">
        <v>2619</v>
      </c>
      <c r="D7" s="53">
        <v>0.68903999999999999</v>
      </c>
      <c r="E7" s="53">
        <v>0.41377000000000008</v>
      </c>
      <c r="F7" s="53">
        <v>-0.45911000000000002</v>
      </c>
      <c r="G7" s="53">
        <v>-0.12878000000000001</v>
      </c>
      <c r="H7" s="53">
        <v>0.17607</v>
      </c>
      <c r="I7" s="53">
        <v>0.41182000000000007</v>
      </c>
    </row>
    <row r="8" spans="1:9" x14ac:dyDescent="0.25">
      <c r="A8" s="33" t="s">
        <v>782</v>
      </c>
      <c r="B8" s="33" t="s">
        <v>2620</v>
      </c>
      <c r="C8" s="33" t="s">
        <v>2621</v>
      </c>
      <c r="D8" s="53">
        <v>0.60963000000000001</v>
      </c>
      <c r="E8" s="53">
        <v>0.29247000000000012</v>
      </c>
      <c r="F8" s="53">
        <v>-0.33046999999999999</v>
      </c>
      <c r="G8" s="53">
        <v>1.1003700000000001</v>
      </c>
      <c r="H8" s="53">
        <v>0.25951999999999997</v>
      </c>
      <c r="I8" s="53">
        <v>-1.02942</v>
      </c>
    </row>
    <row r="9" spans="1:9" x14ac:dyDescent="0.25">
      <c r="A9" s="33" t="s">
        <v>782</v>
      </c>
      <c r="B9" s="33" t="s">
        <v>2622</v>
      </c>
      <c r="C9" s="33" t="s">
        <v>2623</v>
      </c>
      <c r="D9" s="53">
        <v>0.93854000000000015</v>
      </c>
      <c r="E9" s="53">
        <v>0.60997000000000012</v>
      </c>
      <c r="F9" s="53">
        <v>-1.15222</v>
      </c>
      <c r="G9" s="53">
        <v>8.4870000000000001E-2</v>
      </c>
      <c r="H9" s="53">
        <v>0.41193999999999997</v>
      </c>
      <c r="I9" s="53">
        <v>0.65541000000000005</v>
      </c>
    </row>
    <row r="10" spans="1:9" x14ac:dyDescent="0.25">
      <c r="A10" s="33" t="s">
        <v>782</v>
      </c>
      <c r="B10" s="33" t="s">
        <v>2624</v>
      </c>
      <c r="C10" s="33" t="s">
        <v>2625</v>
      </c>
      <c r="D10" s="53">
        <v>0.54671000000000003</v>
      </c>
      <c r="E10" s="53">
        <v>0.19714000000000001</v>
      </c>
      <c r="F10" s="53">
        <v>-0.67781000000000002</v>
      </c>
      <c r="G10" s="53">
        <v>1.3417399999999999</v>
      </c>
      <c r="H10" s="53">
        <v>0.46718999999999999</v>
      </c>
      <c r="I10" s="53">
        <v>-1.1311199999999999</v>
      </c>
    </row>
    <row r="11" spans="1:9" x14ac:dyDescent="0.25">
      <c r="A11" s="33" t="s">
        <v>782</v>
      </c>
      <c r="B11" s="33" t="s">
        <v>2626</v>
      </c>
      <c r="C11" s="33" t="s">
        <v>2627</v>
      </c>
      <c r="D11" s="53">
        <v>2.4261499999999998</v>
      </c>
      <c r="E11" s="53">
        <v>1.5002800000000009</v>
      </c>
      <c r="F11" s="53">
        <v>-2.543229999999999</v>
      </c>
      <c r="G11" s="53">
        <v>-0.35625000000000001</v>
      </c>
      <c r="H11" s="53">
        <v>0.80260999999999982</v>
      </c>
      <c r="I11" s="53">
        <v>2.09687</v>
      </c>
    </row>
    <row r="12" spans="1:9" x14ac:dyDescent="0.25">
      <c r="A12" s="40" t="s">
        <v>782</v>
      </c>
      <c r="B12" s="40" t="s">
        <v>2628</v>
      </c>
      <c r="C12" s="40" t="s">
        <v>2629</v>
      </c>
      <c r="D12" s="78">
        <v>1.8582000000000001</v>
      </c>
      <c r="E12" s="78">
        <v>0.48720999999999992</v>
      </c>
      <c r="F12" s="78">
        <v>-2.4423400000000002</v>
      </c>
      <c r="G12" s="78">
        <v>-0.20591999999999999</v>
      </c>
      <c r="H12" s="78">
        <v>0.79393999999999998</v>
      </c>
      <c r="I12" s="78">
        <v>1.85432</v>
      </c>
    </row>
  </sheetData>
  <sheetProtection formatColumns="0" formatRows="0"/>
  <hyperlinks>
    <hyperlink ref="A1" location="TOC!A1" display="Table of Contents" xr:uid="{7A33AA6B-FB7E-425D-861E-D3C1661632AB}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57"/>
  <dimension ref="A1:I12"/>
  <sheetViews>
    <sheetView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1.7109375" customWidth="1"/>
    <col min="2" max="2" width="16.42578125" customWidth="1"/>
    <col min="3" max="3" width="66" customWidth="1"/>
    <col min="4" max="9" width="9.140625" style="2" customWidth="1"/>
  </cols>
  <sheetData>
    <row r="1" spans="1:9" x14ac:dyDescent="0.25">
      <c r="A1" s="141" t="s">
        <v>316</v>
      </c>
      <c r="B1" s="32"/>
      <c r="C1" s="33"/>
      <c r="D1" s="33"/>
      <c r="E1" s="33"/>
      <c r="F1" s="33"/>
      <c r="G1" s="33"/>
      <c r="H1" s="33"/>
      <c r="I1" s="33"/>
    </row>
    <row r="2" spans="1:9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x14ac:dyDescent="0.25">
      <c r="A3" s="34" t="s">
        <v>314</v>
      </c>
      <c r="B3" s="33"/>
      <c r="C3" s="33"/>
      <c r="D3" s="33"/>
      <c r="E3" s="33"/>
      <c r="F3" s="33"/>
      <c r="G3" s="33"/>
      <c r="H3" s="33"/>
      <c r="I3" s="33"/>
    </row>
    <row r="4" spans="1:9" x14ac:dyDescent="0.25">
      <c r="A4" s="111" t="s">
        <v>315</v>
      </c>
      <c r="B4" s="33"/>
      <c r="C4" s="33"/>
      <c r="D4" s="33"/>
      <c r="E4" s="33"/>
      <c r="F4" s="33"/>
      <c r="G4" s="33"/>
      <c r="H4" s="33"/>
      <c r="I4" s="33"/>
    </row>
    <row r="5" spans="1:9" x14ac:dyDescent="0.25">
      <c r="A5" s="33"/>
      <c r="B5" s="33"/>
      <c r="C5" s="33"/>
      <c r="D5" s="33"/>
      <c r="E5" s="33"/>
      <c r="F5" s="33"/>
      <c r="G5" s="33"/>
      <c r="H5" s="33"/>
      <c r="I5" s="33"/>
    </row>
    <row r="6" spans="1:9" x14ac:dyDescent="0.25">
      <c r="A6" s="65" t="s">
        <v>771</v>
      </c>
      <c r="B6" s="65" t="s">
        <v>772</v>
      </c>
      <c r="C6" s="65" t="s">
        <v>773</v>
      </c>
      <c r="D6" s="86" t="s">
        <v>775</v>
      </c>
      <c r="E6" s="86" t="s">
        <v>776</v>
      </c>
      <c r="F6" s="86" t="s">
        <v>777</v>
      </c>
      <c r="G6" s="86" t="s">
        <v>778</v>
      </c>
      <c r="H6" s="86" t="s">
        <v>779</v>
      </c>
      <c r="I6" s="86" t="s">
        <v>780</v>
      </c>
    </row>
    <row r="7" spans="1:9" x14ac:dyDescent="0.25">
      <c r="A7" s="33" t="s">
        <v>782</v>
      </c>
      <c r="B7" s="33" t="s">
        <v>2630</v>
      </c>
      <c r="C7" s="33" t="s">
        <v>2631</v>
      </c>
      <c r="D7" s="53">
        <v>1.65459</v>
      </c>
      <c r="E7" s="53">
        <v>-0.97826000000000002</v>
      </c>
      <c r="F7" s="53">
        <v>-2.701379999999999</v>
      </c>
      <c r="G7" s="53">
        <v>-0.19771</v>
      </c>
      <c r="H7" s="53">
        <v>0.70223000000000002</v>
      </c>
      <c r="I7" s="53">
        <v>2.19686</v>
      </c>
    </row>
    <row r="8" spans="1:9" x14ac:dyDescent="0.25">
      <c r="A8" s="33" t="s">
        <v>782</v>
      </c>
      <c r="B8" s="33" t="s">
        <v>2632</v>
      </c>
      <c r="C8" s="33" t="s">
        <v>2633</v>
      </c>
      <c r="D8" s="53">
        <v>1.8040400000000001</v>
      </c>
      <c r="E8" s="53">
        <v>-1.2155</v>
      </c>
      <c r="F8" s="53">
        <v>-3.2576900000000002</v>
      </c>
      <c r="G8" s="53">
        <v>-0.25122</v>
      </c>
      <c r="H8" s="53">
        <v>0.91364000000000012</v>
      </c>
      <c r="I8" s="53">
        <v>2.5952700000000002</v>
      </c>
    </row>
    <row r="9" spans="1:9" x14ac:dyDescent="0.25">
      <c r="A9" s="33" t="s">
        <v>782</v>
      </c>
      <c r="B9" s="33" t="s">
        <v>2634</v>
      </c>
      <c r="C9" s="33" t="s">
        <v>2635</v>
      </c>
      <c r="D9" s="53">
        <v>1.8767499999999999</v>
      </c>
      <c r="E9" s="53">
        <v>0.54800000000000004</v>
      </c>
      <c r="F9" s="53">
        <v>-2.1539299999999999</v>
      </c>
      <c r="G9" s="53">
        <v>-0.37368000000000001</v>
      </c>
      <c r="H9" s="53">
        <v>0.36099999999999999</v>
      </c>
      <c r="I9" s="53">
        <v>2.1666099999999999</v>
      </c>
    </row>
    <row r="10" spans="1:9" x14ac:dyDescent="0.25">
      <c r="A10" s="33" t="s">
        <v>782</v>
      </c>
      <c r="B10" s="33" t="s">
        <v>2636</v>
      </c>
      <c r="C10" s="33" t="s">
        <v>2637</v>
      </c>
      <c r="D10" s="53">
        <v>3.1505100000000001</v>
      </c>
      <c r="E10" s="53">
        <v>0.96786999999999979</v>
      </c>
      <c r="F10" s="53">
        <v>-3.7808199999999998</v>
      </c>
      <c r="G10" s="53">
        <v>-0.74580000000000002</v>
      </c>
      <c r="H10" s="53">
        <v>0.94672000000000001</v>
      </c>
      <c r="I10" s="53">
        <v>3.579899999999999</v>
      </c>
    </row>
    <row r="11" spans="1:9" x14ac:dyDescent="0.25">
      <c r="A11" s="33" t="s">
        <v>782</v>
      </c>
      <c r="B11" s="33" t="s">
        <v>2638</v>
      </c>
      <c r="C11" s="33" t="s">
        <v>2639</v>
      </c>
      <c r="D11" s="53">
        <v>2.352180000000001</v>
      </c>
      <c r="E11" s="53">
        <v>0.93262</v>
      </c>
      <c r="F11" s="53">
        <v>-2.5671200000000001</v>
      </c>
      <c r="G11" s="53">
        <v>-0.46910000000000002</v>
      </c>
      <c r="H11" s="53">
        <v>0.48888999999999999</v>
      </c>
      <c r="I11" s="53">
        <v>2.5473300000000001</v>
      </c>
    </row>
    <row r="12" spans="1:9" x14ac:dyDescent="0.25">
      <c r="A12" s="40" t="s">
        <v>782</v>
      </c>
      <c r="B12" s="40" t="s">
        <v>2640</v>
      </c>
      <c r="C12" s="40" t="s">
        <v>2641</v>
      </c>
      <c r="D12" s="78">
        <v>1.78409</v>
      </c>
      <c r="E12" s="78">
        <v>0.57079000000000013</v>
      </c>
      <c r="F12" s="78">
        <v>-2.2969200000000001</v>
      </c>
      <c r="G12" s="78">
        <v>-0.23919000000000001</v>
      </c>
      <c r="H12" s="78">
        <v>0.53635999999999995</v>
      </c>
      <c r="I12" s="78">
        <v>1.9997499999999999</v>
      </c>
    </row>
  </sheetData>
  <sheetProtection formatColumns="0" formatRows="0"/>
  <hyperlinks>
    <hyperlink ref="A1" location="TOC!A1" display="Table of Contents" xr:uid="{B9B1741D-250B-4E07-8835-4EAE86C7963A}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CE55-ABEB-4C03-B235-1AD937E452CB}">
  <sheetPr codeName="Sheet158"/>
  <dimension ref="A1:R302"/>
  <sheetViews>
    <sheetView workbookViewId="0"/>
  </sheetViews>
  <sheetFormatPr defaultColWidth="9.28515625" defaultRowHeight="15" x14ac:dyDescent="0.25"/>
  <cols>
    <col min="1" max="1" width="24.7109375" style="142" customWidth="1"/>
    <col min="2" max="2" width="14.140625" style="142" customWidth="1"/>
    <col min="3" max="3" width="12.7109375" style="142" customWidth="1"/>
    <col min="4" max="16384" width="9.28515625" style="142"/>
  </cols>
  <sheetData>
    <row r="1" spans="1:18" x14ac:dyDescent="0.25">
      <c r="A1" s="141" t="s">
        <v>316</v>
      </c>
    </row>
    <row r="3" spans="1:18" x14ac:dyDescent="0.25">
      <c r="A3" s="34" t="s">
        <v>3483</v>
      </c>
    </row>
    <row r="4" spans="1:18" x14ac:dyDescent="0.25">
      <c r="A4" s="143" t="s">
        <v>3485</v>
      </c>
      <c r="B4" s="144"/>
      <c r="C4" s="144"/>
      <c r="D4" s="167"/>
      <c r="E4" s="167"/>
      <c r="F4" s="167"/>
      <c r="G4" s="167"/>
      <c r="H4" s="167"/>
      <c r="I4" s="168"/>
      <c r="J4" s="168"/>
      <c r="K4" s="167"/>
      <c r="L4" s="167"/>
      <c r="M4" s="167"/>
      <c r="N4" s="167"/>
      <c r="O4" s="167"/>
      <c r="P4" s="168"/>
      <c r="Q4" s="168"/>
    </row>
    <row r="5" spans="1:18" x14ac:dyDescent="0.25">
      <c r="A5" s="143"/>
      <c r="B5" s="144"/>
      <c r="C5" s="144"/>
      <c r="D5" s="145"/>
      <c r="E5" s="145"/>
      <c r="F5" s="145"/>
      <c r="G5" s="145"/>
      <c r="H5" s="145"/>
      <c r="I5" s="146"/>
      <c r="J5" s="146"/>
      <c r="K5" s="145"/>
      <c r="L5" s="145"/>
      <c r="M5" s="145"/>
      <c r="N5" s="145"/>
      <c r="O5" s="145"/>
      <c r="P5" s="146"/>
      <c r="Q5" s="146"/>
    </row>
    <row r="6" spans="1:18" x14ac:dyDescent="0.25">
      <c r="A6" s="160"/>
      <c r="B6" s="161"/>
      <c r="C6" s="160"/>
      <c r="D6" s="169" t="s">
        <v>3486</v>
      </c>
      <c r="E6" s="169"/>
      <c r="F6" s="169"/>
      <c r="G6" s="169"/>
      <c r="H6" s="169"/>
      <c r="I6" s="170"/>
      <c r="J6" s="171"/>
      <c r="K6" s="172" t="s">
        <v>3486</v>
      </c>
      <c r="L6" s="169"/>
      <c r="M6" s="169"/>
      <c r="N6" s="169"/>
      <c r="O6" s="169"/>
      <c r="P6" s="170"/>
      <c r="Q6" s="171"/>
    </row>
    <row r="7" spans="1:18" x14ac:dyDescent="0.25">
      <c r="A7" s="162" t="s">
        <v>3487</v>
      </c>
      <c r="B7" s="163" t="s">
        <v>317</v>
      </c>
      <c r="C7" s="162" t="s">
        <v>3488</v>
      </c>
      <c r="D7" s="164" t="s">
        <v>3489</v>
      </c>
      <c r="E7" s="165" t="s">
        <v>2645</v>
      </c>
      <c r="F7" s="165" t="s">
        <v>2646</v>
      </c>
      <c r="G7" s="165" t="s">
        <v>2647</v>
      </c>
      <c r="H7" s="165" t="s">
        <v>2648</v>
      </c>
      <c r="I7" s="165" t="s">
        <v>2649</v>
      </c>
      <c r="J7" s="166" t="s">
        <v>2650</v>
      </c>
      <c r="K7" s="162" t="s">
        <v>775</v>
      </c>
      <c r="L7" s="164" t="s">
        <v>776</v>
      </c>
      <c r="M7" s="165" t="s">
        <v>2646</v>
      </c>
      <c r="N7" s="165" t="s">
        <v>2647</v>
      </c>
      <c r="O7" s="165" t="s">
        <v>2648</v>
      </c>
      <c r="P7" s="165" t="s">
        <v>2649</v>
      </c>
      <c r="Q7" s="166" t="s">
        <v>2650</v>
      </c>
    </row>
    <row r="8" spans="1:18" x14ac:dyDescent="0.25">
      <c r="A8" s="142" t="s">
        <v>319</v>
      </c>
      <c r="B8" s="157" t="s">
        <v>320</v>
      </c>
      <c r="C8" s="147" t="s">
        <v>960</v>
      </c>
      <c r="D8" s="148">
        <v>2.2508591832899998</v>
      </c>
      <c r="E8" s="148">
        <v>5.5967945233333524E-2</v>
      </c>
      <c r="F8" s="148">
        <v>-1.5272720682333336</v>
      </c>
      <c r="G8" s="148">
        <v>-0.6889108224333329</v>
      </c>
      <c r="H8" s="148">
        <v>2.2161828906666665</v>
      </c>
      <c r="I8" s="148"/>
      <c r="J8" s="149">
        <v>1.3240348137</v>
      </c>
      <c r="K8" s="150">
        <v>2.4865147339660401E-2</v>
      </c>
      <c r="L8" s="148">
        <v>0.67852848351045003</v>
      </c>
      <c r="M8" s="148">
        <v>0.306065713727314</v>
      </c>
      <c r="N8" s="148">
        <v>-0.98459419723776398</v>
      </c>
      <c r="O8" s="148"/>
      <c r="P8" s="148"/>
      <c r="Q8" s="149"/>
      <c r="R8" s="148"/>
    </row>
    <row r="9" spans="1:18" x14ac:dyDescent="0.25">
      <c r="A9" s="142" t="s">
        <v>319</v>
      </c>
      <c r="B9" s="157" t="s">
        <v>320</v>
      </c>
      <c r="C9" s="147" t="s">
        <v>962</v>
      </c>
      <c r="D9" s="148">
        <v>1.05140989615</v>
      </c>
      <c r="E9" s="148">
        <v>-2.9575447466666595E-2</v>
      </c>
      <c r="F9" s="148">
        <v>-1.2578537601333308</v>
      </c>
      <c r="G9" s="148">
        <v>-0.63301520533333322</v>
      </c>
      <c r="H9" s="148">
        <v>1.8908689654666619</v>
      </c>
      <c r="I9" s="148"/>
      <c r="J9" s="149">
        <v>0.61847640950000005</v>
      </c>
      <c r="K9" s="150">
        <v>-2.8129321946620899E-2</v>
      </c>
      <c r="L9" s="148">
        <v>1.19634955381272</v>
      </c>
      <c r="M9" s="148">
        <v>0.60206319880693204</v>
      </c>
      <c r="N9" s="148">
        <v>-1.7984127526196501</v>
      </c>
      <c r="O9" s="148"/>
      <c r="P9" s="148"/>
      <c r="Q9" s="149"/>
      <c r="R9" s="148"/>
    </row>
    <row r="10" spans="1:18" x14ac:dyDescent="0.25">
      <c r="A10" s="142" t="s">
        <v>319</v>
      </c>
      <c r="B10" s="157" t="s">
        <v>320</v>
      </c>
      <c r="C10" s="147" t="s">
        <v>964</v>
      </c>
      <c r="D10" s="148">
        <v>0.97517136380000002</v>
      </c>
      <c r="E10" s="148">
        <v>0.12148351746666619</v>
      </c>
      <c r="F10" s="148">
        <v>-1.2004745306666631</v>
      </c>
      <c r="G10" s="148">
        <v>-0.62579201966666664</v>
      </c>
      <c r="H10" s="148">
        <v>1.8262665503333289</v>
      </c>
      <c r="I10" s="148"/>
      <c r="J10" s="149">
        <v>0.57363021400000003</v>
      </c>
      <c r="K10" s="150">
        <v>0.12457658415365599</v>
      </c>
      <c r="L10" s="148">
        <v>1.23103956415282</v>
      </c>
      <c r="M10" s="148">
        <v>0.64172518071912099</v>
      </c>
      <c r="N10" s="148">
        <v>-1.87276474487194</v>
      </c>
      <c r="O10" s="148"/>
      <c r="P10" s="148"/>
      <c r="Q10" s="149"/>
      <c r="R10" s="148"/>
    </row>
    <row r="11" spans="1:18" x14ac:dyDescent="0.25">
      <c r="A11" s="142" t="s">
        <v>319</v>
      </c>
      <c r="B11" s="157" t="s">
        <v>320</v>
      </c>
      <c r="C11" s="147" t="s">
        <v>966</v>
      </c>
      <c r="D11" s="148">
        <v>2.09091723499</v>
      </c>
      <c r="E11" s="148">
        <v>2.0543369266666636E-2</v>
      </c>
      <c r="F11" s="148">
        <v>-1.6699486392666674</v>
      </c>
      <c r="G11" s="148">
        <v>-0.61616868216666665</v>
      </c>
      <c r="H11" s="148">
        <v>2.2861173214333252</v>
      </c>
      <c r="I11" s="148"/>
      <c r="J11" s="149">
        <v>1.2299513147000001</v>
      </c>
      <c r="K11" s="150">
        <v>9.8250513807472094E-3</v>
      </c>
      <c r="L11" s="148">
        <v>0.79866797753697505</v>
      </c>
      <c r="M11" s="148">
        <v>0.29468822192266902</v>
      </c>
      <c r="N11" s="148">
        <v>-1.0933561994596399</v>
      </c>
      <c r="O11" s="148"/>
      <c r="P11" s="148"/>
      <c r="Q11" s="149"/>
      <c r="R11" s="148"/>
    </row>
    <row r="12" spans="1:18" x14ac:dyDescent="0.25">
      <c r="A12" s="142" t="s">
        <v>319</v>
      </c>
      <c r="B12" s="157" t="s">
        <v>320</v>
      </c>
      <c r="C12" s="147" t="s">
        <v>968</v>
      </c>
      <c r="D12" s="148">
        <v>1.0031492181799999</v>
      </c>
      <c r="E12" s="148">
        <v>5.5965157366666726E-2</v>
      </c>
      <c r="F12" s="148">
        <v>-1.296443913266667</v>
      </c>
      <c r="G12" s="148">
        <v>-0.91555648076666707</v>
      </c>
      <c r="H12" s="148">
        <v>2.2120003940333333</v>
      </c>
      <c r="I12" s="148"/>
      <c r="J12" s="149">
        <v>0.59008777540000001</v>
      </c>
      <c r="K12" s="150">
        <v>5.57894641718443E-2</v>
      </c>
      <c r="L12" s="148">
        <v>1.2923739457413801</v>
      </c>
      <c r="M12" s="148">
        <v>0.91268224524737096</v>
      </c>
      <c r="N12" s="148">
        <v>-2.2050561909887501</v>
      </c>
      <c r="O12" s="148"/>
      <c r="P12" s="148"/>
      <c r="Q12" s="149"/>
      <c r="R12" s="148"/>
    </row>
    <row r="13" spans="1:18" x14ac:dyDescent="0.25">
      <c r="A13" s="142" t="s">
        <v>319</v>
      </c>
      <c r="B13" s="157" t="s">
        <v>320</v>
      </c>
      <c r="C13" s="147" t="s">
        <v>970</v>
      </c>
      <c r="D13" s="148">
        <v>2.8284931035900001</v>
      </c>
      <c r="E13" s="148">
        <v>-0.22438454193333318</v>
      </c>
      <c r="F13" s="148">
        <v>-1.7379793018666672</v>
      </c>
      <c r="G13" s="148">
        <v>-0.70551815896666581</v>
      </c>
      <c r="H13" s="148">
        <v>2.4434974608333331</v>
      </c>
      <c r="I13" s="148"/>
      <c r="J13" s="149">
        <v>1.6638194727</v>
      </c>
      <c r="K13" s="150">
        <v>-7.93300650613354E-2</v>
      </c>
      <c r="L13" s="148">
        <v>0.61445414155713396</v>
      </c>
      <c r="M13" s="148">
        <v>0.24943251870446601</v>
      </c>
      <c r="N13" s="148">
        <v>-0.86388666026159999</v>
      </c>
      <c r="O13" s="148"/>
      <c r="P13" s="148"/>
      <c r="Q13" s="149"/>
      <c r="R13" s="148"/>
    </row>
    <row r="14" spans="1:18" x14ac:dyDescent="0.25">
      <c r="A14" s="142" t="s">
        <v>319</v>
      </c>
      <c r="B14" s="157" t="s">
        <v>321</v>
      </c>
      <c r="C14" s="147" t="s">
        <v>941</v>
      </c>
      <c r="D14" s="148">
        <v>1.86973012483</v>
      </c>
      <c r="E14" s="148">
        <v>-0.56915878433333245</v>
      </c>
      <c r="F14" s="148">
        <v>-1.4322942366666658</v>
      </c>
      <c r="G14" s="148">
        <v>0.27522166023333378</v>
      </c>
      <c r="H14" s="148">
        <v>1.1570725764333338</v>
      </c>
      <c r="I14" s="148"/>
      <c r="J14" s="149">
        <v>1.0998412499000001</v>
      </c>
      <c r="K14" s="150">
        <v>-0.30440691775508599</v>
      </c>
      <c r="L14" s="148">
        <v>0.76604330092659401</v>
      </c>
      <c r="M14" s="148">
        <v>-0.14719860186151601</v>
      </c>
      <c r="N14" s="148">
        <v>-0.618844699065079</v>
      </c>
      <c r="O14" s="148" t="s">
        <v>3490</v>
      </c>
      <c r="P14" s="148"/>
      <c r="Q14" s="149"/>
      <c r="R14" s="148"/>
    </row>
    <row r="15" spans="1:18" x14ac:dyDescent="0.25">
      <c r="A15" s="142" t="s">
        <v>319</v>
      </c>
      <c r="B15" s="157" t="s">
        <v>321</v>
      </c>
      <c r="C15" s="147" t="s">
        <v>943</v>
      </c>
      <c r="D15" s="148">
        <v>1.7172841124999998</v>
      </c>
      <c r="E15" s="148">
        <v>0.48736334033333345</v>
      </c>
      <c r="F15" s="148">
        <v>-0.66609602403333301</v>
      </c>
      <c r="G15" s="148">
        <v>-0.33813755543333351</v>
      </c>
      <c r="H15" s="148">
        <v>1.0042335794666664</v>
      </c>
      <c r="I15" s="148"/>
      <c r="J15" s="149">
        <v>1.0101671249999999</v>
      </c>
      <c r="K15" s="150">
        <v>0.28379889896252303</v>
      </c>
      <c r="L15" s="148">
        <v>0.38787759065891497</v>
      </c>
      <c r="M15" s="148">
        <v>0.196902511921034</v>
      </c>
      <c r="N15" s="148">
        <v>-0.58478010257994895</v>
      </c>
      <c r="O15" s="148" t="s">
        <v>3490</v>
      </c>
      <c r="P15" s="148"/>
      <c r="Q15" s="149"/>
      <c r="R15" s="148"/>
    </row>
    <row r="16" spans="1:18" x14ac:dyDescent="0.25">
      <c r="A16" s="142" t="s">
        <v>319</v>
      </c>
      <c r="B16" s="157" t="s">
        <v>321</v>
      </c>
      <c r="C16" s="147" t="s">
        <v>945</v>
      </c>
      <c r="D16" s="148">
        <v>1.6807062223</v>
      </c>
      <c r="E16" s="148">
        <v>0.34358291809999975</v>
      </c>
      <c r="F16" s="148">
        <v>-0.20150357660000054</v>
      </c>
      <c r="G16" s="148">
        <v>0.15871427479999994</v>
      </c>
      <c r="H16" s="148">
        <v>4.2789301799999901E-2</v>
      </c>
      <c r="I16" s="148"/>
      <c r="J16" s="149">
        <v>0.98865071900000001</v>
      </c>
      <c r="K16" s="150">
        <v>0.20442770636608701</v>
      </c>
      <c r="L16" s="148">
        <v>0.119892205982464</v>
      </c>
      <c r="M16" s="148">
        <v>-9.4433085743446499E-2</v>
      </c>
      <c r="N16" s="148">
        <v>-2.54591202390171E-2</v>
      </c>
      <c r="O16" s="148" t="s">
        <v>3490</v>
      </c>
      <c r="P16" s="148"/>
      <c r="Q16" s="149"/>
      <c r="R16" s="148"/>
    </row>
    <row r="17" spans="1:18" x14ac:dyDescent="0.25">
      <c r="A17" s="142" t="s">
        <v>319</v>
      </c>
      <c r="B17" s="157" t="s">
        <v>321</v>
      </c>
      <c r="C17" s="147" t="s">
        <v>947</v>
      </c>
      <c r="D17" s="148">
        <v>1.22328130766</v>
      </c>
      <c r="E17" s="148">
        <v>-1.0166545033333333E-2</v>
      </c>
      <c r="F17" s="148">
        <v>-0.39015129396666698</v>
      </c>
      <c r="G17" s="148">
        <v>0.27973467173333338</v>
      </c>
      <c r="H17" s="148">
        <v>0.11041662223333333</v>
      </c>
      <c r="I17" s="148"/>
      <c r="J17" s="149">
        <v>0.71957723979999999</v>
      </c>
      <c r="K17" s="150">
        <v>-8.3108807186638E-3</v>
      </c>
      <c r="L17" s="148">
        <v>0.31893832720536103</v>
      </c>
      <c r="M17" s="148">
        <v>-0.22867566926893901</v>
      </c>
      <c r="N17" s="148">
        <v>-9.0262657936421797E-2</v>
      </c>
      <c r="O17" s="148" t="s">
        <v>3490</v>
      </c>
      <c r="P17" s="148"/>
      <c r="Q17" s="149"/>
      <c r="R17" s="148"/>
    </row>
    <row r="18" spans="1:18" x14ac:dyDescent="0.25">
      <c r="A18" s="142" t="s">
        <v>319</v>
      </c>
      <c r="B18" s="157" t="s">
        <v>322</v>
      </c>
      <c r="C18" s="147" t="s">
        <v>1095</v>
      </c>
      <c r="D18" s="148">
        <v>1.6116509999999999</v>
      </c>
      <c r="E18" s="148">
        <v>0.30668106878999996</v>
      </c>
      <c r="F18" s="148">
        <v>-2.0195437515900001</v>
      </c>
      <c r="G18" s="148">
        <v>-0.83381987787</v>
      </c>
      <c r="H18" s="148">
        <v>2.85336362946</v>
      </c>
      <c r="I18" s="148"/>
      <c r="J18" s="149">
        <v>0.94803000000000004</v>
      </c>
      <c r="K18" s="150">
        <v>0.19028999999999999</v>
      </c>
      <c r="L18" s="148">
        <v>1.25309</v>
      </c>
      <c r="M18" s="148">
        <v>0.51737</v>
      </c>
      <c r="N18" s="148">
        <v>-1.7704599999999999</v>
      </c>
      <c r="O18" s="148" t="s">
        <v>3490</v>
      </c>
      <c r="P18" s="148"/>
      <c r="Q18" s="149"/>
      <c r="R18" s="148"/>
    </row>
    <row r="19" spans="1:18" x14ac:dyDescent="0.25">
      <c r="A19" s="142" t="s">
        <v>319</v>
      </c>
      <c r="B19" s="157" t="s">
        <v>322</v>
      </c>
      <c r="C19" s="147" t="s">
        <v>1097</v>
      </c>
      <c r="D19" s="148">
        <v>2.2053419999999999</v>
      </c>
      <c r="E19" s="148">
        <v>0.42799072193999999</v>
      </c>
      <c r="F19" s="148">
        <v>-2.7055135655999996</v>
      </c>
      <c r="G19" s="148">
        <v>-0.77156095211999998</v>
      </c>
      <c r="H19" s="148">
        <v>3.4770745177199998</v>
      </c>
      <c r="I19" s="148"/>
      <c r="J19" s="149">
        <v>1.2972600000000001</v>
      </c>
      <c r="K19" s="150">
        <v>0.19406999999999999</v>
      </c>
      <c r="L19" s="148">
        <v>1.2267999999999999</v>
      </c>
      <c r="M19" s="148">
        <v>0.34986</v>
      </c>
      <c r="N19" s="148">
        <v>-1.57666</v>
      </c>
      <c r="O19" s="148" t="s">
        <v>3490</v>
      </c>
      <c r="P19" s="148"/>
      <c r="Q19" s="149"/>
      <c r="R19" s="148"/>
    </row>
    <row r="20" spans="1:18" x14ac:dyDescent="0.25">
      <c r="A20" s="142" t="s">
        <v>319</v>
      </c>
      <c r="B20" s="157" t="s">
        <v>322</v>
      </c>
      <c r="C20" s="147" t="s">
        <v>1099</v>
      </c>
      <c r="D20" s="148">
        <v>1.9517530000000001</v>
      </c>
      <c r="E20" s="148">
        <v>-1.7331566640000001E-2</v>
      </c>
      <c r="F20" s="148">
        <v>-2.09019084029</v>
      </c>
      <c r="G20" s="148">
        <v>-0.61796403486000007</v>
      </c>
      <c r="H20" s="148">
        <v>2.7081548751500004</v>
      </c>
      <c r="I20" s="148"/>
      <c r="J20" s="149">
        <v>1.1480900000000001</v>
      </c>
      <c r="K20" s="150">
        <v>-8.8800000000000007E-3</v>
      </c>
      <c r="L20" s="148">
        <v>1.0709299999999999</v>
      </c>
      <c r="M20" s="148">
        <v>0.31662000000000001</v>
      </c>
      <c r="N20" s="148">
        <v>-1.3875500000000001</v>
      </c>
      <c r="O20" s="148" t="s">
        <v>3490</v>
      </c>
      <c r="P20" s="148"/>
      <c r="Q20" s="149"/>
      <c r="R20" s="148"/>
    </row>
    <row r="21" spans="1:18" x14ac:dyDescent="0.25">
      <c r="A21" s="142" t="s">
        <v>319</v>
      </c>
      <c r="B21" s="157" t="s">
        <v>322</v>
      </c>
      <c r="C21" s="147" t="s">
        <v>1101</v>
      </c>
      <c r="D21" s="148">
        <v>1.3522989999999999</v>
      </c>
      <c r="E21" s="148">
        <v>-0.45721229190000001</v>
      </c>
      <c r="F21" s="148">
        <v>-1.4632551329499999</v>
      </c>
      <c r="G21" s="148">
        <v>-0.65572978509999991</v>
      </c>
      <c r="H21" s="148">
        <v>2.1189984410399996</v>
      </c>
      <c r="I21" s="148"/>
      <c r="J21" s="149">
        <v>0.79547000000000001</v>
      </c>
      <c r="K21" s="150">
        <v>-0.33810000000000001</v>
      </c>
      <c r="L21" s="148">
        <v>1.08205</v>
      </c>
      <c r="M21" s="148">
        <v>0.4849</v>
      </c>
      <c r="N21" s="148">
        <v>-1.5669599999999999</v>
      </c>
      <c r="O21" s="148" t="s">
        <v>3490</v>
      </c>
      <c r="P21" s="148"/>
      <c r="Q21" s="149"/>
      <c r="R21" s="148"/>
    </row>
    <row r="22" spans="1:18" x14ac:dyDescent="0.25">
      <c r="A22" s="142" t="s">
        <v>319</v>
      </c>
      <c r="B22" s="157" t="s">
        <v>322</v>
      </c>
      <c r="C22" s="147" t="s">
        <v>1103</v>
      </c>
      <c r="D22" s="148">
        <v>1.378938</v>
      </c>
      <c r="E22" s="148">
        <v>-0.26015044308000002</v>
      </c>
      <c r="F22" s="148">
        <v>-1.3732429860599999</v>
      </c>
      <c r="G22" s="148">
        <v>-0.52234171439999999</v>
      </c>
      <c r="H22" s="148">
        <v>1.8955984898399998</v>
      </c>
      <c r="I22" s="148"/>
      <c r="J22" s="149">
        <v>0.81113999999999997</v>
      </c>
      <c r="K22" s="150">
        <v>-0.18865999999999999</v>
      </c>
      <c r="L22" s="148">
        <v>0.99587000000000003</v>
      </c>
      <c r="M22" s="148">
        <v>0.37880000000000003</v>
      </c>
      <c r="N22" s="148">
        <v>-1.3746799999999999</v>
      </c>
      <c r="O22" s="148" t="s">
        <v>3490</v>
      </c>
      <c r="P22" s="148"/>
      <c r="Q22" s="149"/>
      <c r="R22" s="148"/>
    </row>
    <row r="23" spans="1:18" x14ac:dyDescent="0.25">
      <c r="A23" s="142" t="s">
        <v>319</v>
      </c>
      <c r="B23" s="157" t="s">
        <v>323</v>
      </c>
      <c r="C23" s="147" t="s">
        <v>1027</v>
      </c>
      <c r="D23" s="148">
        <v>1.283585</v>
      </c>
      <c r="E23" s="148">
        <v>0.36261276249999996</v>
      </c>
      <c r="F23" s="148">
        <v>-1.56277757335</v>
      </c>
      <c r="G23" s="148">
        <v>-4.2140095549999999E-2</v>
      </c>
      <c r="H23" s="148">
        <v>1.6049176689</v>
      </c>
      <c r="I23" s="148"/>
      <c r="J23" s="149">
        <v>0.75505</v>
      </c>
      <c r="K23" s="150">
        <v>0.28249999999999997</v>
      </c>
      <c r="L23" s="148">
        <v>1.2175100000000001</v>
      </c>
      <c r="M23" s="148">
        <v>3.2829999999999998E-2</v>
      </c>
      <c r="N23" s="148">
        <v>-1.25034</v>
      </c>
      <c r="O23" s="148" t="s">
        <v>3490</v>
      </c>
      <c r="P23" s="148"/>
      <c r="Q23" s="149"/>
      <c r="R23" s="148"/>
    </row>
    <row r="24" spans="1:18" x14ac:dyDescent="0.25">
      <c r="A24" s="142" t="s">
        <v>319</v>
      </c>
      <c r="B24" s="157" t="s">
        <v>323</v>
      </c>
      <c r="C24" s="147" t="s">
        <v>1029</v>
      </c>
      <c r="D24" s="148">
        <v>1.26939</v>
      </c>
      <c r="E24" s="148">
        <v>0.52051336950000004</v>
      </c>
      <c r="F24" s="148">
        <v>-1.9861891452000002</v>
      </c>
      <c r="G24" s="148">
        <v>0.1049658591</v>
      </c>
      <c r="H24" s="148">
        <v>1.8812105922000002</v>
      </c>
      <c r="I24" s="148"/>
      <c r="J24" s="149">
        <v>0.74670000000000003</v>
      </c>
      <c r="K24" s="150">
        <v>0.41005000000000003</v>
      </c>
      <c r="L24" s="148">
        <v>1.5646800000000001</v>
      </c>
      <c r="M24" s="148">
        <v>-8.269E-2</v>
      </c>
      <c r="N24" s="148">
        <v>-1.4819800000000001</v>
      </c>
      <c r="O24" s="148" t="s">
        <v>3490</v>
      </c>
      <c r="P24" s="148"/>
      <c r="Q24" s="149"/>
      <c r="R24" s="148"/>
    </row>
    <row r="25" spans="1:18" x14ac:dyDescent="0.25">
      <c r="A25" s="142" t="s">
        <v>319</v>
      </c>
      <c r="B25" s="157" t="s">
        <v>323</v>
      </c>
      <c r="C25" s="147" t="s">
        <v>1031</v>
      </c>
      <c r="D25" s="148">
        <v>1.6010259999999998</v>
      </c>
      <c r="E25" s="148">
        <v>-0.24788685557999995</v>
      </c>
      <c r="F25" s="148">
        <v>-1.5420442021599998</v>
      </c>
      <c r="G25" s="148">
        <v>-0.15710868137999998</v>
      </c>
      <c r="H25" s="148">
        <v>1.6991528835399998</v>
      </c>
      <c r="I25" s="148"/>
      <c r="J25" s="149">
        <v>0.94177999999999995</v>
      </c>
      <c r="K25" s="150">
        <v>-0.15483</v>
      </c>
      <c r="L25" s="148">
        <v>0.96316000000000002</v>
      </c>
      <c r="M25" s="148">
        <v>9.8129999999999995E-2</v>
      </c>
      <c r="N25" s="148">
        <v>-1.0612900000000001</v>
      </c>
      <c r="O25" s="148" t="s">
        <v>3490</v>
      </c>
      <c r="P25" s="148"/>
      <c r="Q25" s="149"/>
      <c r="R25" s="148"/>
    </row>
    <row r="26" spans="1:18" x14ac:dyDescent="0.25">
      <c r="A26" s="142" t="s">
        <v>319</v>
      </c>
      <c r="B26" s="157" t="s">
        <v>323</v>
      </c>
      <c r="C26" s="147" t="s">
        <v>1033</v>
      </c>
      <c r="D26" s="148">
        <v>2.5051709999999998</v>
      </c>
      <c r="E26" s="148">
        <v>-0.64162439652000003</v>
      </c>
      <c r="F26" s="148">
        <v>-2.6438823182699998</v>
      </c>
      <c r="G26" s="148">
        <v>-0.20116523129999997</v>
      </c>
      <c r="H26" s="148">
        <v>2.8450475495699998</v>
      </c>
      <c r="I26" s="148"/>
      <c r="J26" s="149">
        <v>1.47363</v>
      </c>
      <c r="K26" s="150">
        <v>-0.25612000000000001</v>
      </c>
      <c r="L26" s="148">
        <v>1.0553699999999999</v>
      </c>
      <c r="M26" s="148">
        <v>8.0299999999999996E-2</v>
      </c>
      <c r="N26" s="148">
        <v>-1.13567</v>
      </c>
      <c r="O26" s="148" t="s">
        <v>3490</v>
      </c>
      <c r="P26" s="148"/>
      <c r="Q26" s="149"/>
      <c r="R26" s="148"/>
    </row>
    <row r="27" spans="1:18" x14ac:dyDescent="0.25">
      <c r="A27" s="142" t="s">
        <v>319</v>
      </c>
      <c r="B27" s="157" t="s">
        <v>323</v>
      </c>
      <c r="C27" s="147" t="s">
        <v>1035</v>
      </c>
      <c r="D27" s="148">
        <v>1.5822239999999999</v>
      </c>
      <c r="E27" s="148">
        <v>-0.22228664975999998</v>
      </c>
      <c r="F27" s="148">
        <v>-1.6685343191999999</v>
      </c>
      <c r="G27" s="148">
        <v>-0.17375983967999997</v>
      </c>
      <c r="H27" s="148">
        <v>1.8422941588799997</v>
      </c>
      <c r="I27" s="148"/>
      <c r="J27" s="149">
        <v>0.93071999999999999</v>
      </c>
      <c r="K27" s="150">
        <v>-0.14049</v>
      </c>
      <c r="L27" s="148">
        <v>1.0545500000000001</v>
      </c>
      <c r="M27" s="148">
        <v>0.10982</v>
      </c>
      <c r="N27" s="148">
        <v>-1.1643699999999999</v>
      </c>
      <c r="O27" s="148" t="s">
        <v>3490</v>
      </c>
      <c r="P27" s="148"/>
      <c r="Q27" s="149"/>
      <c r="R27" s="148"/>
    </row>
    <row r="28" spans="1:18" x14ac:dyDescent="0.25">
      <c r="A28" s="142" t="s">
        <v>319</v>
      </c>
      <c r="B28" s="157" t="s">
        <v>324</v>
      </c>
      <c r="C28" s="147" t="s">
        <v>1117</v>
      </c>
      <c r="D28" s="148">
        <v>1.2418356230999998</v>
      </c>
      <c r="E28" s="148">
        <v>9.1527032499999963E-3</v>
      </c>
      <c r="F28" s="148">
        <v>-0.5510026032499995</v>
      </c>
      <c r="G28" s="148">
        <v>-0.73695830655000027</v>
      </c>
      <c r="H28" s="148">
        <v>0.13308637344999985</v>
      </c>
      <c r="I28" s="148">
        <v>1.1548745363499999</v>
      </c>
      <c r="J28" s="149">
        <v>0.73049154299999997</v>
      </c>
      <c r="K28" s="150">
        <v>7.3703017369980599E-3</v>
      </c>
      <c r="L28" s="148">
        <v>0.44370011054645803</v>
      </c>
      <c r="M28" s="148">
        <v>0.59344271724974995</v>
      </c>
      <c r="N28" s="148">
        <v>-0.10716907372795099</v>
      </c>
      <c r="O28" s="148">
        <v>-0.929973754068257</v>
      </c>
      <c r="P28" s="148"/>
      <c r="Q28" s="149"/>
      <c r="R28" s="148"/>
    </row>
    <row r="29" spans="1:18" x14ac:dyDescent="0.25">
      <c r="A29" s="142" t="s">
        <v>319</v>
      </c>
      <c r="B29" s="157" t="s">
        <v>324</v>
      </c>
      <c r="C29" s="147" t="s">
        <v>1119</v>
      </c>
      <c r="D29" s="148">
        <v>1.92257578933</v>
      </c>
      <c r="E29" s="148">
        <v>0.28876898367499992</v>
      </c>
      <c r="F29" s="148">
        <v>-0.99322672137500023</v>
      </c>
      <c r="G29" s="148">
        <v>-0.93771631207500084</v>
      </c>
      <c r="H29" s="148">
        <v>0.28543524582500091</v>
      </c>
      <c r="I29" s="148">
        <v>1.6455077876250002</v>
      </c>
      <c r="J29" s="149">
        <v>1.1309269349</v>
      </c>
      <c r="K29" s="150">
        <v>0.150199011803656</v>
      </c>
      <c r="L29" s="148">
        <v>0.51661251893800797</v>
      </c>
      <c r="M29" s="148">
        <v>0.48773958211644097</v>
      </c>
      <c r="N29" s="148">
        <v>-0.14846501626054101</v>
      </c>
      <c r="O29" s="148">
        <v>-0.85588708479390796</v>
      </c>
      <c r="P29" s="148"/>
      <c r="Q29" s="149"/>
      <c r="R29" s="148"/>
    </row>
    <row r="30" spans="1:18" x14ac:dyDescent="0.25">
      <c r="A30" s="142" t="s">
        <v>319</v>
      </c>
      <c r="B30" s="157" t="s">
        <v>324</v>
      </c>
      <c r="C30" s="147" t="s">
        <v>1121</v>
      </c>
      <c r="D30" s="148">
        <v>2.1100674665599999</v>
      </c>
      <c r="E30" s="148">
        <v>-7.9255238550000065E-2</v>
      </c>
      <c r="F30" s="148">
        <v>-1.0922476729499997</v>
      </c>
      <c r="G30" s="148">
        <v>-0.93158276444999888</v>
      </c>
      <c r="H30" s="148">
        <v>0.2935319500499996</v>
      </c>
      <c r="I30" s="148">
        <v>1.7302984873500011</v>
      </c>
      <c r="J30" s="149">
        <v>1.2412161568</v>
      </c>
      <c r="K30" s="150">
        <v>-3.7560523445825299E-2</v>
      </c>
      <c r="L30" s="148">
        <v>0.51763637431492604</v>
      </c>
      <c r="M30" s="148">
        <v>0.44149430253466698</v>
      </c>
      <c r="N30" s="148">
        <v>-0.13911022026634001</v>
      </c>
      <c r="O30" s="148">
        <v>-0.82002045658325395</v>
      </c>
      <c r="P30" s="148"/>
      <c r="Q30" s="149"/>
      <c r="R30" s="148"/>
    </row>
    <row r="31" spans="1:18" x14ac:dyDescent="0.25">
      <c r="A31" s="142" t="s">
        <v>319</v>
      </c>
      <c r="B31" s="157" t="s">
        <v>324</v>
      </c>
      <c r="C31" s="147" t="s">
        <v>1123</v>
      </c>
      <c r="D31" s="148">
        <v>1.5798615372</v>
      </c>
      <c r="E31" s="148">
        <v>-0.14206130195000005</v>
      </c>
      <c r="F31" s="148">
        <v>-1.1770734206500002</v>
      </c>
      <c r="G31" s="148">
        <v>-0.86311057854999962</v>
      </c>
      <c r="H31" s="148">
        <v>0.54692531994999949</v>
      </c>
      <c r="I31" s="148">
        <v>1.4932586792500004</v>
      </c>
      <c r="J31" s="149">
        <v>0.92933031600000005</v>
      </c>
      <c r="K31" s="150">
        <v>-8.9920096543255501E-2</v>
      </c>
      <c r="L31" s="148">
        <v>0.74504846971345096</v>
      </c>
      <c r="M31" s="148">
        <v>0.54632039468452198</v>
      </c>
      <c r="N31" s="148">
        <v>-0.34618560365696299</v>
      </c>
      <c r="O31" s="148">
        <v>-0.94518326074101</v>
      </c>
      <c r="P31" s="148"/>
      <c r="Q31" s="149"/>
      <c r="R31" s="148"/>
    </row>
    <row r="32" spans="1:18" x14ac:dyDescent="0.25">
      <c r="A32" s="142" t="s">
        <v>319</v>
      </c>
      <c r="B32" s="157" t="s">
        <v>324</v>
      </c>
      <c r="C32" s="147" t="s">
        <v>1125</v>
      </c>
      <c r="D32" s="148">
        <v>1.5565712255899999</v>
      </c>
      <c r="E32" s="148">
        <v>-0.31090470557499961</v>
      </c>
      <c r="F32" s="148">
        <v>-0.18262695872500043</v>
      </c>
      <c r="G32" s="148">
        <v>-0.63505523022500021</v>
      </c>
      <c r="H32" s="148">
        <v>9.0445609774999949E-2</v>
      </c>
      <c r="I32" s="148">
        <v>0.72723657917500006</v>
      </c>
      <c r="J32" s="149">
        <v>0.91563013270000004</v>
      </c>
      <c r="K32" s="150">
        <v>-0.199736896367948</v>
      </c>
      <c r="L32" s="148">
        <v>0.117326438856518</v>
      </c>
      <c r="M32" s="148">
        <v>0.40798340595322902</v>
      </c>
      <c r="N32" s="148">
        <v>-5.8105667307782598E-2</v>
      </c>
      <c r="O32" s="148">
        <v>-0.46720417750196402</v>
      </c>
      <c r="P32" s="148"/>
      <c r="Q32" s="149"/>
      <c r="R32" s="148"/>
    </row>
    <row r="33" spans="1:18" x14ac:dyDescent="0.25">
      <c r="A33" s="142" t="s">
        <v>319</v>
      </c>
      <c r="B33" s="157" t="s">
        <v>325</v>
      </c>
      <c r="C33" s="147" t="s">
        <v>952</v>
      </c>
      <c r="D33" s="148">
        <v>2.3955554170099997</v>
      </c>
      <c r="E33" s="148">
        <v>0.17044633766666664</v>
      </c>
      <c r="F33" s="148">
        <v>-3.6021474666666689</v>
      </c>
      <c r="G33" s="148">
        <v>-1.4633724693666663</v>
      </c>
      <c r="H33" s="148">
        <v>5.0655199360333372</v>
      </c>
      <c r="I33" s="148"/>
      <c r="J33" s="149">
        <v>1.4091502453</v>
      </c>
      <c r="K33" s="150">
        <v>7.1151072714238595E-2</v>
      </c>
      <c r="L33" s="148">
        <v>1.50367945616665</v>
      </c>
      <c r="M33" s="148">
        <v>0.61086980454543904</v>
      </c>
      <c r="N33" s="148">
        <v>-2.1145492607120899</v>
      </c>
      <c r="O33" s="148" t="s">
        <v>3490</v>
      </c>
      <c r="P33" s="148"/>
      <c r="Q33" s="149"/>
      <c r="R33" s="148"/>
    </row>
    <row r="34" spans="1:18" x14ac:dyDescent="0.25">
      <c r="A34" s="142" t="s">
        <v>319</v>
      </c>
      <c r="B34" s="157" t="s">
        <v>325</v>
      </c>
      <c r="C34" s="147" t="s">
        <v>954</v>
      </c>
      <c r="D34" s="148">
        <v>2.0436308950199997</v>
      </c>
      <c r="E34" s="148">
        <v>3.3379771933333385E-2</v>
      </c>
      <c r="F34" s="148">
        <v>-3.1688249917333295</v>
      </c>
      <c r="G34" s="148">
        <v>-1.2823586655333328</v>
      </c>
      <c r="H34" s="148">
        <v>4.4511836572666583</v>
      </c>
      <c r="I34" s="148"/>
      <c r="J34" s="149">
        <v>1.2021358205999999</v>
      </c>
      <c r="K34" s="150">
        <v>1.6333562002157302E-2</v>
      </c>
      <c r="L34" s="148">
        <v>1.55058577331907</v>
      </c>
      <c r="M34" s="148">
        <v>0.62749034997378195</v>
      </c>
      <c r="N34" s="148">
        <v>-2.1780761232928501</v>
      </c>
      <c r="O34" s="148" t="s">
        <v>3490</v>
      </c>
      <c r="P34" s="148"/>
      <c r="Q34" s="149"/>
      <c r="R34" s="148"/>
    </row>
    <row r="35" spans="1:18" x14ac:dyDescent="0.25">
      <c r="A35" s="142" t="s">
        <v>319</v>
      </c>
      <c r="B35" s="157" t="s">
        <v>325</v>
      </c>
      <c r="C35" s="147" t="s">
        <v>956</v>
      </c>
      <c r="D35" s="148">
        <v>1.3089418181799999</v>
      </c>
      <c r="E35" s="148">
        <v>-0.27123877096666665</v>
      </c>
      <c r="F35" s="148">
        <v>-1.8107267228333332</v>
      </c>
      <c r="G35" s="148">
        <v>-1.476308398233336</v>
      </c>
      <c r="H35" s="148">
        <v>3.2870351210666691</v>
      </c>
      <c r="I35" s="148"/>
      <c r="J35" s="149">
        <v>0.7699657754</v>
      </c>
      <c r="K35" s="150">
        <v>-0.20721988341988101</v>
      </c>
      <c r="L35" s="148">
        <v>1.38335157276206</v>
      </c>
      <c r="M35" s="148">
        <v>1.1278640331669201</v>
      </c>
      <c r="N35" s="148">
        <v>-2.5112156059289799</v>
      </c>
      <c r="O35" s="148" t="s">
        <v>3490</v>
      </c>
      <c r="P35" s="148"/>
      <c r="Q35" s="149"/>
      <c r="R35" s="148"/>
    </row>
    <row r="36" spans="1:18" x14ac:dyDescent="0.25">
      <c r="A36" s="142" t="s">
        <v>319</v>
      </c>
      <c r="B36" s="157" t="s">
        <v>325</v>
      </c>
      <c r="C36" s="147" t="s">
        <v>958</v>
      </c>
      <c r="D36" s="148">
        <v>1.05187186979</v>
      </c>
      <c r="E36" s="148">
        <v>6.7412661366666626E-2</v>
      </c>
      <c r="F36" s="148">
        <v>-1.6279188292666678</v>
      </c>
      <c r="G36" s="148">
        <v>-1.0870910360666646</v>
      </c>
      <c r="H36" s="148">
        <v>2.7150098653333323</v>
      </c>
      <c r="I36" s="148"/>
      <c r="J36" s="149">
        <v>0.61874815869999999</v>
      </c>
      <c r="K36" s="150">
        <v>6.4088282330551499E-2</v>
      </c>
      <c r="L36" s="148">
        <v>1.54763985616582</v>
      </c>
      <c r="M36" s="148">
        <v>1.0334823729849301</v>
      </c>
      <c r="N36" s="148">
        <v>-2.5811222291507501</v>
      </c>
      <c r="O36" s="148" t="s">
        <v>3490</v>
      </c>
      <c r="P36" s="148"/>
      <c r="Q36" s="149"/>
      <c r="R36" s="148"/>
    </row>
    <row r="37" spans="1:18" x14ac:dyDescent="0.25">
      <c r="A37" s="142" t="s">
        <v>319</v>
      </c>
      <c r="B37" s="157" t="s">
        <v>326</v>
      </c>
      <c r="C37" s="147" t="s">
        <v>785</v>
      </c>
      <c r="D37" s="148">
        <v>2.8496700000000001</v>
      </c>
      <c r="E37" s="148">
        <v>-2.3002600000000002</v>
      </c>
      <c r="F37" s="148"/>
      <c r="G37" s="148"/>
      <c r="H37" s="148"/>
      <c r="I37" s="148"/>
      <c r="J37" s="149"/>
      <c r="K37" s="150">
        <v>1.6762752000000003</v>
      </c>
      <c r="L37" s="148">
        <v>-0.80720159999999985</v>
      </c>
      <c r="M37" s="148"/>
      <c r="N37" s="148"/>
      <c r="O37" s="148"/>
      <c r="P37" s="148"/>
      <c r="Q37" s="149"/>
      <c r="R37" s="148"/>
    </row>
    <row r="38" spans="1:18" x14ac:dyDescent="0.25">
      <c r="A38" s="142" t="s">
        <v>319</v>
      </c>
      <c r="B38" s="157" t="s">
        <v>326</v>
      </c>
      <c r="C38" s="147" t="s">
        <v>787</v>
      </c>
      <c r="D38" s="148">
        <v>1.2694099999999997</v>
      </c>
      <c r="E38" s="148">
        <v>-1.0203</v>
      </c>
      <c r="F38" s="148"/>
      <c r="G38" s="148"/>
      <c r="H38" s="148"/>
      <c r="I38" s="148"/>
      <c r="J38" s="149"/>
      <c r="K38" s="150">
        <v>0.7467092999999998</v>
      </c>
      <c r="L38" s="148">
        <v>-0.80375929999999984</v>
      </c>
      <c r="M38" s="148"/>
      <c r="N38" s="148"/>
      <c r="O38" s="148"/>
      <c r="P38" s="148"/>
      <c r="Q38" s="149"/>
      <c r="R38" s="148"/>
    </row>
    <row r="39" spans="1:18" x14ac:dyDescent="0.25">
      <c r="A39" s="142" t="s">
        <v>319</v>
      </c>
      <c r="B39" s="157" t="s">
        <v>326</v>
      </c>
      <c r="C39" s="147" t="s">
        <v>789</v>
      </c>
      <c r="D39" s="148">
        <v>1.8056300000000001</v>
      </c>
      <c r="E39" s="148">
        <v>-3.6455100000000007</v>
      </c>
      <c r="F39" s="148"/>
      <c r="G39" s="148"/>
      <c r="H39" s="148"/>
      <c r="I39" s="148"/>
      <c r="J39" s="149"/>
      <c r="K39" s="150">
        <v>1.0621339999999999</v>
      </c>
      <c r="L39" s="148">
        <v>-2.0189734000000001</v>
      </c>
      <c r="M39" s="148"/>
      <c r="N39" s="148"/>
      <c r="O39" s="148"/>
      <c r="P39" s="148"/>
      <c r="Q39" s="149"/>
      <c r="R39" s="148"/>
    </row>
    <row r="40" spans="1:18" x14ac:dyDescent="0.25">
      <c r="A40" s="142" t="s">
        <v>319</v>
      </c>
      <c r="B40" s="157" t="s">
        <v>326</v>
      </c>
      <c r="C40" s="147" t="s">
        <v>791</v>
      </c>
      <c r="D40" s="148">
        <v>2.51545</v>
      </c>
      <c r="E40" s="148">
        <v>-3.27502</v>
      </c>
      <c r="F40" s="148"/>
      <c r="G40" s="148"/>
      <c r="H40" s="148"/>
      <c r="I40" s="148"/>
      <c r="J40" s="149"/>
      <c r="K40" s="150">
        <v>1.4796743000000003</v>
      </c>
      <c r="L40" s="148">
        <v>-1.3019641</v>
      </c>
      <c r="M40" s="148"/>
      <c r="N40" s="148"/>
      <c r="O40" s="148"/>
      <c r="P40" s="148"/>
      <c r="Q40" s="149"/>
      <c r="R40" s="148"/>
    </row>
    <row r="41" spans="1:18" x14ac:dyDescent="0.25">
      <c r="A41" s="142" t="s">
        <v>319</v>
      </c>
      <c r="B41" s="158" t="s">
        <v>326</v>
      </c>
      <c r="C41" s="151" t="s">
        <v>825</v>
      </c>
      <c r="D41" s="148">
        <v>1.3281999999999998</v>
      </c>
      <c r="E41" s="148">
        <v>0.30409000000000008</v>
      </c>
      <c r="F41" s="148"/>
      <c r="G41" s="148"/>
      <c r="H41" s="148"/>
      <c r="I41" s="148"/>
      <c r="J41" s="149"/>
      <c r="K41" s="150">
        <v>0.78129411764705869</v>
      </c>
      <c r="L41" s="148">
        <v>0.22894895347086291</v>
      </c>
      <c r="M41" s="148"/>
      <c r="N41" s="148"/>
      <c r="O41" s="148"/>
      <c r="P41" s="148"/>
      <c r="Q41" s="149"/>
      <c r="R41" s="148"/>
    </row>
    <row r="42" spans="1:18" x14ac:dyDescent="0.25">
      <c r="A42" s="142" t="s">
        <v>319</v>
      </c>
      <c r="B42" s="157" t="s">
        <v>326</v>
      </c>
      <c r="C42" s="147" t="s">
        <v>843</v>
      </c>
      <c r="D42" s="148">
        <v>1.4088799999999999</v>
      </c>
      <c r="E42" s="148">
        <v>3.4720000000000001E-2</v>
      </c>
      <c r="F42" s="148">
        <v>-3.7827799999999994</v>
      </c>
      <c r="G42" s="148">
        <v>1.0145200000000001</v>
      </c>
      <c r="H42" s="148">
        <v>2.7682600000000002</v>
      </c>
      <c r="I42" s="148"/>
      <c r="J42" s="149"/>
      <c r="K42" s="150">
        <v>0.82875239999999983</v>
      </c>
      <c r="L42" s="148">
        <v>2.4646052867783312E-2</v>
      </c>
      <c r="M42" s="148">
        <v>2.6849573000000002</v>
      </c>
      <c r="N42" s="148">
        <v>-0.72008729999999999</v>
      </c>
      <c r="O42" s="148">
        <v>-1.9648699999999997</v>
      </c>
      <c r="P42" s="148"/>
      <c r="Q42" s="149"/>
      <c r="R42" s="148"/>
    </row>
    <row r="43" spans="1:18" x14ac:dyDescent="0.25">
      <c r="A43" s="142" t="s">
        <v>319</v>
      </c>
      <c r="B43" s="157" t="s">
        <v>326</v>
      </c>
      <c r="C43" s="147" t="s">
        <v>845</v>
      </c>
      <c r="D43" s="148">
        <v>1.359</v>
      </c>
      <c r="E43" s="148">
        <v>1.7572700000000001</v>
      </c>
      <c r="F43" s="148">
        <v>-1.9118299999999999</v>
      </c>
      <c r="G43" s="148">
        <v>0.76700000000000002</v>
      </c>
      <c r="H43" s="148">
        <v>1.1448299999999998</v>
      </c>
      <c r="I43" s="148"/>
      <c r="J43" s="149"/>
      <c r="K43" s="150">
        <v>0.79941459999999986</v>
      </c>
      <c r="L43" s="148">
        <v>1.2930535000000001</v>
      </c>
      <c r="M43" s="148">
        <v>1.4067901</v>
      </c>
      <c r="N43" s="148">
        <v>-0.5643823</v>
      </c>
      <c r="O43" s="148">
        <v>-0.84240780000000004</v>
      </c>
      <c r="P43" s="148"/>
      <c r="Q43" s="149"/>
      <c r="R43" s="148"/>
    </row>
    <row r="44" spans="1:18" x14ac:dyDescent="0.25">
      <c r="A44" s="142" t="s">
        <v>319</v>
      </c>
      <c r="B44" s="157" t="s">
        <v>326</v>
      </c>
      <c r="C44" s="147" t="s">
        <v>847</v>
      </c>
      <c r="D44" s="148">
        <v>2.62405</v>
      </c>
      <c r="E44" s="148">
        <v>1.4194800000000001</v>
      </c>
      <c r="F44" s="148">
        <v>-3.1638600000000001</v>
      </c>
      <c r="G44" s="148">
        <v>0.41267999999999999</v>
      </c>
      <c r="H44" s="148">
        <v>2.7511800000000002</v>
      </c>
      <c r="I44" s="148"/>
      <c r="J44" s="149"/>
      <c r="K44" s="150">
        <v>1.5435581999999997</v>
      </c>
      <c r="L44" s="148">
        <v>0.54094880000000001</v>
      </c>
      <c r="M44" s="148">
        <v>1.2057173999999999</v>
      </c>
      <c r="N44" s="148">
        <v>-0.1572701</v>
      </c>
      <c r="O44" s="148">
        <v>-1.0484472000000002</v>
      </c>
      <c r="P44" s="148"/>
      <c r="Q44" s="149"/>
      <c r="R44" s="148"/>
    </row>
    <row r="45" spans="1:18" x14ac:dyDescent="0.25">
      <c r="A45" s="142" t="s">
        <v>319</v>
      </c>
      <c r="B45" s="157" t="s">
        <v>326</v>
      </c>
      <c r="C45" s="147" t="s">
        <v>849</v>
      </c>
      <c r="D45" s="148">
        <v>1.63706</v>
      </c>
      <c r="E45" s="148">
        <v>1.57446</v>
      </c>
      <c r="F45" s="148">
        <v>-1.8840499999999996</v>
      </c>
      <c r="G45" s="148">
        <v>0.59075999999999995</v>
      </c>
      <c r="H45" s="148">
        <v>1.2932900000000001</v>
      </c>
      <c r="I45" s="148"/>
      <c r="J45" s="149"/>
      <c r="K45" s="150">
        <v>0.96297450000000018</v>
      </c>
      <c r="L45" s="148">
        <v>0.96176329999999999</v>
      </c>
      <c r="M45" s="148">
        <v>1.1508791</v>
      </c>
      <c r="N45" s="148">
        <v>-0.36086669999999993</v>
      </c>
      <c r="O45" s="148">
        <v>-0.79001239999999984</v>
      </c>
      <c r="P45" s="148"/>
      <c r="Q45" s="149"/>
      <c r="R45" s="148"/>
    </row>
    <row r="46" spans="1:18" x14ac:dyDescent="0.25">
      <c r="A46" s="142" t="s">
        <v>319</v>
      </c>
      <c r="B46" s="157" t="s">
        <v>326</v>
      </c>
      <c r="C46" s="147" t="s">
        <v>851</v>
      </c>
      <c r="D46" s="148">
        <v>0.70157999999999998</v>
      </c>
      <c r="E46" s="148">
        <v>1.7789600000000001</v>
      </c>
      <c r="F46" s="148">
        <v>-7.7789999999999984E-2</v>
      </c>
      <c r="G46" s="148">
        <v>0.57330999999999999</v>
      </c>
      <c r="H46" s="148">
        <v>-0.4955199999999999</v>
      </c>
      <c r="I46" s="148"/>
      <c r="J46" s="149"/>
      <c r="K46" s="150">
        <v>0.412692</v>
      </c>
      <c r="L46" s="148">
        <v>2.5356638000000005</v>
      </c>
      <c r="M46" s="148">
        <v>0.1108855</v>
      </c>
      <c r="N46" s="148">
        <v>-0.81717220000000002</v>
      </c>
      <c r="O46" s="148">
        <v>0.70628659999999988</v>
      </c>
      <c r="P46" s="148"/>
      <c r="Q46" s="149"/>
      <c r="R46" s="148"/>
    </row>
    <row r="47" spans="1:18" x14ac:dyDescent="0.25">
      <c r="A47" s="142" t="s">
        <v>319</v>
      </c>
      <c r="B47" s="157" t="s">
        <v>327</v>
      </c>
      <c r="C47" s="147" t="s">
        <v>980</v>
      </c>
      <c r="D47" s="148">
        <v>1.518338</v>
      </c>
      <c r="E47" s="148">
        <v>-5.6679557540000002E-2</v>
      </c>
      <c r="F47" s="148">
        <v>-3.0272471210199998</v>
      </c>
      <c r="G47" s="148">
        <v>-0.677178748</v>
      </c>
      <c r="H47" s="148">
        <v>3.7044410524</v>
      </c>
      <c r="I47" s="148"/>
      <c r="J47" s="149">
        <v>0.89314000000000004</v>
      </c>
      <c r="K47" s="150">
        <v>-3.7330000000000002E-2</v>
      </c>
      <c r="L47" s="148">
        <v>1.99379</v>
      </c>
      <c r="M47" s="148">
        <v>0.44600000000000001</v>
      </c>
      <c r="N47" s="148">
        <v>-2.4398</v>
      </c>
      <c r="O47" s="148" t="s">
        <v>3490</v>
      </c>
      <c r="P47" s="148"/>
      <c r="Q47" s="149"/>
      <c r="R47" s="148"/>
    </row>
    <row r="48" spans="1:18" x14ac:dyDescent="0.25">
      <c r="A48" s="142" t="s">
        <v>319</v>
      </c>
      <c r="B48" s="157" t="s">
        <v>327</v>
      </c>
      <c r="C48" s="147" t="s">
        <v>982</v>
      </c>
      <c r="D48" s="148">
        <v>1.4189559999999999</v>
      </c>
      <c r="E48" s="148">
        <v>0.56771010603999994</v>
      </c>
      <c r="F48" s="148">
        <v>-3.3008605845599996</v>
      </c>
      <c r="G48" s="148">
        <v>-0.20146337287999996</v>
      </c>
      <c r="H48" s="148">
        <v>3.5023381469999997</v>
      </c>
      <c r="I48" s="148"/>
      <c r="J48" s="149">
        <v>0.83467999999999998</v>
      </c>
      <c r="K48" s="150">
        <v>0.40009</v>
      </c>
      <c r="L48" s="148">
        <v>2.32626</v>
      </c>
      <c r="M48" s="148">
        <v>0.14198</v>
      </c>
      <c r="N48" s="148">
        <v>-2.4682499999999998</v>
      </c>
      <c r="O48" s="148" t="s">
        <v>3490</v>
      </c>
      <c r="P48" s="148"/>
      <c r="Q48" s="149"/>
      <c r="R48" s="148"/>
    </row>
    <row r="49" spans="1:18" x14ac:dyDescent="0.25">
      <c r="A49" s="142" t="s">
        <v>319</v>
      </c>
      <c r="B49" s="157" t="s">
        <v>327</v>
      </c>
      <c r="C49" s="147" t="s">
        <v>984</v>
      </c>
      <c r="D49" s="148">
        <v>1.948863</v>
      </c>
      <c r="E49" s="148">
        <v>-0.56723606477999999</v>
      </c>
      <c r="F49" s="148">
        <v>-3.6970515768899999</v>
      </c>
      <c r="G49" s="148">
        <v>-0.75840003644999998</v>
      </c>
      <c r="H49" s="148">
        <v>4.4554321247099997</v>
      </c>
      <c r="I49" s="148"/>
      <c r="J49" s="149">
        <v>1.14639</v>
      </c>
      <c r="K49" s="150">
        <v>-0.29105999999999999</v>
      </c>
      <c r="L49" s="148">
        <v>1.89703</v>
      </c>
      <c r="M49" s="148">
        <v>0.38915</v>
      </c>
      <c r="N49" s="148">
        <v>-2.2861699999999998</v>
      </c>
      <c r="O49" s="148" t="s">
        <v>3490</v>
      </c>
      <c r="P49" s="148"/>
      <c r="Q49" s="149"/>
      <c r="R49" s="148"/>
    </row>
    <row r="50" spans="1:18" x14ac:dyDescent="0.25">
      <c r="A50" s="142" t="s">
        <v>319</v>
      </c>
      <c r="B50" s="157" t="s">
        <v>327</v>
      </c>
      <c r="C50" s="147" t="s">
        <v>986</v>
      </c>
      <c r="D50" s="148">
        <v>1.9668659999999998</v>
      </c>
      <c r="E50" s="148">
        <v>-0.33979577015999995</v>
      </c>
      <c r="F50" s="148">
        <v>-3.7393072958999993</v>
      </c>
      <c r="G50" s="148">
        <v>-0.57696047243999993</v>
      </c>
      <c r="H50" s="148">
        <v>4.3162677683399995</v>
      </c>
      <c r="I50" s="148"/>
      <c r="J50" s="149">
        <v>1.1569799999999999</v>
      </c>
      <c r="K50" s="150">
        <v>-0.17276</v>
      </c>
      <c r="L50" s="148">
        <v>1.9011499999999999</v>
      </c>
      <c r="M50" s="148">
        <v>0.29333999999999999</v>
      </c>
      <c r="N50" s="148">
        <v>-2.1944900000000001</v>
      </c>
      <c r="O50" s="148" t="s">
        <v>3490</v>
      </c>
      <c r="P50" s="148"/>
      <c r="Q50" s="149"/>
      <c r="R50" s="148"/>
    </row>
    <row r="51" spans="1:18" x14ac:dyDescent="0.25">
      <c r="A51" s="142" t="s">
        <v>319</v>
      </c>
      <c r="B51" s="157" t="s">
        <v>328</v>
      </c>
      <c r="C51" s="147" t="s">
        <v>1107</v>
      </c>
      <c r="D51" s="148">
        <v>1.3146099999999998</v>
      </c>
      <c r="E51" s="148">
        <v>-9.8595749999999989E-3</v>
      </c>
      <c r="F51" s="148">
        <v>-1.6584462454999997</v>
      </c>
      <c r="G51" s="148">
        <v>0.11204421029999999</v>
      </c>
      <c r="H51" s="148">
        <v>1.5464020351999999</v>
      </c>
      <c r="I51" s="148"/>
      <c r="J51" s="149">
        <v>0.77329999999999999</v>
      </c>
      <c r="K51" s="150">
        <v>-7.4999999999999997E-3</v>
      </c>
      <c r="L51" s="148">
        <v>1.2615499999999999</v>
      </c>
      <c r="M51" s="148">
        <v>-8.523E-2</v>
      </c>
      <c r="N51" s="148">
        <v>-1.17632</v>
      </c>
      <c r="O51" s="148" t="s">
        <v>3490</v>
      </c>
      <c r="P51" s="148"/>
      <c r="Q51" s="149"/>
      <c r="R51" s="148"/>
    </row>
    <row r="52" spans="1:18" x14ac:dyDescent="0.25">
      <c r="A52" s="142" t="s">
        <v>319</v>
      </c>
      <c r="B52" s="157" t="s">
        <v>328</v>
      </c>
      <c r="C52" s="147" t="s">
        <v>1109</v>
      </c>
      <c r="D52" s="148">
        <v>1.8696600000000001</v>
      </c>
      <c r="E52" s="148">
        <v>-6.6036391200000003E-2</v>
      </c>
      <c r="F52" s="148">
        <v>-2.3400103662000005</v>
      </c>
      <c r="G52" s="148">
        <v>9.0472847400000014E-2</v>
      </c>
      <c r="H52" s="148">
        <v>2.2495375188</v>
      </c>
      <c r="I52" s="148"/>
      <c r="J52" s="149">
        <v>1.0998000000000001</v>
      </c>
      <c r="K52" s="150">
        <v>-3.5319999999999997E-2</v>
      </c>
      <c r="L52" s="148">
        <v>1.2515700000000001</v>
      </c>
      <c r="M52" s="148">
        <v>-4.8390000000000002E-2</v>
      </c>
      <c r="N52" s="148">
        <v>-1.2031799999999999</v>
      </c>
      <c r="O52" s="148" t="s">
        <v>3490</v>
      </c>
      <c r="P52" s="148"/>
      <c r="Q52" s="149"/>
      <c r="R52" s="148"/>
    </row>
    <row r="53" spans="1:18" x14ac:dyDescent="0.25">
      <c r="A53" s="142" t="s">
        <v>319</v>
      </c>
      <c r="B53" s="157" t="s">
        <v>328</v>
      </c>
      <c r="C53" s="147" t="s">
        <v>1111</v>
      </c>
      <c r="D53" s="148">
        <v>2.2464819999999999</v>
      </c>
      <c r="E53" s="148">
        <v>-2.3340947979999999E-2</v>
      </c>
      <c r="F53" s="148">
        <v>-2.4730621745199999</v>
      </c>
      <c r="G53" s="148">
        <v>4.7468164659999999E-2</v>
      </c>
      <c r="H53" s="148">
        <v>2.4255940098600002</v>
      </c>
      <c r="I53" s="148"/>
      <c r="J53" s="149">
        <v>1.3214600000000001</v>
      </c>
      <c r="K53" s="150">
        <v>-1.039E-2</v>
      </c>
      <c r="L53" s="148">
        <v>1.1008599999999999</v>
      </c>
      <c r="M53" s="148">
        <v>-2.1129999999999999E-2</v>
      </c>
      <c r="N53" s="148">
        <v>-1.0797300000000001</v>
      </c>
      <c r="O53" s="148" t="s">
        <v>3490</v>
      </c>
      <c r="P53" s="148"/>
      <c r="Q53" s="149"/>
      <c r="R53" s="148"/>
    </row>
    <row r="54" spans="1:18" x14ac:dyDescent="0.25">
      <c r="A54" s="142" t="s">
        <v>319</v>
      </c>
      <c r="B54" s="157" t="s">
        <v>328</v>
      </c>
      <c r="C54" s="147" t="s">
        <v>1113</v>
      </c>
      <c r="D54" s="148">
        <v>1.7256020000000001</v>
      </c>
      <c r="E54" s="148">
        <v>7.6564960740000007E-2</v>
      </c>
      <c r="F54" s="148">
        <v>-1.9509483651800001</v>
      </c>
      <c r="G54" s="148">
        <v>0.13487305231999999</v>
      </c>
      <c r="H54" s="148">
        <v>1.81605805684</v>
      </c>
      <c r="I54" s="148"/>
      <c r="J54" s="149">
        <v>1.0150600000000001</v>
      </c>
      <c r="K54" s="150">
        <v>4.437E-2</v>
      </c>
      <c r="L54" s="148">
        <v>1.13059</v>
      </c>
      <c r="M54" s="148">
        <v>-7.8159999999999993E-2</v>
      </c>
      <c r="N54" s="148">
        <v>-1.0524199999999999</v>
      </c>
      <c r="O54" s="148" t="s">
        <v>3490</v>
      </c>
      <c r="P54" s="148"/>
      <c r="Q54" s="149"/>
      <c r="R54" s="148"/>
    </row>
    <row r="55" spans="1:18" x14ac:dyDescent="0.25">
      <c r="A55" s="152" t="s">
        <v>319</v>
      </c>
      <c r="B55" s="159" t="s">
        <v>328</v>
      </c>
      <c r="C55" s="153" t="s">
        <v>1115</v>
      </c>
      <c r="D55" s="154">
        <v>1.3436459999999999</v>
      </c>
      <c r="E55" s="154">
        <v>2.2667308019999999E-2</v>
      </c>
      <c r="F55" s="154">
        <v>-1.6525770883199997</v>
      </c>
      <c r="G55" s="154">
        <v>0.14004822257999999</v>
      </c>
      <c r="H55" s="154">
        <v>1.5125423021999997</v>
      </c>
      <c r="I55" s="154"/>
      <c r="J55" s="155">
        <v>0.79037999999999997</v>
      </c>
      <c r="K55" s="156">
        <v>1.687E-2</v>
      </c>
      <c r="L55" s="154">
        <v>1.2299199999999999</v>
      </c>
      <c r="M55" s="154">
        <v>-0.10423</v>
      </c>
      <c r="N55" s="154">
        <v>-1.1256999999999999</v>
      </c>
      <c r="O55" s="154" t="s">
        <v>3490</v>
      </c>
      <c r="P55" s="154"/>
      <c r="Q55" s="155"/>
      <c r="R55" s="148"/>
    </row>
    <row r="56" spans="1:18" x14ac:dyDescent="0.25">
      <c r="A56" s="142" t="s">
        <v>329</v>
      </c>
      <c r="B56" s="157" t="s">
        <v>330</v>
      </c>
      <c r="C56" s="147" t="s">
        <v>1311</v>
      </c>
      <c r="D56" s="148">
        <v>1.11772</v>
      </c>
      <c r="E56" s="148">
        <v>-0.2346</v>
      </c>
      <c r="F56" s="148">
        <v>-0.86873</v>
      </c>
      <c r="G56" s="148">
        <v>-1.0042899999999999</v>
      </c>
      <c r="H56" s="148">
        <v>0.27361999999999997</v>
      </c>
      <c r="I56" s="148">
        <v>1.5993999999999999</v>
      </c>
      <c r="J56" s="149"/>
      <c r="K56" s="150">
        <v>0.65747989920000005</v>
      </c>
      <c r="L56" s="148">
        <v>-0.20989357593285204</v>
      </c>
      <c r="M56" s="148">
        <v>0.77723646752595621</v>
      </c>
      <c r="N56" s="148">
        <v>0.8985234445252438</v>
      </c>
      <c r="O56" s="148">
        <v>-0.24480263054244403</v>
      </c>
      <c r="P56" s="148">
        <v>-1.4309572815087599</v>
      </c>
      <c r="Q56" s="149"/>
      <c r="R56" s="148"/>
    </row>
    <row r="57" spans="1:18" x14ac:dyDescent="0.25">
      <c r="A57" s="142" t="s">
        <v>329</v>
      </c>
      <c r="B57" s="157" t="s">
        <v>330</v>
      </c>
      <c r="C57" s="147" t="s">
        <v>1313</v>
      </c>
      <c r="D57" s="148">
        <v>1.8812</v>
      </c>
      <c r="E57" s="148">
        <v>1.7610000000000001E-2</v>
      </c>
      <c r="F57" s="148">
        <v>-1.5495300000000001</v>
      </c>
      <c r="G57" s="148">
        <v>-1.2507999999999997</v>
      </c>
      <c r="H57" s="148">
        <v>0.43858000000000003</v>
      </c>
      <c r="I57" s="148">
        <v>2.3617499999999998</v>
      </c>
      <c r="J57" s="149"/>
      <c r="K57" s="150">
        <v>1.1065875738999997</v>
      </c>
      <c r="L57" s="148">
        <v>9.3637000469186781E-3</v>
      </c>
      <c r="M57" s="148">
        <v>0.82369487541877884</v>
      </c>
      <c r="N57" s="148">
        <v>0.66489392174504491</v>
      </c>
      <c r="O57" s="148">
        <v>-0.23313990125213199</v>
      </c>
      <c r="P57" s="148">
        <v>-1.2554488959116898</v>
      </c>
      <c r="Q57" s="149"/>
      <c r="R57" s="148"/>
    </row>
    <row r="58" spans="1:18" x14ac:dyDescent="0.25">
      <c r="A58" s="142" t="s">
        <v>329</v>
      </c>
      <c r="B58" s="157" t="s">
        <v>330</v>
      </c>
      <c r="C58" s="147" t="s">
        <v>1315</v>
      </c>
      <c r="D58" s="148">
        <v>2.4879600000000006</v>
      </c>
      <c r="E58" s="148">
        <v>0.23134999999999997</v>
      </c>
      <c r="F58" s="148">
        <v>-1.90421</v>
      </c>
      <c r="G58" s="148">
        <v>-1.56016</v>
      </c>
      <c r="H58" s="148">
        <v>0.50163000000000002</v>
      </c>
      <c r="I58" s="148">
        <v>2.9627400000000002</v>
      </c>
      <c r="J58" s="149"/>
      <c r="K58" s="150">
        <v>1.4635057216</v>
      </c>
      <c r="L58" s="148">
        <v>9.2988076993513427E-2</v>
      </c>
      <c r="M58" s="148">
        <v>0.76537100234151179</v>
      </c>
      <c r="N58" s="148">
        <v>0.62708452953209104</v>
      </c>
      <c r="O58" s="148">
        <v>-0.20162464094076296</v>
      </c>
      <c r="P58" s="148">
        <v>-1.19083089093284</v>
      </c>
      <c r="Q58" s="149"/>
      <c r="R58" s="148"/>
    </row>
    <row r="59" spans="1:18" x14ac:dyDescent="0.25">
      <c r="A59" s="142" t="s">
        <v>329</v>
      </c>
      <c r="B59" s="157" t="s">
        <v>330</v>
      </c>
      <c r="C59" s="147" t="s">
        <v>1317</v>
      </c>
      <c r="D59" s="148">
        <v>1.3131299999999999</v>
      </c>
      <c r="E59" s="148">
        <v>-1.436E-2</v>
      </c>
      <c r="F59" s="148">
        <v>-0.84072999999999998</v>
      </c>
      <c r="G59" s="148">
        <v>-1.1019000000000001</v>
      </c>
      <c r="H59" s="148">
        <v>0.23280000000000001</v>
      </c>
      <c r="I59" s="148">
        <v>1.70983</v>
      </c>
      <c r="J59" s="149"/>
      <c r="K59" s="150">
        <v>0.77242680530000019</v>
      </c>
      <c r="L59" s="148">
        <v>-1.0938939000958998E-2</v>
      </c>
      <c r="M59" s="148">
        <v>0.64024872566745217</v>
      </c>
      <c r="N59" s="148">
        <v>0.83914041680777696</v>
      </c>
      <c r="O59" s="148">
        <v>-0.17728839716030795</v>
      </c>
      <c r="P59" s="148">
        <v>-1.30210074531492</v>
      </c>
      <c r="Q59" s="149"/>
      <c r="R59" s="148"/>
    </row>
    <row r="60" spans="1:18" x14ac:dyDescent="0.25">
      <c r="A60" s="142" t="s">
        <v>329</v>
      </c>
      <c r="B60" s="157" t="s">
        <v>331</v>
      </c>
      <c r="C60" s="147" t="s">
        <v>1277</v>
      </c>
      <c r="D60" s="148">
        <v>1.4250100000000001</v>
      </c>
      <c r="E60" s="148">
        <v>-0.65869999999999995</v>
      </c>
      <c r="F60" s="148"/>
      <c r="G60" s="148"/>
      <c r="H60" s="148"/>
      <c r="I60" s="148"/>
      <c r="J60" s="149"/>
      <c r="K60" s="150">
        <v>0.83824004629999982</v>
      </c>
      <c r="L60" s="148">
        <v>-0.46224241303690911</v>
      </c>
      <c r="M60" s="148"/>
      <c r="N60" s="148"/>
      <c r="O60" s="148"/>
      <c r="P60" s="148"/>
      <c r="Q60" s="149"/>
      <c r="R60" s="148"/>
    </row>
    <row r="61" spans="1:18" x14ac:dyDescent="0.25">
      <c r="A61" s="142" t="s">
        <v>329</v>
      </c>
      <c r="B61" s="157" t="s">
        <v>331</v>
      </c>
      <c r="C61" s="147" t="s">
        <v>1279</v>
      </c>
      <c r="D61" s="148">
        <v>1.6506399999999997</v>
      </c>
      <c r="E61" s="148">
        <v>-0.61246</v>
      </c>
      <c r="F61" s="148"/>
      <c r="G61" s="148"/>
      <c r="H61" s="148"/>
      <c r="I61" s="148"/>
      <c r="J61" s="149"/>
      <c r="K61" s="150">
        <v>0.97096461140000001</v>
      </c>
      <c r="L61" s="148">
        <v>-0.37104329296331962</v>
      </c>
      <c r="M61" s="148"/>
      <c r="N61" s="148"/>
      <c r="O61" s="148"/>
      <c r="P61" s="148"/>
      <c r="Q61" s="149"/>
      <c r="R61" s="148"/>
    </row>
    <row r="62" spans="1:18" x14ac:dyDescent="0.25">
      <c r="A62" s="142" t="s">
        <v>329</v>
      </c>
      <c r="B62" s="157" t="s">
        <v>331</v>
      </c>
      <c r="C62" s="147" t="s">
        <v>1281</v>
      </c>
      <c r="D62" s="148">
        <v>1.1466499999999997</v>
      </c>
      <c r="E62" s="148">
        <v>0.73717999999999984</v>
      </c>
      <c r="F62" s="148"/>
      <c r="G62" s="148"/>
      <c r="H62" s="148"/>
      <c r="I62" s="148"/>
      <c r="J62" s="149"/>
      <c r="K62" s="150">
        <v>0.67450107960000016</v>
      </c>
      <c r="L62" s="148">
        <v>0.64289525485673982</v>
      </c>
      <c r="M62" s="148"/>
      <c r="N62" s="148"/>
      <c r="O62" s="148"/>
      <c r="P62" s="148"/>
      <c r="Q62" s="149"/>
      <c r="R62" s="148"/>
    </row>
    <row r="63" spans="1:18" x14ac:dyDescent="0.25">
      <c r="A63" s="142" t="s">
        <v>329</v>
      </c>
      <c r="B63" s="157" t="s">
        <v>331</v>
      </c>
      <c r="C63" s="147" t="s">
        <v>1283</v>
      </c>
      <c r="D63" s="148">
        <v>2.1397599999999999</v>
      </c>
      <c r="E63" s="148">
        <v>-0.27855000000000002</v>
      </c>
      <c r="F63" s="148"/>
      <c r="G63" s="148"/>
      <c r="H63" s="148"/>
      <c r="I63" s="148"/>
      <c r="J63" s="149"/>
      <c r="K63" s="150">
        <v>1.2586796368000002</v>
      </c>
      <c r="L63" s="148">
        <v>-0.13017914700452415</v>
      </c>
      <c r="M63" s="148"/>
      <c r="N63" s="148"/>
      <c r="O63" s="148"/>
      <c r="P63" s="148"/>
      <c r="Q63" s="149"/>
      <c r="R63" s="148"/>
    </row>
    <row r="64" spans="1:18" x14ac:dyDescent="0.25">
      <c r="A64" s="142" t="s">
        <v>329</v>
      </c>
      <c r="B64" s="157" t="s">
        <v>331</v>
      </c>
      <c r="C64" s="147" t="s">
        <v>1285</v>
      </c>
      <c r="D64" s="148">
        <v>1.6549799999999999</v>
      </c>
      <c r="E64" s="148">
        <v>0.34729999999999994</v>
      </c>
      <c r="F64" s="148"/>
      <c r="G64" s="148"/>
      <c r="H64" s="148"/>
      <c r="I64" s="148"/>
      <c r="J64" s="149"/>
      <c r="K64" s="150">
        <v>0.97351989819999996</v>
      </c>
      <c r="L64" s="148">
        <v>0.20984840065907837</v>
      </c>
      <c r="M64" s="148"/>
      <c r="N64" s="148"/>
      <c r="O64" s="148"/>
      <c r="P64" s="148"/>
      <c r="Q64" s="149"/>
      <c r="R64" s="148"/>
    </row>
    <row r="65" spans="1:18" x14ac:dyDescent="0.25">
      <c r="A65" s="142" t="s">
        <v>329</v>
      </c>
      <c r="B65" s="157" t="s">
        <v>331</v>
      </c>
      <c r="C65" s="147" t="s">
        <v>1287</v>
      </c>
      <c r="D65" s="148">
        <v>1.62687</v>
      </c>
      <c r="E65" s="148">
        <v>0.46523999999999999</v>
      </c>
      <c r="F65" s="148"/>
      <c r="G65" s="148"/>
      <c r="H65" s="148"/>
      <c r="I65" s="148"/>
      <c r="J65" s="149"/>
      <c r="K65" s="150">
        <v>0.95698264820000001</v>
      </c>
      <c r="L65" s="148">
        <v>0.2859704022202243</v>
      </c>
      <c r="M65" s="148"/>
      <c r="N65" s="148"/>
      <c r="O65" s="148"/>
      <c r="P65" s="148"/>
      <c r="Q65" s="149"/>
      <c r="R65" s="148"/>
    </row>
    <row r="66" spans="1:18" x14ac:dyDescent="0.25">
      <c r="A66" s="142" t="s">
        <v>329</v>
      </c>
      <c r="B66" s="157" t="s">
        <v>331</v>
      </c>
      <c r="C66" s="147" t="s">
        <v>1289</v>
      </c>
      <c r="D66" s="148">
        <v>2.7503099999999998</v>
      </c>
      <c r="E66" s="148">
        <v>3.4542200000000007</v>
      </c>
      <c r="F66" s="148"/>
      <c r="G66" s="148"/>
      <c r="H66" s="148"/>
      <c r="I66" s="148"/>
      <c r="J66" s="149"/>
      <c r="K66" s="150">
        <v>1.6178294117647058</v>
      </c>
      <c r="L66" s="148">
        <v>1.2559384214870328</v>
      </c>
      <c r="M66" s="148"/>
      <c r="N66" s="148"/>
      <c r="O66" s="148"/>
      <c r="P66" s="148"/>
      <c r="Q66" s="149"/>
      <c r="R66" s="148"/>
    </row>
    <row r="67" spans="1:18" x14ac:dyDescent="0.25">
      <c r="A67" s="142" t="s">
        <v>329</v>
      </c>
      <c r="B67" s="157" t="s">
        <v>331</v>
      </c>
      <c r="C67" s="147" t="s">
        <v>1291</v>
      </c>
      <c r="D67" s="148">
        <v>4.0945400000000012</v>
      </c>
      <c r="E67" s="148">
        <v>6.3806900000000013</v>
      </c>
      <c r="F67" s="148"/>
      <c r="G67" s="148"/>
      <c r="H67" s="148"/>
      <c r="I67" s="148"/>
      <c r="J67" s="149"/>
      <c r="K67" s="150">
        <v>2.4085529411764712</v>
      </c>
      <c r="L67" s="148">
        <v>1.558341107914442</v>
      </c>
      <c r="M67" s="148"/>
      <c r="N67" s="148"/>
      <c r="O67" s="148"/>
      <c r="P67" s="148"/>
      <c r="Q67" s="149"/>
      <c r="R67" s="148"/>
    </row>
    <row r="68" spans="1:18" x14ac:dyDescent="0.25">
      <c r="A68" s="142" t="s">
        <v>329</v>
      </c>
      <c r="B68" s="157" t="s">
        <v>331</v>
      </c>
      <c r="C68" s="147" t="s">
        <v>1293</v>
      </c>
      <c r="D68" s="148">
        <v>3.62791</v>
      </c>
      <c r="E68" s="148">
        <v>5.8027599999999984</v>
      </c>
      <c r="F68" s="148"/>
      <c r="G68" s="148"/>
      <c r="H68" s="148"/>
      <c r="I68" s="148"/>
      <c r="J68" s="149"/>
      <c r="K68" s="150">
        <v>2.134064705882353</v>
      </c>
      <c r="L68" s="148">
        <v>1.5994773850508965</v>
      </c>
      <c r="M68" s="148"/>
      <c r="N68" s="148"/>
      <c r="O68" s="148"/>
      <c r="P68" s="148"/>
      <c r="Q68" s="149"/>
      <c r="R68" s="148"/>
    </row>
    <row r="69" spans="1:18" x14ac:dyDescent="0.25">
      <c r="A69" s="142" t="s">
        <v>329</v>
      </c>
      <c r="B69" s="157" t="s">
        <v>331</v>
      </c>
      <c r="C69" s="147" t="s">
        <v>1295</v>
      </c>
      <c r="D69" s="148">
        <v>1.4658199999999999</v>
      </c>
      <c r="E69" s="148">
        <v>0.11562</v>
      </c>
      <c r="F69" s="148"/>
      <c r="G69" s="148"/>
      <c r="H69" s="148"/>
      <c r="I69" s="148"/>
      <c r="J69" s="149"/>
      <c r="K69" s="150">
        <v>0.86224705882352937</v>
      </c>
      <c r="L69" s="148">
        <v>7.8877351925884492E-2</v>
      </c>
      <c r="M69" s="148"/>
      <c r="N69" s="148"/>
      <c r="O69" s="148"/>
      <c r="P69" s="148"/>
      <c r="Q69" s="149"/>
      <c r="R69" s="148"/>
    </row>
    <row r="70" spans="1:18" x14ac:dyDescent="0.25">
      <c r="A70" s="142" t="s">
        <v>329</v>
      </c>
      <c r="B70" s="157" t="s">
        <v>332</v>
      </c>
      <c r="C70" s="147" t="s">
        <v>1375</v>
      </c>
      <c r="D70" s="148">
        <v>1.5479099999999999</v>
      </c>
      <c r="E70" s="148">
        <v>-0.35642000000000001</v>
      </c>
      <c r="F70" s="148">
        <v>-2.1251499999999997</v>
      </c>
      <c r="G70" s="148">
        <v>-0.88083999999999996</v>
      </c>
      <c r="H70" s="148">
        <v>3.0059900000000006</v>
      </c>
      <c r="I70" s="148"/>
      <c r="J70" s="149"/>
      <c r="K70" s="150">
        <v>0.91053680000000004</v>
      </c>
      <c r="L70" s="148">
        <v>-0.23025609999999999</v>
      </c>
      <c r="M70" s="148">
        <v>1.3729133999999998</v>
      </c>
      <c r="N70" s="148">
        <v>0.56904730000000003</v>
      </c>
      <c r="O70" s="148">
        <v>-1.9419608000000004</v>
      </c>
      <c r="P70" s="148"/>
      <c r="Q70" s="149"/>
      <c r="R70" s="148"/>
    </row>
    <row r="71" spans="1:18" x14ac:dyDescent="0.25">
      <c r="A71" s="142" t="s">
        <v>329</v>
      </c>
      <c r="B71" s="157" t="s">
        <v>332</v>
      </c>
      <c r="C71" s="147" t="s">
        <v>1377</v>
      </c>
      <c r="D71" s="148">
        <v>1.7279500000000003</v>
      </c>
      <c r="E71" s="148">
        <v>-0.39805000000000001</v>
      </c>
      <c r="F71" s="148">
        <v>-2.2656100000000006</v>
      </c>
      <c r="G71" s="148">
        <v>-0.84923000000000004</v>
      </c>
      <c r="H71" s="148">
        <v>3.1148400000000001</v>
      </c>
      <c r="I71" s="148"/>
      <c r="J71" s="149"/>
      <c r="K71" s="150">
        <v>1.0164422</v>
      </c>
      <c r="L71" s="148">
        <v>-0.23036129999999999</v>
      </c>
      <c r="M71" s="148">
        <v>1.3111562999999999</v>
      </c>
      <c r="N71" s="148">
        <v>0.49146640000000008</v>
      </c>
      <c r="O71" s="148">
        <v>-1.8026228000000004</v>
      </c>
      <c r="P71" s="148"/>
      <c r="Q71" s="149"/>
      <c r="R71" s="148"/>
    </row>
    <row r="72" spans="1:18" x14ac:dyDescent="0.25">
      <c r="A72" s="142" t="s">
        <v>329</v>
      </c>
      <c r="B72" s="157" t="s">
        <v>332</v>
      </c>
      <c r="C72" s="147" t="s">
        <v>1379</v>
      </c>
      <c r="D72" s="148">
        <v>1.6714100000000005</v>
      </c>
      <c r="E72" s="148">
        <v>0.4325</v>
      </c>
      <c r="F72" s="148">
        <v>-2.4050699999999998</v>
      </c>
      <c r="G72" s="148">
        <v>-0.50709000000000004</v>
      </c>
      <c r="H72" s="148">
        <v>2.9121600000000001</v>
      </c>
      <c r="I72" s="148"/>
      <c r="J72" s="149"/>
      <c r="K72" s="150">
        <v>0.98318059999999996</v>
      </c>
      <c r="L72" s="148">
        <v>0.25876270000000007</v>
      </c>
      <c r="M72" s="148">
        <v>1.4389478</v>
      </c>
      <c r="N72" s="148">
        <v>0.30339290000000002</v>
      </c>
      <c r="O72" s="148">
        <v>-1.7423405999999999</v>
      </c>
      <c r="P72" s="148"/>
      <c r="Q72" s="149"/>
      <c r="R72" s="148"/>
    </row>
    <row r="73" spans="1:18" x14ac:dyDescent="0.25">
      <c r="A73" s="142" t="s">
        <v>329</v>
      </c>
      <c r="B73" s="157" t="s">
        <v>332</v>
      </c>
      <c r="C73" s="147" t="s">
        <v>1381</v>
      </c>
      <c r="D73" s="148">
        <v>2.3332799999999998</v>
      </c>
      <c r="E73" s="148">
        <v>-0.10001</v>
      </c>
      <c r="F73" s="148">
        <v>-2.93702</v>
      </c>
      <c r="G73" s="148">
        <v>-0.91571999999999998</v>
      </c>
      <c r="H73" s="148">
        <v>3.8527399999999994</v>
      </c>
      <c r="I73" s="148"/>
      <c r="J73" s="149"/>
      <c r="K73" s="150">
        <v>1.3725194000000001</v>
      </c>
      <c r="L73" s="148">
        <v>-4.2862818578309515E-2</v>
      </c>
      <c r="M73" s="148">
        <v>1.2587493999999999</v>
      </c>
      <c r="N73" s="148">
        <v>0.39245830000000009</v>
      </c>
      <c r="O73" s="148">
        <v>-1.6512077000000005</v>
      </c>
      <c r="P73" s="148"/>
      <c r="Q73" s="149"/>
      <c r="R73" s="148"/>
    </row>
    <row r="74" spans="1:18" x14ac:dyDescent="0.25">
      <c r="A74" s="142" t="s">
        <v>329</v>
      </c>
      <c r="B74" s="157" t="s">
        <v>332</v>
      </c>
      <c r="C74" s="147" t="s">
        <v>1383</v>
      </c>
      <c r="D74" s="148">
        <v>1.81057</v>
      </c>
      <c r="E74" s="148">
        <v>7.9140000000000002E-2</v>
      </c>
      <c r="F74" s="148">
        <v>-2.3769</v>
      </c>
      <c r="G74" s="148">
        <v>-0.71487999999999996</v>
      </c>
      <c r="H74" s="148">
        <v>3.0917799999999991</v>
      </c>
      <c r="I74" s="148"/>
      <c r="J74" s="149"/>
      <c r="K74" s="150">
        <v>1.0650435</v>
      </c>
      <c r="L74" s="148">
        <v>4.3709665287612685E-2</v>
      </c>
      <c r="M74" s="148">
        <v>1.3127877999999999</v>
      </c>
      <c r="N74" s="148">
        <v>0.39483570000000001</v>
      </c>
      <c r="O74" s="148">
        <v>-1.7076235</v>
      </c>
      <c r="P74" s="148"/>
      <c r="Q74" s="149"/>
      <c r="R74" s="148"/>
    </row>
    <row r="75" spans="1:18" x14ac:dyDescent="0.25">
      <c r="A75" s="142" t="s">
        <v>329</v>
      </c>
      <c r="B75" s="157" t="s">
        <v>332</v>
      </c>
      <c r="C75" s="147" t="s">
        <v>1385</v>
      </c>
      <c r="D75" s="148">
        <v>1.1088699999999998</v>
      </c>
      <c r="E75" s="148">
        <v>0.34283999999999998</v>
      </c>
      <c r="F75" s="148">
        <v>-1.8480099999999999</v>
      </c>
      <c r="G75" s="148">
        <v>-0.34243000000000001</v>
      </c>
      <c r="H75" s="148">
        <v>2.1904399999999997</v>
      </c>
      <c r="I75" s="148"/>
      <c r="J75" s="149"/>
      <c r="K75" s="150">
        <v>0.65227749999999995</v>
      </c>
      <c r="L75" s="148">
        <v>0.30918200000000001</v>
      </c>
      <c r="M75" s="148">
        <v>1.6665665999999997</v>
      </c>
      <c r="N75" s="148">
        <v>0.30880679999999994</v>
      </c>
      <c r="O75" s="148">
        <v>-1.9753734000000005</v>
      </c>
      <c r="P75" s="148"/>
      <c r="Q75" s="149"/>
      <c r="R75" s="148"/>
    </row>
    <row r="76" spans="1:18" x14ac:dyDescent="0.25">
      <c r="A76" s="142" t="s">
        <v>329</v>
      </c>
      <c r="B76" s="157" t="s">
        <v>333</v>
      </c>
      <c r="C76" s="147" t="s">
        <v>1319</v>
      </c>
      <c r="D76" s="148">
        <v>1.0901099999999997</v>
      </c>
      <c r="E76" s="148">
        <v>8.974E-2</v>
      </c>
      <c r="F76" s="148">
        <v>-0.47737000000000002</v>
      </c>
      <c r="G76" s="148">
        <v>-0.88839999999999997</v>
      </c>
      <c r="H76" s="148">
        <v>0.1096</v>
      </c>
      <c r="I76" s="148">
        <v>1.25617</v>
      </c>
      <c r="J76" s="149"/>
      <c r="K76" s="150">
        <v>0.64124199999999998</v>
      </c>
      <c r="L76" s="148">
        <v>8.2325852242873213E-2</v>
      </c>
      <c r="M76" s="148">
        <v>0.43791380000000002</v>
      </c>
      <c r="N76" s="148">
        <v>0.81495899999999999</v>
      </c>
      <c r="O76" s="148">
        <v>-0.1005408</v>
      </c>
      <c r="P76" s="148">
        <v>-1.1523319999999999</v>
      </c>
      <c r="Q76" s="149"/>
      <c r="R76" s="148"/>
    </row>
    <row r="77" spans="1:18" x14ac:dyDescent="0.25">
      <c r="A77" s="142" t="s">
        <v>329</v>
      </c>
      <c r="B77" s="157" t="s">
        <v>333</v>
      </c>
      <c r="C77" s="147" t="s">
        <v>1321</v>
      </c>
      <c r="D77" s="148">
        <v>2.0844299999999998</v>
      </c>
      <c r="E77" s="148">
        <v>-0.27885999999999994</v>
      </c>
      <c r="F77" s="148">
        <v>-1.6819500000000005</v>
      </c>
      <c r="G77" s="148">
        <v>-1.1743600000000003</v>
      </c>
      <c r="H77" s="148">
        <v>0.37591000000000002</v>
      </c>
      <c r="I77" s="148">
        <v>2.4803999999999999</v>
      </c>
      <c r="J77" s="149"/>
      <c r="K77" s="150">
        <v>1.2261358</v>
      </c>
      <c r="L77" s="148">
        <v>-0.13378369999999998</v>
      </c>
      <c r="M77" s="148">
        <v>0.80691170000000001</v>
      </c>
      <c r="N77" s="148">
        <v>0.56339499999999998</v>
      </c>
      <c r="O77" s="148">
        <v>-0.18034030000000004</v>
      </c>
      <c r="P77" s="148">
        <v>-1.1899664000000001</v>
      </c>
      <c r="Q77" s="149"/>
      <c r="R77" s="148"/>
    </row>
    <row r="78" spans="1:18" x14ac:dyDescent="0.25">
      <c r="A78" s="142" t="s">
        <v>329</v>
      </c>
      <c r="B78" s="157" t="s">
        <v>333</v>
      </c>
      <c r="C78" s="147" t="s">
        <v>1323</v>
      </c>
      <c r="D78" s="148">
        <v>2.0482100000000001</v>
      </c>
      <c r="E78" s="148">
        <v>6.9540000000000018E-2</v>
      </c>
      <c r="F78" s="148">
        <v>-1.4337800000000003</v>
      </c>
      <c r="G78" s="148">
        <v>-1.28077</v>
      </c>
      <c r="H78" s="148">
        <v>0.33206999999999992</v>
      </c>
      <c r="I78" s="148">
        <v>2.3824800000000006</v>
      </c>
      <c r="J78" s="149"/>
      <c r="K78" s="150">
        <v>1.2048293000000001</v>
      </c>
      <c r="L78" s="148">
        <v>3.3953429956796101E-2</v>
      </c>
      <c r="M78" s="148">
        <v>0.70001650000000015</v>
      </c>
      <c r="N78" s="148">
        <v>0.6253107</v>
      </c>
      <c r="O78" s="148">
        <v>-0.16212540000000003</v>
      </c>
      <c r="P78" s="148">
        <v>-1.1632017999999997</v>
      </c>
      <c r="Q78" s="149"/>
      <c r="R78" s="148"/>
    </row>
    <row r="79" spans="1:18" x14ac:dyDescent="0.25">
      <c r="A79" s="142" t="s">
        <v>329</v>
      </c>
      <c r="B79" s="157" t="s">
        <v>333</v>
      </c>
      <c r="C79" s="147" t="s">
        <v>1325</v>
      </c>
      <c r="D79" s="148">
        <v>2.0806100000000005</v>
      </c>
      <c r="E79" s="148">
        <v>0.10987</v>
      </c>
      <c r="F79" s="148">
        <v>-1.5488299999999999</v>
      </c>
      <c r="G79" s="148">
        <v>-1.3106100000000003</v>
      </c>
      <c r="H79" s="148">
        <v>0.30464000000000008</v>
      </c>
      <c r="I79" s="148">
        <v>2.5548000000000002</v>
      </c>
      <c r="J79" s="149"/>
      <c r="K79" s="150">
        <v>1.2238910000000001</v>
      </c>
      <c r="L79" s="148">
        <v>5.28055578602908E-2</v>
      </c>
      <c r="M79" s="148">
        <v>0.74440830000000002</v>
      </c>
      <c r="N79" s="148">
        <v>0.62991419999999998</v>
      </c>
      <c r="O79" s="148">
        <v>-0.14641970000000004</v>
      </c>
      <c r="P79" s="148">
        <v>-1.2279027999999998</v>
      </c>
      <c r="Q79" s="149"/>
      <c r="R79" s="148"/>
    </row>
    <row r="80" spans="1:18" x14ac:dyDescent="0.25">
      <c r="A80" s="142" t="s">
        <v>329</v>
      </c>
      <c r="B80" s="157" t="s">
        <v>333</v>
      </c>
      <c r="C80" s="147" t="s">
        <v>1327</v>
      </c>
      <c r="D80" s="148">
        <v>1.56477</v>
      </c>
      <c r="E80" s="148">
        <v>0.24950000000000003</v>
      </c>
      <c r="F80" s="148">
        <v>-0.93558000000000019</v>
      </c>
      <c r="G80" s="148">
        <v>-1.2355599999999998</v>
      </c>
      <c r="H80" s="148">
        <v>0.21601000000000001</v>
      </c>
      <c r="I80" s="148">
        <v>1.9551299999999996</v>
      </c>
      <c r="J80" s="149"/>
      <c r="K80" s="150">
        <v>0.92045460000000001</v>
      </c>
      <c r="L80" s="148">
        <v>0.15944520000000001</v>
      </c>
      <c r="M80" s="148">
        <v>0.59790410000000016</v>
      </c>
      <c r="N80" s="148">
        <v>0.78960859999999999</v>
      </c>
      <c r="O80" s="148">
        <v>-0.138044</v>
      </c>
      <c r="P80" s="148">
        <v>-1.2494685999999999</v>
      </c>
      <c r="Q80" s="149"/>
      <c r="R80" s="148"/>
    </row>
    <row r="81" spans="1:18" x14ac:dyDescent="0.25">
      <c r="A81" s="142" t="s">
        <v>329</v>
      </c>
      <c r="B81" s="157" t="s">
        <v>333</v>
      </c>
      <c r="C81" s="147" t="s">
        <v>1329</v>
      </c>
      <c r="D81" s="148">
        <v>1.0667599999999999</v>
      </c>
      <c r="E81" s="148">
        <v>0.25990999999999997</v>
      </c>
      <c r="F81" s="148">
        <v>-0.76051999999999997</v>
      </c>
      <c r="G81" s="148">
        <v>-0.97982999999999998</v>
      </c>
      <c r="H81" s="148">
        <v>0.30206</v>
      </c>
      <c r="I81" s="148">
        <v>1.4382900000000001</v>
      </c>
      <c r="J81" s="149"/>
      <c r="K81" s="150">
        <v>0.62750669999999997</v>
      </c>
      <c r="L81" s="148">
        <v>0.2436429</v>
      </c>
      <c r="M81" s="148">
        <v>0.71291979999999988</v>
      </c>
      <c r="N81" s="148">
        <v>0.9185095000000002</v>
      </c>
      <c r="O81" s="148">
        <v>-0.28315769999999996</v>
      </c>
      <c r="P81" s="148">
        <v>-1.3482715999999999</v>
      </c>
      <c r="Q81" s="149"/>
      <c r="R81" s="148"/>
    </row>
    <row r="82" spans="1:18" x14ac:dyDescent="0.25">
      <c r="A82" s="142" t="s">
        <v>329</v>
      </c>
      <c r="B82" s="157" t="s">
        <v>333</v>
      </c>
      <c r="C82" s="147" t="s">
        <v>1331</v>
      </c>
      <c r="D82" s="148">
        <v>1.1462699999999999</v>
      </c>
      <c r="E82" s="148">
        <v>-0.22553000000000001</v>
      </c>
      <c r="F82" s="148">
        <v>-0.39709</v>
      </c>
      <c r="G82" s="148">
        <v>-0.84455000000000013</v>
      </c>
      <c r="H82" s="148">
        <v>4.36E-2</v>
      </c>
      <c r="I82" s="148">
        <v>1.19804</v>
      </c>
      <c r="J82" s="149"/>
      <c r="K82" s="150">
        <v>0.67427599999999988</v>
      </c>
      <c r="L82" s="148">
        <v>-0.19675019999999999</v>
      </c>
      <c r="M82" s="148">
        <v>0.34641660000000007</v>
      </c>
      <c r="N82" s="148">
        <v>0.73678480000000002</v>
      </c>
      <c r="O82" s="148">
        <v>-3.8037120738796504E-2</v>
      </c>
      <c r="P82" s="148">
        <v>-1.0451642999999999</v>
      </c>
      <c r="Q82" s="149"/>
      <c r="R82" s="148"/>
    </row>
    <row r="83" spans="1:18" x14ac:dyDescent="0.25">
      <c r="A83" s="142" t="s">
        <v>329</v>
      </c>
      <c r="B83" s="157" t="s">
        <v>333</v>
      </c>
      <c r="C83" s="147" t="s">
        <v>1333</v>
      </c>
      <c r="D83" s="148">
        <v>1.61226</v>
      </c>
      <c r="E83" s="148">
        <v>-6.2680000000000013E-2</v>
      </c>
      <c r="F83" s="148">
        <v>-0.92947000000000002</v>
      </c>
      <c r="G83" s="148">
        <v>-1.0853699999999999</v>
      </c>
      <c r="H83" s="148">
        <v>0.16322000000000003</v>
      </c>
      <c r="I83" s="148">
        <v>1.85162</v>
      </c>
      <c r="J83" s="149"/>
      <c r="K83" s="150">
        <v>0.94838560000000005</v>
      </c>
      <c r="L83" s="148">
        <v>-3.8877259353837297E-2</v>
      </c>
      <c r="M83" s="148">
        <v>0.57650310000000005</v>
      </c>
      <c r="N83" s="148">
        <v>0.67320069999999999</v>
      </c>
      <c r="O83" s="148">
        <v>-0.10123699999999998</v>
      </c>
      <c r="P83" s="148">
        <v>-1.1484667999999998</v>
      </c>
      <c r="Q83" s="149"/>
      <c r="R83" s="148"/>
    </row>
    <row r="84" spans="1:18" x14ac:dyDescent="0.25">
      <c r="A84" s="142" t="s">
        <v>329</v>
      </c>
      <c r="B84" s="157" t="s">
        <v>334</v>
      </c>
      <c r="C84" s="147" t="s">
        <v>1297</v>
      </c>
      <c r="D84" s="148">
        <v>1.7474000000000001</v>
      </c>
      <c r="E84" s="148">
        <v>-4.4970000000000003E-2</v>
      </c>
      <c r="F84" s="148">
        <v>-2.1213299999999999</v>
      </c>
      <c r="G84" s="148">
        <v>-0.91171000000000002</v>
      </c>
      <c r="H84" s="148">
        <v>3.0330400000000002</v>
      </c>
      <c r="I84" s="148"/>
      <c r="J84" s="149"/>
      <c r="K84" s="150">
        <v>1.0278806</v>
      </c>
      <c r="L84" s="148">
        <v>-2.57340365339216E-2</v>
      </c>
      <c r="M84" s="148">
        <v>1.2139963</v>
      </c>
      <c r="N84" s="148">
        <v>0.52175270000000007</v>
      </c>
      <c r="O84" s="148">
        <v>-1.7357489999999995</v>
      </c>
      <c r="P84" s="148"/>
      <c r="Q84" s="149"/>
      <c r="R84" s="148"/>
    </row>
    <row r="85" spans="1:18" x14ac:dyDescent="0.25">
      <c r="A85" s="142" t="s">
        <v>329</v>
      </c>
      <c r="B85" s="157" t="s">
        <v>334</v>
      </c>
      <c r="C85" s="147" t="s">
        <v>1299</v>
      </c>
      <c r="D85" s="148">
        <v>2.1187999999999998</v>
      </c>
      <c r="E85" s="148">
        <v>-0.24</v>
      </c>
      <c r="F85" s="148">
        <v>-2.7236699999999998</v>
      </c>
      <c r="G85" s="148">
        <v>-0.92754999999999999</v>
      </c>
      <c r="H85" s="148">
        <v>3.6512200000000008</v>
      </c>
      <c r="I85" s="148"/>
      <c r="J85" s="149"/>
      <c r="K85" s="150">
        <v>1.2463503</v>
      </c>
      <c r="L85" s="148">
        <v>-0.1132696</v>
      </c>
      <c r="M85" s="148">
        <v>1.2854800999999998</v>
      </c>
      <c r="N85" s="148">
        <v>0.43777010000000011</v>
      </c>
      <c r="O85" s="148">
        <v>-1.7232502999999999</v>
      </c>
      <c r="P85" s="148"/>
      <c r="Q85" s="149"/>
      <c r="R85" s="148"/>
    </row>
    <row r="86" spans="1:18" x14ac:dyDescent="0.25">
      <c r="A86" s="142" t="s">
        <v>329</v>
      </c>
      <c r="B86" s="157" t="s">
        <v>334</v>
      </c>
      <c r="C86" s="147" t="s">
        <v>1301</v>
      </c>
      <c r="D86" s="148">
        <v>1.2384400000000002</v>
      </c>
      <c r="E86" s="148">
        <v>0.54573000000000005</v>
      </c>
      <c r="F86" s="148">
        <v>-1.9115899999999997</v>
      </c>
      <c r="G86" s="148">
        <v>-0.60630999999999979</v>
      </c>
      <c r="H86" s="148">
        <v>2.5179</v>
      </c>
      <c r="I86" s="148"/>
      <c r="J86" s="149"/>
      <c r="K86" s="150">
        <v>0.72849470000000016</v>
      </c>
      <c r="L86" s="148">
        <v>0.44066169999999999</v>
      </c>
      <c r="M86" s="148">
        <v>1.5435430000000001</v>
      </c>
      <c r="N86" s="148">
        <v>0.48957620000000007</v>
      </c>
      <c r="O86" s="148">
        <v>-2.0331193000000001</v>
      </c>
      <c r="P86" s="148"/>
      <c r="Q86" s="149"/>
      <c r="R86" s="148"/>
    </row>
    <row r="87" spans="1:18" x14ac:dyDescent="0.25">
      <c r="A87" s="142" t="s">
        <v>329</v>
      </c>
      <c r="B87" s="157" t="s">
        <v>334</v>
      </c>
      <c r="C87" s="147" t="s">
        <v>1303</v>
      </c>
      <c r="D87" s="148">
        <v>2.00143</v>
      </c>
      <c r="E87" s="148">
        <v>-2.6450000000000001E-2</v>
      </c>
      <c r="F87" s="148">
        <v>-2.8827999999999991</v>
      </c>
      <c r="G87" s="148">
        <v>-1.0360400000000001</v>
      </c>
      <c r="H87" s="148">
        <v>3.9188399999999999</v>
      </c>
      <c r="I87" s="148"/>
      <c r="J87" s="149"/>
      <c r="K87" s="150">
        <v>1.1773129</v>
      </c>
      <c r="L87" s="148">
        <v>-1.32162411927348E-2</v>
      </c>
      <c r="M87" s="148">
        <v>1.4403678</v>
      </c>
      <c r="N87" s="148">
        <v>0.51765139999999987</v>
      </c>
      <c r="O87" s="148">
        <v>-1.9580191999999996</v>
      </c>
      <c r="P87" s="148"/>
      <c r="Q87" s="149"/>
      <c r="R87" s="148"/>
    </row>
    <row r="88" spans="1:18" x14ac:dyDescent="0.25">
      <c r="A88" s="142" t="s">
        <v>329</v>
      </c>
      <c r="B88" s="157" t="s">
        <v>334</v>
      </c>
      <c r="C88" s="147" t="s">
        <v>1305</v>
      </c>
      <c r="D88" s="148">
        <v>2.08657</v>
      </c>
      <c r="E88" s="148">
        <v>4.9519999999999995E-2</v>
      </c>
      <c r="F88" s="148">
        <v>-2.8467799999999994</v>
      </c>
      <c r="G88" s="148">
        <v>-1.03573</v>
      </c>
      <c r="H88" s="148">
        <v>3.8825099999999999</v>
      </c>
      <c r="I88" s="148"/>
      <c r="J88" s="149"/>
      <c r="K88" s="150">
        <v>1.2273925999999999</v>
      </c>
      <c r="L88" s="148">
        <v>2.3733433969987901E-2</v>
      </c>
      <c r="M88" s="148">
        <v>1.3643382000000002</v>
      </c>
      <c r="N88" s="148">
        <v>0.49637789999999993</v>
      </c>
      <c r="O88" s="148">
        <v>-1.8607161000000001</v>
      </c>
      <c r="P88" s="148"/>
      <c r="Q88" s="149"/>
      <c r="R88" s="148"/>
    </row>
    <row r="89" spans="1:18" x14ac:dyDescent="0.25">
      <c r="A89" s="142" t="s">
        <v>329</v>
      </c>
      <c r="B89" s="157" t="s">
        <v>334</v>
      </c>
      <c r="C89" s="147" t="s">
        <v>1307</v>
      </c>
      <c r="D89" s="148">
        <v>1.46113</v>
      </c>
      <c r="E89" s="148">
        <v>-0.13507999999999998</v>
      </c>
      <c r="F89" s="148">
        <v>-2.1977399999999996</v>
      </c>
      <c r="G89" s="148">
        <v>-0.9153199999999998</v>
      </c>
      <c r="H89" s="148">
        <v>3.1130600000000008</v>
      </c>
      <c r="I89" s="148"/>
      <c r="J89" s="149"/>
      <c r="K89" s="150">
        <v>0.85948619999999998</v>
      </c>
      <c r="L89" s="148">
        <v>-9.244875273315048E-2</v>
      </c>
      <c r="M89" s="148">
        <v>1.5041397999999997</v>
      </c>
      <c r="N89" s="148">
        <v>0.62644509999999998</v>
      </c>
      <c r="O89" s="148">
        <v>-2.1305849000000001</v>
      </c>
      <c r="P89" s="148"/>
      <c r="Q89" s="149"/>
      <c r="R89" s="148"/>
    </row>
    <row r="90" spans="1:18" x14ac:dyDescent="0.25">
      <c r="A90" s="142" t="s">
        <v>329</v>
      </c>
      <c r="B90" s="157" t="s">
        <v>334</v>
      </c>
      <c r="C90" s="147" t="s">
        <v>1309</v>
      </c>
      <c r="D90" s="148">
        <v>1.5843899999999995</v>
      </c>
      <c r="E90" s="148">
        <v>0.65795000000000003</v>
      </c>
      <c r="F90" s="148">
        <v>-2.3246199999999995</v>
      </c>
      <c r="G90" s="148">
        <v>-0.71913000000000005</v>
      </c>
      <c r="H90" s="148">
        <v>3.0437500000000002</v>
      </c>
      <c r="I90" s="148"/>
      <c r="J90" s="149"/>
      <c r="K90" s="150">
        <v>0.93199411764705853</v>
      </c>
      <c r="L90" s="148">
        <v>0.41527023018322523</v>
      </c>
      <c r="M90" s="148">
        <v>1.4672018884239362</v>
      </c>
      <c r="N90" s="148">
        <v>0.45388446026546508</v>
      </c>
      <c r="O90" s="148">
        <v>-1.9210863486894016</v>
      </c>
      <c r="P90" s="148"/>
      <c r="Q90" s="149"/>
      <c r="R90" s="148"/>
    </row>
    <row r="91" spans="1:18" x14ac:dyDescent="0.25">
      <c r="A91" s="142" t="s">
        <v>329</v>
      </c>
      <c r="B91" s="157" t="s">
        <v>335</v>
      </c>
      <c r="C91" s="147" t="s">
        <v>1363</v>
      </c>
      <c r="D91" s="148">
        <v>1.0628599999999997</v>
      </c>
      <c r="E91" s="148">
        <v>0.33170000000000011</v>
      </c>
      <c r="F91" s="148">
        <v>-1.24434</v>
      </c>
      <c r="G91" s="148">
        <v>0.17476</v>
      </c>
      <c r="H91" s="148">
        <v>1.06958</v>
      </c>
      <c r="I91" s="148"/>
      <c r="J91" s="149"/>
      <c r="K91" s="150">
        <v>0.62520949999999997</v>
      </c>
      <c r="L91" s="148">
        <v>0.31208669999999999</v>
      </c>
      <c r="M91" s="148">
        <v>1.1707542000000002</v>
      </c>
      <c r="N91" s="148">
        <v>-0.16442709999999996</v>
      </c>
      <c r="O91" s="148">
        <v>-1.0063271</v>
      </c>
      <c r="P91" s="148"/>
      <c r="Q91" s="149"/>
      <c r="R91" s="148"/>
    </row>
    <row r="92" spans="1:18" x14ac:dyDescent="0.25">
      <c r="A92" s="142" t="s">
        <v>329</v>
      </c>
      <c r="B92" s="157" t="s">
        <v>335</v>
      </c>
      <c r="C92" s="147" t="s">
        <v>1365</v>
      </c>
      <c r="D92" s="148">
        <v>0.95408000000000015</v>
      </c>
      <c r="E92" s="148">
        <v>0.25305</v>
      </c>
      <c r="F92" s="148">
        <v>-1.2807500000000003</v>
      </c>
      <c r="G92" s="148">
        <v>-9.2200000000000008E-3</v>
      </c>
      <c r="H92" s="148">
        <v>1.2899700000000003</v>
      </c>
      <c r="I92" s="148"/>
      <c r="J92" s="149"/>
      <c r="K92" s="150">
        <v>0.56122320000000003</v>
      </c>
      <c r="L92" s="148">
        <v>0.26523269999999993</v>
      </c>
      <c r="M92" s="148">
        <v>1.3423898000000003</v>
      </c>
      <c r="N92" s="148">
        <v>9.6607081923585914E-3</v>
      </c>
      <c r="O92" s="148">
        <v>-1.3520505000000003</v>
      </c>
      <c r="P92" s="148"/>
      <c r="Q92" s="149"/>
      <c r="R92" s="148"/>
    </row>
    <row r="93" spans="1:18" x14ac:dyDescent="0.25">
      <c r="A93" s="142" t="s">
        <v>329</v>
      </c>
      <c r="B93" s="157" t="s">
        <v>335</v>
      </c>
      <c r="C93" s="147" t="s">
        <v>1367</v>
      </c>
      <c r="D93" s="148">
        <v>0.40737000000000007</v>
      </c>
      <c r="E93" s="148">
        <v>-0.48298999999999992</v>
      </c>
      <c r="F93" s="148">
        <v>-0.51731999999999989</v>
      </c>
      <c r="G93" s="148">
        <v>-0.96958999999999995</v>
      </c>
      <c r="H93" s="148">
        <v>1.48691</v>
      </c>
      <c r="I93" s="148"/>
      <c r="J93" s="149"/>
      <c r="K93" s="150">
        <v>0.23963169999999995</v>
      </c>
      <c r="L93" s="148">
        <v>-1.1856130000000003</v>
      </c>
      <c r="M93" s="148">
        <v>1.2698881</v>
      </c>
      <c r="N93" s="148">
        <v>2.3801022000000001</v>
      </c>
      <c r="O93" s="148">
        <v>-3.6499902999999994</v>
      </c>
      <c r="P93" s="148"/>
      <c r="Q93" s="149"/>
      <c r="R93" s="148"/>
    </row>
    <row r="94" spans="1:18" x14ac:dyDescent="0.25">
      <c r="A94" s="142" t="s">
        <v>329</v>
      </c>
      <c r="B94" s="157" t="s">
        <v>335</v>
      </c>
      <c r="C94" s="147" t="s">
        <v>1369</v>
      </c>
      <c r="D94" s="148">
        <v>2.8302999999999998</v>
      </c>
      <c r="E94" s="148">
        <v>-9.6930000000000002E-2</v>
      </c>
      <c r="F94" s="148">
        <v>-3.21245</v>
      </c>
      <c r="G94" s="148">
        <v>-3.603E-2</v>
      </c>
      <c r="H94" s="148">
        <v>3.2484799999999998</v>
      </c>
      <c r="I94" s="148"/>
      <c r="J94" s="149"/>
      <c r="K94" s="150">
        <v>1.6648809000000004</v>
      </c>
      <c r="L94" s="148">
        <v>-3.42471116917622E-2</v>
      </c>
      <c r="M94" s="148">
        <v>1.1350213</v>
      </c>
      <c r="N94" s="148">
        <v>1.2728410592268502E-2</v>
      </c>
      <c r="O94" s="148">
        <v>-1.1477497000000001</v>
      </c>
      <c r="P94" s="148"/>
      <c r="Q94" s="149"/>
      <c r="R94" s="148"/>
    </row>
    <row r="95" spans="1:18" x14ac:dyDescent="0.25">
      <c r="A95" s="142" t="s">
        <v>329</v>
      </c>
      <c r="B95" s="157" t="s">
        <v>335</v>
      </c>
      <c r="C95" s="147" t="s">
        <v>1371</v>
      </c>
      <c r="D95" s="148">
        <v>2.4664600000000001</v>
      </c>
      <c r="E95" s="148">
        <v>-0.25553999999999993</v>
      </c>
      <c r="F95" s="148">
        <v>-2.8142499999999995</v>
      </c>
      <c r="G95" s="148">
        <v>-0.19996000000000003</v>
      </c>
      <c r="H95" s="148">
        <v>3.0142099999999998</v>
      </c>
      <c r="I95" s="148"/>
      <c r="J95" s="149"/>
      <c r="K95" s="150">
        <v>1.4508612000000003</v>
      </c>
      <c r="L95" s="148">
        <v>-0.1036072</v>
      </c>
      <c r="M95" s="148">
        <v>1.1410065</v>
      </c>
      <c r="N95" s="148">
        <v>8.1072985525939889E-2</v>
      </c>
      <c r="O95" s="148">
        <v>-1.2220794999999998</v>
      </c>
      <c r="P95" s="148"/>
      <c r="Q95" s="149"/>
      <c r="R95" s="148"/>
    </row>
    <row r="96" spans="1:18" x14ac:dyDescent="0.25">
      <c r="A96" s="142" t="s">
        <v>329</v>
      </c>
      <c r="B96" s="157" t="s">
        <v>335</v>
      </c>
      <c r="C96" s="147" t="s">
        <v>1373</v>
      </c>
      <c r="D96" s="148">
        <v>1.2547900000000001</v>
      </c>
      <c r="E96" s="148">
        <v>2.7040000000000005E-2</v>
      </c>
      <c r="F96" s="148">
        <v>-1.4312</v>
      </c>
      <c r="G96" s="148">
        <v>-0.34750999999999999</v>
      </c>
      <c r="H96" s="148">
        <v>1.77871</v>
      </c>
      <c r="I96" s="148"/>
      <c r="J96" s="149"/>
      <c r="K96" s="150">
        <v>0.73811390000000021</v>
      </c>
      <c r="L96" s="148">
        <v>2.1546848941332301E-2</v>
      </c>
      <c r="M96" s="148">
        <v>1.1405848000000001</v>
      </c>
      <c r="N96" s="148">
        <v>0.27694279999999999</v>
      </c>
      <c r="O96" s="148">
        <v>-1.4175275999999999</v>
      </c>
      <c r="P96" s="148"/>
      <c r="Q96" s="149"/>
      <c r="R96" s="148"/>
    </row>
    <row r="97" spans="1:18" x14ac:dyDescent="0.25">
      <c r="A97" s="142" t="s">
        <v>329</v>
      </c>
      <c r="B97" s="157" t="s">
        <v>336</v>
      </c>
      <c r="C97" s="147" t="s">
        <v>1256</v>
      </c>
      <c r="D97" s="148">
        <v>1.2630800000000002</v>
      </c>
      <c r="E97" s="148">
        <v>-0.98780999999999997</v>
      </c>
      <c r="F97" s="148"/>
      <c r="G97" s="148"/>
      <c r="H97" s="148"/>
      <c r="I97" s="148"/>
      <c r="J97" s="149"/>
      <c r="K97" s="150">
        <v>0.74298688719999983</v>
      </c>
      <c r="L97" s="148">
        <v>-0.78206212535919861</v>
      </c>
      <c r="M97" s="148"/>
      <c r="N97" s="148"/>
      <c r="O97" s="148"/>
      <c r="P97" s="148"/>
      <c r="Q97" s="149"/>
      <c r="R97" s="148"/>
    </row>
    <row r="98" spans="1:18" x14ac:dyDescent="0.25">
      <c r="A98" s="142" t="s">
        <v>329</v>
      </c>
      <c r="B98" s="157" t="s">
        <v>336</v>
      </c>
      <c r="C98" s="147" t="s">
        <v>1259</v>
      </c>
      <c r="D98" s="148">
        <v>1.4662699999999995</v>
      </c>
      <c r="E98" s="148">
        <v>-0.11728000000000002</v>
      </c>
      <c r="F98" s="148"/>
      <c r="G98" s="148"/>
      <c r="H98" s="148"/>
      <c r="I98" s="148"/>
      <c r="J98" s="149"/>
      <c r="K98" s="150">
        <v>0.86251216330000013</v>
      </c>
      <c r="L98" s="148">
        <v>-7.9987752323582406E-2</v>
      </c>
      <c r="M98" s="148"/>
      <c r="N98" s="148"/>
      <c r="O98" s="148"/>
      <c r="P98" s="148"/>
      <c r="Q98" s="149"/>
      <c r="R98" s="148"/>
    </row>
    <row r="99" spans="1:18" x14ac:dyDescent="0.25">
      <c r="A99" s="142" t="s">
        <v>329</v>
      </c>
      <c r="B99" s="157" t="s">
        <v>336</v>
      </c>
      <c r="C99" s="147" t="s">
        <v>1261</v>
      </c>
      <c r="D99" s="148">
        <v>1.26759</v>
      </c>
      <c r="E99" s="148">
        <v>0.64106999999999981</v>
      </c>
      <c r="F99" s="148"/>
      <c r="G99" s="148"/>
      <c r="H99" s="148"/>
      <c r="I99" s="148"/>
      <c r="J99" s="149"/>
      <c r="K99" s="150">
        <v>0.74564100420000012</v>
      </c>
      <c r="L99" s="148">
        <v>0.50573712581368957</v>
      </c>
      <c r="M99" s="148"/>
      <c r="N99" s="148"/>
      <c r="O99" s="148"/>
      <c r="P99" s="148"/>
      <c r="Q99" s="149"/>
      <c r="R99" s="148"/>
    </row>
    <row r="100" spans="1:18" x14ac:dyDescent="0.25">
      <c r="A100" s="142" t="s">
        <v>329</v>
      </c>
      <c r="B100" s="157" t="s">
        <v>336</v>
      </c>
      <c r="C100" s="147" t="s">
        <v>1263</v>
      </c>
      <c r="D100" s="148">
        <v>1.89385</v>
      </c>
      <c r="E100" s="148">
        <v>-0.14388000000000001</v>
      </c>
      <c r="F100" s="148"/>
      <c r="G100" s="148"/>
      <c r="H100" s="148"/>
      <c r="I100" s="148"/>
      <c r="J100" s="149"/>
      <c r="K100" s="150">
        <v>1.1140320348999997</v>
      </c>
      <c r="L100" s="148">
        <v>-7.5972591658865746E-2</v>
      </c>
      <c r="M100" s="148"/>
      <c r="N100" s="148"/>
      <c r="O100" s="148"/>
      <c r="P100" s="148"/>
      <c r="Q100" s="149"/>
      <c r="R100" s="148"/>
    </row>
    <row r="101" spans="1:18" x14ac:dyDescent="0.25">
      <c r="A101" s="142" t="s">
        <v>329</v>
      </c>
      <c r="B101" s="157" t="s">
        <v>336</v>
      </c>
      <c r="C101" s="147" t="s">
        <v>1265</v>
      </c>
      <c r="D101" s="148">
        <v>2.0110700000000001</v>
      </c>
      <c r="E101" s="148">
        <v>-9.4509999999999997E-2</v>
      </c>
      <c r="F101" s="148"/>
      <c r="G101" s="148"/>
      <c r="H101" s="148"/>
      <c r="I101" s="148"/>
      <c r="J101" s="149"/>
      <c r="K101" s="150">
        <v>1.1829851604999999</v>
      </c>
      <c r="L101" s="148">
        <v>-4.6992384756570589E-2</v>
      </c>
      <c r="M101" s="148"/>
      <c r="N101" s="148"/>
      <c r="O101" s="148"/>
      <c r="P101" s="148"/>
      <c r="Q101" s="149"/>
      <c r="R101" s="148"/>
    </row>
    <row r="102" spans="1:18" x14ac:dyDescent="0.25">
      <c r="A102" s="142" t="s">
        <v>329</v>
      </c>
      <c r="B102" s="157" t="s">
        <v>336</v>
      </c>
      <c r="C102" s="147" t="s">
        <v>1267</v>
      </c>
      <c r="D102" s="148">
        <v>2.1706199999999995</v>
      </c>
      <c r="E102" s="148">
        <v>0.51727999999999996</v>
      </c>
      <c r="F102" s="148"/>
      <c r="G102" s="148"/>
      <c r="H102" s="148"/>
      <c r="I102" s="148"/>
      <c r="J102" s="149"/>
      <c r="K102" s="150">
        <v>1.2768324888000002</v>
      </c>
      <c r="L102" s="148">
        <v>0.23831010978911377</v>
      </c>
      <c r="M102" s="148"/>
      <c r="N102" s="148"/>
      <c r="O102" s="148"/>
      <c r="P102" s="148"/>
      <c r="Q102" s="149"/>
      <c r="R102" s="148"/>
    </row>
    <row r="103" spans="1:18" x14ac:dyDescent="0.25">
      <c r="A103" s="142" t="s">
        <v>329</v>
      </c>
      <c r="B103" s="157" t="s">
        <v>336</v>
      </c>
      <c r="C103" s="147" t="s">
        <v>1269</v>
      </c>
      <c r="D103" s="148">
        <v>1.82752</v>
      </c>
      <c r="E103" s="148">
        <v>0.18512999999999999</v>
      </c>
      <c r="F103" s="148"/>
      <c r="G103" s="148"/>
      <c r="H103" s="148"/>
      <c r="I103" s="148"/>
      <c r="J103" s="149"/>
      <c r="K103" s="150">
        <v>1.0750102611000003</v>
      </c>
      <c r="L103" s="148">
        <v>0.10130050212159236</v>
      </c>
      <c r="M103" s="148"/>
      <c r="N103" s="148"/>
      <c r="O103" s="148"/>
      <c r="P103" s="148"/>
      <c r="Q103" s="149"/>
      <c r="R103" s="148"/>
    </row>
    <row r="104" spans="1:18" x14ac:dyDescent="0.25">
      <c r="A104" s="142" t="s">
        <v>329</v>
      </c>
      <c r="B104" s="157" t="s">
        <v>336</v>
      </c>
      <c r="C104" s="147" t="s">
        <v>1271</v>
      </c>
      <c r="D104" s="148">
        <v>2.9368799999999999</v>
      </c>
      <c r="E104" s="148">
        <v>2.9594100000000001</v>
      </c>
      <c r="F104" s="148"/>
      <c r="G104" s="148"/>
      <c r="H104" s="148"/>
      <c r="I104" s="148"/>
      <c r="J104" s="149"/>
      <c r="K104" s="150">
        <v>1.7275764705882353</v>
      </c>
      <c r="L104" s="148">
        <v>1.0076714063904553</v>
      </c>
      <c r="M104" s="148"/>
      <c r="N104" s="148"/>
      <c r="O104" s="148"/>
      <c r="P104" s="148"/>
      <c r="Q104" s="149"/>
      <c r="R104" s="148"/>
    </row>
    <row r="105" spans="1:18" x14ac:dyDescent="0.25">
      <c r="A105" s="142" t="s">
        <v>329</v>
      </c>
      <c r="B105" s="157" t="s">
        <v>336</v>
      </c>
      <c r="C105" s="147" t="s">
        <v>1273</v>
      </c>
      <c r="D105" s="148">
        <v>2.8664900000000002</v>
      </c>
      <c r="E105" s="148">
        <v>2.4274499999999999</v>
      </c>
      <c r="F105" s="148"/>
      <c r="G105" s="148"/>
      <c r="H105" s="148"/>
      <c r="I105" s="148"/>
      <c r="J105" s="149"/>
      <c r="K105" s="150">
        <v>1.6861705882352942</v>
      </c>
      <c r="L105" s="148">
        <v>0.8468370725172597</v>
      </c>
      <c r="M105" s="148"/>
      <c r="N105" s="148"/>
      <c r="O105" s="148"/>
      <c r="P105" s="148"/>
      <c r="Q105" s="149"/>
      <c r="R105" s="148"/>
    </row>
    <row r="106" spans="1:18" x14ac:dyDescent="0.25">
      <c r="A106" s="142" t="s">
        <v>329</v>
      </c>
      <c r="B106" s="157" t="s">
        <v>336</v>
      </c>
      <c r="C106" s="147" t="s">
        <v>1275</v>
      </c>
      <c r="D106" s="148">
        <v>1.8044</v>
      </c>
      <c r="E106" s="148">
        <v>0.20596999999999999</v>
      </c>
      <c r="F106" s="148"/>
      <c r="G106" s="148"/>
      <c r="H106" s="148"/>
      <c r="I106" s="148"/>
      <c r="J106" s="149"/>
      <c r="K106" s="150">
        <v>1.0614117647058823</v>
      </c>
      <c r="L106" s="148">
        <v>0.1141487475060962</v>
      </c>
      <c r="M106" s="148"/>
      <c r="N106" s="148"/>
      <c r="O106" s="148"/>
      <c r="P106" s="148"/>
      <c r="Q106" s="149"/>
      <c r="R106" s="148"/>
    </row>
    <row r="107" spans="1:18" x14ac:dyDescent="0.25">
      <c r="A107" s="142" t="s">
        <v>329</v>
      </c>
      <c r="B107" s="157" t="s">
        <v>337</v>
      </c>
      <c r="C107" s="147" t="s">
        <v>1335</v>
      </c>
      <c r="D107" s="148">
        <v>0.81645000000000001</v>
      </c>
      <c r="E107" s="148">
        <v>2.4670000000000001E-2</v>
      </c>
      <c r="F107" s="148">
        <v>-0.58270999999999995</v>
      </c>
      <c r="G107" s="148">
        <v>-0.55393999999999999</v>
      </c>
      <c r="H107" s="148">
        <v>0.31267000000000006</v>
      </c>
      <c r="I107" s="148">
        <v>0.62067000000000017</v>
      </c>
      <c r="J107" s="149">
        <v>0.20330999999999988</v>
      </c>
      <c r="K107" s="150">
        <v>0.48026520000000006</v>
      </c>
      <c r="L107" s="148">
        <v>3.02213969485133E-2</v>
      </c>
      <c r="M107" s="148">
        <v>0.71371079999999987</v>
      </c>
      <c r="N107" s="148">
        <v>0.67847749999999996</v>
      </c>
      <c r="O107" s="148">
        <v>-0.38296380000000002</v>
      </c>
      <c r="P107" s="148">
        <v>-0.76020629999999989</v>
      </c>
      <c r="Q107" s="149">
        <v>-0.2490183</v>
      </c>
      <c r="R107" s="148"/>
    </row>
    <row r="108" spans="1:18" x14ac:dyDescent="0.25">
      <c r="A108" s="142" t="s">
        <v>329</v>
      </c>
      <c r="B108" s="157" t="s">
        <v>337</v>
      </c>
      <c r="C108" s="147" t="s">
        <v>1337</v>
      </c>
      <c r="D108" s="148">
        <v>1.4981400000000005</v>
      </c>
      <c r="E108" s="148">
        <v>-0.53332999999999997</v>
      </c>
      <c r="F108" s="148">
        <v>-1.7968699999999995</v>
      </c>
      <c r="G108" s="148">
        <v>-0.94154000000000004</v>
      </c>
      <c r="H108" s="148">
        <v>0.51998</v>
      </c>
      <c r="I108" s="148">
        <v>1.1229100000000001</v>
      </c>
      <c r="J108" s="149">
        <v>1.0955200000000003</v>
      </c>
      <c r="K108" s="150">
        <v>0.88125909999999985</v>
      </c>
      <c r="L108" s="148">
        <v>-0.35599510000000006</v>
      </c>
      <c r="M108" s="148">
        <v>1.1993971999999997</v>
      </c>
      <c r="N108" s="148">
        <v>0.62847129999999995</v>
      </c>
      <c r="O108" s="148">
        <v>-0.34708250000000002</v>
      </c>
      <c r="P108" s="148">
        <v>-0.7495385</v>
      </c>
      <c r="Q108" s="149">
        <v>-0.73124750000000005</v>
      </c>
      <c r="R108" s="148"/>
    </row>
    <row r="109" spans="1:18" x14ac:dyDescent="0.25">
      <c r="A109" s="142" t="s">
        <v>329</v>
      </c>
      <c r="B109" s="157" t="s">
        <v>337</v>
      </c>
      <c r="C109" s="147" t="s">
        <v>1339</v>
      </c>
      <c r="D109" s="148">
        <v>1.89334</v>
      </c>
      <c r="E109" s="148">
        <v>-0.49641999999999997</v>
      </c>
      <c r="F109" s="148">
        <v>-2.1912500000000001</v>
      </c>
      <c r="G109" s="148">
        <v>-0.85670000000000002</v>
      </c>
      <c r="H109" s="148">
        <v>0.5213000000000001</v>
      </c>
      <c r="I109" s="148">
        <v>1.22848</v>
      </c>
      <c r="J109" s="149">
        <v>1.29817</v>
      </c>
      <c r="K109" s="150">
        <v>1.1137281000000001</v>
      </c>
      <c r="L109" s="148">
        <v>-0.26219399999999998</v>
      </c>
      <c r="M109" s="148">
        <v>1.1573502</v>
      </c>
      <c r="N109" s="148">
        <v>0.45248080000000007</v>
      </c>
      <c r="O109" s="148">
        <v>-0.27533259999999998</v>
      </c>
      <c r="P109" s="148">
        <v>-0.64884509999999995</v>
      </c>
      <c r="Q109" s="149">
        <v>-0.68565330000000002</v>
      </c>
      <c r="R109" s="148"/>
    </row>
    <row r="110" spans="1:18" x14ac:dyDescent="0.25">
      <c r="A110" s="142" t="s">
        <v>329</v>
      </c>
      <c r="B110" s="157" t="s">
        <v>337</v>
      </c>
      <c r="C110" s="147" t="s">
        <v>1341</v>
      </c>
      <c r="D110" s="148">
        <v>2.86355</v>
      </c>
      <c r="E110" s="148">
        <v>0.15354999999999996</v>
      </c>
      <c r="F110" s="148">
        <v>-2.77481</v>
      </c>
      <c r="G110" s="148">
        <v>-0.50173999999999996</v>
      </c>
      <c r="H110" s="148">
        <v>0.24343999999999999</v>
      </c>
      <c r="I110" s="148">
        <v>1.2288300000000003</v>
      </c>
      <c r="J110" s="149">
        <v>1.8042799999999997</v>
      </c>
      <c r="K110" s="150">
        <v>1.6844424</v>
      </c>
      <c r="L110" s="148">
        <v>5.3623951945126098E-2</v>
      </c>
      <c r="M110" s="148">
        <v>0.96901130000000002</v>
      </c>
      <c r="N110" s="148">
        <v>0.17521640000000005</v>
      </c>
      <c r="O110" s="148">
        <v>-8.5011637362914602E-2</v>
      </c>
      <c r="P110" s="148">
        <v>-0.42912640000000002</v>
      </c>
      <c r="Q110" s="149">
        <v>-0.63008969999999997</v>
      </c>
      <c r="R110" s="148"/>
    </row>
    <row r="111" spans="1:18" x14ac:dyDescent="0.25">
      <c r="A111" s="142" t="s">
        <v>329</v>
      </c>
      <c r="B111" s="157" t="s">
        <v>337</v>
      </c>
      <c r="C111" s="147" t="s">
        <v>1343</v>
      </c>
      <c r="D111" s="148">
        <v>1.6823300000000001</v>
      </c>
      <c r="E111" s="148">
        <v>-0.20091999999999999</v>
      </c>
      <c r="F111" s="148">
        <v>-1.6467000000000001</v>
      </c>
      <c r="G111" s="148">
        <v>-0.62397000000000014</v>
      </c>
      <c r="H111" s="148">
        <v>0.34028000000000003</v>
      </c>
      <c r="I111" s="148">
        <v>0.85414999999999985</v>
      </c>
      <c r="J111" s="149">
        <v>1.0762400000000001</v>
      </c>
      <c r="K111" s="150">
        <v>0.98960650000000017</v>
      </c>
      <c r="L111" s="148">
        <v>-0.1194273</v>
      </c>
      <c r="M111" s="148">
        <v>0.97881839999999998</v>
      </c>
      <c r="N111" s="148">
        <v>0.3708976000000001</v>
      </c>
      <c r="O111" s="148">
        <v>-0.20226859999999999</v>
      </c>
      <c r="P111" s="148">
        <v>-0.50772010000000012</v>
      </c>
      <c r="Q111" s="149">
        <v>-0.63972739999999984</v>
      </c>
      <c r="R111" s="148"/>
    </row>
    <row r="112" spans="1:18" x14ac:dyDescent="0.25">
      <c r="A112" s="142" t="s">
        <v>329</v>
      </c>
      <c r="B112" s="157" t="s">
        <v>337</v>
      </c>
      <c r="C112" s="147" t="s">
        <v>1345</v>
      </c>
      <c r="D112" s="148">
        <v>2.3182000000000005</v>
      </c>
      <c r="E112" s="148">
        <v>2.538E-2</v>
      </c>
      <c r="F112" s="148">
        <v>-1.9280900000000001</v>
      </c>
      <c r="G112" s="148">
        <v>-0.53839000000000004</v>
      </c>
      <c r="H112" s="148">
        <v>0.32674999999999998</v>
      </c>
      <c r="I112" s="148">
        <v>0.93772999999999995</v>
      </c>
      <c r="J112" s="149">
        <v>1.2020000000000002</v>
      </c>
      <c r="K112" s="150">
        <v>1.3636470999999999</v>
      </c>
      <c r="L112" s="148">
        <v>1.0949006951571404E-2</v>
      </c>
      <c r="M112" s="148">
        <v>0.83171740000000005</v>
      </c>
      <c r="N112" s="148">
        <v>0.23224420000000004</v>
      </c>
      <c r="O112" s="148">
        <v>-0.14095099999999999</v>
      </c>
      <c r="P112" s="148">
        <v>-0.40450710000000006</v>
      </c>
      <c r="Q112" s="149">
        <v>-0.51850350000000001</v>
      </c>
      <c r="R112" s="148"/>
    </row>
    <row r="113" spans="1:18" x14ac:dyDescent="0.25">
      <c r="A113" s="142" t="s">
        <v>329</v>
      </c>
      <c r="B113" s="157" t="s">
        <v>337</v>
      </c>
      <c r="C113" s="147" t="s">
        <v>1347</v>
      </c>
      <c r="D113" s="148">
        <v>2.1251600000000006</v>
      </c>
      <c r="E113" s="148">
        <v>0.12421</v>
      </c>
      <c r="F113" s="148">
        <v>-1.2501899999999997</v>
      </c>
      <c r="G113" s="148">
        <v>-0.44988</v>
      </c>
      <c r="H113" s="148">
        <v>0.14913000000000001</v>
      </c>
      <c r="I113" s="148">
        <v>0.69616</v>
      </c>
      <c r="J113" s="149">
        <v>0.85478000000000021</v>
      </c>
      <c r="K113" s="150">
        <v>1.2500941000000001</v>
      </c>
      <c r="L113" s="148">
        <v>5.8448014354191509E-2</v>
      </c>
      <c r="M113" s="148">
        <v>0.58828070000000021</v>
      </c>
      <c r="N113" s="148">
        <v>0.21169289999999996</v>
      </c>
      <c r="O113" s="148">
        <v>-7.0171518382154394E-2</v>
      </c>
      <c r="P113" s="148">
        <v>-0.32757989999999992</v>
      </c>
      <c r="Q113" s="149">
        <v>-0.40222210000000008</v>
      </c>
      <c r="R113" s="148"/>
    </row>
    <row r="114" spans="1:18" x14ac:dyDescent="0.25">
      <c r="A114" s="142" t="s">
        <v>329</v>
      </c>
      <c r="B114" s="157" t="s">
        <v>338</v>
      </c>
      <c r="C114" s="147" t="s">
        <v>1349</v>
      </c>
      <c r="D114" s="148">
        <v>0.52239000000000013</v>
      </c>
      <c r="E114" s="148">
        <v>-0.13392000000000001</v>
      </c>
      <c r="F114" s="148">
        <v>-0.27194000000000002</v>
      </c>
      <c r="G114" s="148">
        <v>-0.52207000000000003</v>
      </c>
      <c r="H114" s="148">
        <v>0.17512</v>
      </c>
      <c r="I114" s="148">
        <v>0.53571000000000002</v>
      </c>
      <c r="J114" s="149">
        <v>8.3180000000000143E-2</v>
      </c>
      <c r="K114" s="150">
        <v>0.30729010000000001</v>
      </c>
      <c r="L114" s="148">
        <v>-0.25635649999999999</v>
      </c>
      <c r="M114" s="148">
        <v>0.52056800000000003</v>
      </c>
      <c r="N114" s="148">
        <v>0.99938090000000002</v>
      </c>
      <c r="O114" s="148">
        <v>-0.33522550000000001</v>
      </c>
      <c r="P114" s="148">
        <v>-1.0254916999999999</v>
      </c>
      <c r="Q114" s="149">
        <v>-0.1592317</v>
      </c>
      <c r="R114" s="148"/>
    </row>
    <row r="115" spans="1:18" x14ac:dyDescent="0.25">
      <c r="A115" s="142" t="s">
        <v>329</v>
      </c>
      <c r="B115" s="157" t="s">
        <v>338</v>
      </c>
      <c r="C115" s="147" t="s">
        <v>1351</v>
      </c>
      <c r="D115" s="148">
        <v>1.1944699999999997</v>
      </c>
      <c r="E115" s="148">
        <v>-0.77493000000000001</v>
      </c>
      <c r="F115" s="148">
        <v>-1.6965699999999997</v>
      </c>
      <c r="G115" s="148">
        <v>-0.87970000000000004</v>
      </c>
      <c r="H115" s="148">
        <v>0.43535000000000001</v>
      </c>
      <c r="I115" s="148">
        <v>1.08788</v>
      </c>
      <c r="J115" s="149">
        <v>1.05304</v>
      </c>
      <c r="K115" s="150">
        <v>0.70262660000000021</v>
      </c>
      <c r="L115" s="148">
        <v>-0.64876820000000013</v>
      </c>
      <c r="M115" s="148">
        <v>1.4203626</v>
      </c>
      <c r="N115" s="148">
        <v>0.73648340000000012</v>
      </c>
      <c r="O115" s="148">
        <v>-0.36447459999999993</v>
      </c>
      <c r="P115" s="148">
        <v>-0.91076570000000001</v>
      </c>
      <c r="Q115" s="149">
        <v>-0.88160579999999988</v>
      </c>
      <c r="R115" s="148"/>
    </row>
    <row r="116" spans="1:18" x14ac:dyDescent="0.25">
      <c r="A116" s="142" t="s">
        <v>329</v>
      </c>
      <c r="B116" s="157" t="s">
        <v>338</v>
      </c>
      <c r="C116" s="147" t="s">
        <v>1353</v>
      </c>
      <c r="D116" s="148">
        <v>1.45377</v>
      </c>
      <c r="E116" s="148">
        <v>-0.72204999999999997</v>
      </c>
      <c r="F116" s="148">
        <v>-1.9855700000000001</v>
      </c>
      <c r="G116" s="148">
        <v>-0.82094999999999996</v>
      </c>
      <c r="H116" s="148">
        <v>0.42637000000000003</v>
      </c>
      <c r="I116" s="148">
        <v>1.1773699999999998</v>
      </c>
      <c r="J116" s="149">
        <v>1.20278</v>
      </c>
      <c r="K116" s="150">
        <v>0.85515699999999994</v>
      </c>
      <c r="L116" s="148">
        <v>-0.49667359999999999</v>
      </c>
      <c r="M116" s="148">
        <v>1.3658083999999999</v>
      </c>
      <c r="N116" s="148">
        <v>0.56470849999999995</v>
      </c>
      <c r="O116" s="148">
        <v>-0.29328320000000008</v>
      </c>
      <c r="P116" s="148">
        <v>-0.80987779999999987</v>
      </c>
      <c r="Q116" s="149">
        <v>-0.82735599999999987</v>
      </c>
      <c r="R116" s="148"/>
    </row>
    <row r="117" spans="1:18" x14ac:dyDescent="0.25">
      <c r="A117" s="142" t="s">
        <v>329</v>
      </c>
      <c r="B117" s="157" t="s">
        <v>338</v>
      </c>
      <c r="C117" s="147" t="s">
        <v>1355</v>
      </c>
      <c r="D117" s="148">
        <v>1.98912</v>
      </c>
      <c r="E117" s="148">
        <v>-0.11817999999999999</v>
      </c>
      <c r="F117" s="148">
        <v>-2.3325499999999999</v>
      </c>
      <c r="G117" s="148">
        <v>-0.48831999999999992</v>
      </c>
      <c r="H117" s="148">
        <v>0.21789</v>
      </c>
      <c r="I117" s="148">
        <v>1.12198</v>
      </c>
      <c r="J117" s="149">
        <v>1.4809999999999997</v>
      </c>
      <c r="K117" s="150">
        <v>1.1700729000000003</v>
      </c>
      <c r="L117" s="148">
        <v>-5.9415231710197504E-2</v>
      </c>
      <c r="M117" s="148">
        <v>1.1726498999999999</v>
      </c>
      <c r="N117" s="148">
        <v>0.24549750000000004</v>
      </c>
      <c r="O117" s="148">
        <v>-0.10953870000000002</v>
      </c>
      <c r="P117" s="148">
        <v>-0.56405839999999996</v>
      </c>
      <c r="Q117" s="149">
        <v>-0.74455039999999983</v>
      </c>
      <c r="R117" s="148"/>
    </row>
    <row r="118" spans="1:18" x14ac:dyDescent="0.25">
      <c r="A118" s="142" t="s">
        <v>329</v>
      </c>
      <c r="B118" s="157" t="s">
        <v>338</v>
      </c>
      <c r="C118" s="147" t="s">
        <v>1357</v>
      </c>
      <c r="D118" s="148">
        <v>1.9921899999999999</v>
      </c>
      <c r="E118" s="148">
        <v>-0.69498000000000004</v>
      </c>
      <c r="F118" s="148">
        <v>-2.1574800000000001</v>
      </c>
      <c r="G118" s="148">
        <v>-0.87639</v>
      </c>
      <c r="H118" s="148">
        <v>0.31235000000000002</v>
      </c>
      <c r="I118" s="148">
        <v>1.13042</v>
      </c>
      <c r="J118" s="149">
        <v>1.5911000000000004</v>
      </c>
      <c r="K118" s="150">
        <v>1.1718763000000001</v>
      </c>
      <c r="L118" s="148">
        <v>-0.348852</v>
      </c>
      <c r="M118" s="148">
        <v>1.0829709999999999</v>
      </c>
      <c r="N118" s="148">
        <v>0.43991190000000002</v>
      </c>
      <c r="O118" s="148">
        <v>-0.15678649999999997</v>
      </c>
      <c r="P118" s="148">
        <v>-0.56742380000000003</v>
      </c>
      <c r="Q118" s="149">
        <v>-0.79867270000000012</v>
      </c>
      <c r="R118" s="148"/>
    </row>
    <row r="119" spans="1:18" x14ac:dyDescent="0.25">
      <c r="A119" s="142" t="s">
        <v>329</v>
      </c>
      <c r="B119" s="157" t="s">
        <v>338</v>
      </c>
      <c r="C119" s="147" t="s">
        <v>1359</v>
      </c>
      <c r="D119" s="148">
        <v>1.2789099999999998</v>
      </c>
      <c r="E119" s="148">
        <v>-4.777E-2</v>
      </c>
      <c r="F119" s="148">
        <v>-1.3057399999999999</v>
      </c>
      <c r="G119" s="148">
        <v>-0.39594000000000001</v>
      </c>
      <c r="H119" s="148">
        <v>0.21942999999999996</v>
      </c>
      <c r="I119" s="148">
        <v>0.68823999999999996</v>
      </c>
      <c r="J119" s="149">
        <v>0.79400999999999999</v>
      </c>
      <c r="K119" s="150">
        <v>0.75230229999999998</v>
      </c>
      <c r="L119" s="148">
        <v>-3.7351865759724406E-2</v>
      </c>
      <c r="M119" s="148">
        <v>1.0209758999999998</v>
      </c>
      <c r="N119" s="148">
        <v>0.30958819999999992</v>
      </c>
      <c r="O119" s="148">
        <v>-0.1715757</v>
      </c>
      <c r="P119" s="148">
        <v>-0.53814160000000011</v>
      </c>
      <c r="Q119" s="149">
        <v>-0.62084680000000003</v>
      </c>
      <c r="R119" s="148"/>
    </row>
    <row r="120" spans="1:18" x14ac:dyDescent="0.25">
      <c r="A120" s="142" t="s">
        <v>329</v>
      </c>
      <c r="B120" s="157" t="s">
        <v>338</v>
      </c>
      <c r="C120" s="147" t="s">
        <v>1361</v>
      </c>
      <c r="D120" s="148">
        <v>1.1449800000000001</v>
      </c>
      <c r="E120" s="148">
        <v>9.5099999999999976E-3</v>
      </c>
      <c r="F120" s="148">
        <v>-0.75793000000000021</v>
      </c>
      <c r="G120" s="148">
        <v>-0.30174000000000001</v>
      </c>
      <c r="H120" s="148">
        <v>0.10588999999999998</v>
      </c>
      <c r="I120" s="148">
        <v>0.50460000000000005</v>
      </c>
      <c r="J120" s="149">
        <v>0.44918000000000008</v>
      </c>
      <c r="K120" s="150">
        <v>0.67351540000000021</v>
      </c>
      <c r="L120" s="148">
        <v>8.3026825979153375E-3</v>
      </c>
      <c r="M120" s="148">
        <v>0.66195890000000013</v>
      </c>
      <c r="N120" s="148">
        <v>0.26353749999999998</v>
      </c>
      <c r="O120" s="148">
        <v>-9.2478293537047507E-2</v>
      </c>
      <c r="P120" s="148">
        <v>-0.44071050000000001</v>
      </c>
      <c r="Q120" s="149">
        <v>-0.39230749999999998</v>
      </c>
      <c r="R120" s="148"/>
    </row>
    <row r="121" spans="1:18" x14ac:dyDescent="0.25">
      <c r="A121" s="142" t="s">
        <v>329</v>
      </c>
      <c r="B121" s="157" t="s">
        <v>339</v>
      </c>
      <c r="C121" s="147" t="s">
        <v>1397</v>
      </c>
      <c r="D121" s="148">
        <v>0.85836000000000012</v>
      </c>
      <c r="E121" s="148">
        <v>0.38800000000000001</v>
      </c>
      <c r="F121" s="148">
        <v>-1.2509699999999997</v>
      </c>
      <c r="G121" s="148">
        <v>-0.34227000000000002</v>
      </c>
      <c r="H121" s="148">
        <v>1.5932399999999995</v>
      </c>
      <c r="I121" s="148"/>
      <c r="J121" s="149"/>
      <c r="K121" s="150">
        <v>0.50492000000000004</v>
      </c>
      <c r="L121" s="148">
        <v>0.45201999999999998</v>
      </c>
      <c r="M121" s="148">
        <v>1.45739</v>
      </c>
      <c r="N121" s="148">
        <v>0.39874999999999999</v>
      </c>
      <c r="O121" s="148">
        <v>-1.8561399999999999</v>
      </c>
      <c r="P121" s="148"/>
      <c r="Q121" s="149"/>
      <c r="R121" s="148"/>
    </row>
    <row r="122" spans="1:18" x14ac:dyDescent="0.25">
      <c r="A122" s="142" t="s">
        <v>329</v>
      </c>
      <c r="B122" s="157" t="s">
        <v>339</v>
      </c>
      <c r="C122" s="147" t="s">
        <v>1399</v>
      </c>
      <c r="D122" s="148">
        <v>1.9001199999999996</v>
      </c>
      <c r="E122" s="148">
        <v>-0.33074999999999999</v>
      </c>
      <c r="F122" s="148">
        <v>-1.6595100000000005</v>
      </c>
      <c r="G122" s="148">
        <v>-0.97994999999999999</v>
      </c>
      <c r="H122" s="148">
        <v>2.6394600000000001</v>
      </c>
      <c r="I122" s="148"/>
      <c r="J122" s="149"/>
      <c r="K122" s="150">
        <v>1.11772</v>
      </c>
      <c r="L122" s="148">
        <v>-0.17407</v>
      </c>
      <c r="M122" s="148">
        <v>0.87336999999999998</v>
      </c>
      <c r="N122" s="148">
        <v>0.51573000000000002</v>
      </c>
      <c r="O122" s="148">
        <v>-1.3891</v>
      </c>
      <c r="P122" s="148"/>
      <c r="Q122" s="149"/>
      <c r="R122" s="148"/>
    </row>
    <row r="123" spans="1:18" x14ac:dyDescent="0.25">
      <c r="A123" s="142" t="s">
        <v>329</v>
      </c>
      <c r="B123" s="157" t="s">
        <v>339</v>
      </c>
      <c r="C123" s="147" t="s">
        <v>1401</v>
      </c>
      <c r="D123" s="148">
        <v>2.3919199999999994</v>
      </c>
      <c r="E123" s="148">
        <v>-0.13395000000000001</v>
      </c>
      <c r="F123" s="148">
        <v>-2.3963399999999999</v>
      </c>
      <c r="G123" s="148">
        <v>-0.92290000000000005</v>
      </c>
      <c r="H123" s="148">
        <v>3.3192399999999993</v>
      </c>
      <c r="I123" s="148"/>
      <c r="J123" s="149"/>
      <c r="K123" s="150">
        <v>1.4070100000000001</v>
      </c>
      <c r="L123" s="148">
        <v>-5.6000000000000001E-2</v>
      </c>
      <c r="M123" s="148">
        <v>1.0018499999999999</v>
      </c>
      <c r="N123" s="148">
        <v>0.38584000000000002</v>
      </c>
      <c r="O123" s="148">
        <v>-1.3876900000000001</v>
      </c>
      <c r="P123" s="148"/>
      <c r="Q123" s="149"/>
      <c r="R123" s="148"/>
    </row>
    <row r="124" spans="1:18" x14ac:dyDescent="0.25">
      <c r="A124" s="142" t="s">
        <v>329</v>
      </c>
      <c r="B124" s="157" t="s">
        <v>339</v>
      </c>
      <c r="C124" s="147" t="s">
        <v>1403</v>
      </c>
      <c r="D124" s="148">
        <v>1.6201300000000001</v>
      </c>
      <c r="E124" s="148">
        <v>0.32427</v>
      </c>
      <c r="F124" s="148">
        <v>-2.0689600000000001</v>
      </c>
      <c r="G124" s="148">
        <v>-0.39551999999999993</v>
      </c>
      <c r="H124" s="148">
        <v>2.46448</v>
      </c>
      <c r="I124" s="148"/>
      <c r="J124" s="149"/>
      <c r="K124" s="150">
        <v>0.95301999999999998</v>
      </c>
      <c r="L124" s="148">
        <v>0.20014999999999999</v>
      </c>
      <c r="M124" s="148">
        <v>1.2770300000000001</v>
      </c>
      <c r="N124" s="148">
        <v>0.24413000000000001</v>
      </c>
      <c r="O124" s="148">
        <v>-1.5211699999999999</v>
      </c>
      <c r="P124" s="148"/>
      <c r="Q124" s="149"/>
      <c r="R124" s="148"/>
    </row>
    <row r="125" spans="1:18" x14ac:dyDescent="0.25">
      <c r="A125" s="142" t="s">
        <v>329</v>
      </c>
      <c r="B125" s="157" t="s">
        <v>339</v>
      </c>
      <c r="C125" s="147" t="s">
        <v>1405</v>
      </c>
      <c r="D125" s="148">
        <v>0.96674000000000004</v>
      </c>
      <c r="E125" s="148">
        <v>0.30032999999999993</v>
      </c>
      <c r="F125" s="148">
        <v>-1.48367</v>
      </c>
      <c r="G125" s="148">
        <v>-5.7019999999999994E-2</v>
      </c>
      <c r="H125" s="148">
        <v>1.5406899999999999</v>
      </c>
      <c r="I125" s="148"/>
      <c r="J125" s="149"/>
      <c r="K125" s="150">
        <v>0.56867000000000001</v>
      </c>
      <c r="L125" s="148">
        <v>0.31065999999999999</v>
      </c>
      <c r="M125" s="148">
        <v>1.5347200000000001</v>
      </c>
      <c r="N125" s="148">
        <v>5.8979999999999998E-2</v>
      </c>
      <c r="O125" s="148">
        <v>-1.5936999999999999</v>
      </c>
      <c r="P125" s="148"/>
      <c r="Q125" s="149"/>
      <c r="R125" s="148"/>
    </row>
    <row r="126" spans="1:18" x14ac:dyDescent="0.25">
      <c r="A126" s="142" t="s">
        <v>329</v>
      </c>
      <c r="B126" s="157" t="s">
        <v>339</v>
      </c>
      <c r="C126" s="147" t="s">
        <v>1407</v>
      </c>
      <c r="D126" s="148">
        <v>2.46271</v>
      </c>
      <c r="E126" s="148">
        <v>-0.54790000000000005</v>
      </c>
      <c r="F126" s="148">
        <v>-2.2079399999999998</v>
      </c>
      <c r="G126" s="148">
        <v>-1.17577</v>
      </c>
      <c r="H126" s="148">
        <v>3.3837100000000002</v>
      </c>
      <c r="I126" s="148"/>
      <c r="J126" s="149"/>
      <c r="K126" s="150">
        <v>1.44865</v>
      </c>
      <c r="L126" s="148">
        <v>-0.22248000000000001</v>
      </c>
      <c r="M126" s="148">
        <v>0.89654999999999996</v>
      </c>
      <c r="N126" s="148">
        <v>0.47743000000000002</v>
      </c>
      <c r="O126" s="148">
        <v>-1.37398</v>
      </c>
      <c r="P126" s="148"/>
      <c r="Q126" s="149"/>
      <c r="R126" s="148"/>
    </row>
    <row r="127" spans="1:18" x14ac:dyDescent="0.25">
      <c r="A127" s="142" t="s">
        <v>329</v>
      </c>
      <c r="B127" s="157" t="s">
        <v>340</v>
      </c>
      <c r="C127" s="147" t="s">
        <v>1409</v>
      </c>
      <c r="D127" s="148">
        <v>1.62957</v>
      </c>
      <c r="E127" s="148">
        <v>-0.11867999999999998</v>
      </c>
      <c r="F127" s="148">
        <v>-2.4357700000000002</v>
      </c>
      <c r="G127" s="148">
        <v>-0.78090999999999999</v>
      </c>
      <c r="H127" s="148">
        <v>3.2166800000000002</v>
      </c>
      <c r="I127" s="148"/>
      <c r="J127" s="149"/>
      <c r="K127" s="150">
        <v>0.95857000000000003</v>
      </c>
      <c r="L127" s="148">
        <v>-7.2830000000000006E-2</v>
      </c>
      <c r="M127" s="148">
        <v>1.4947299999999999</v>
      </c>
      <c r="N127" s="148">
        <v>0.47921000000000002</v>
      </c>
      <c r="O127" s="148">
        <v>-1.97394</v>
      </c>
      <c r="P127" s="148"/>
      <c r="Q127" s="149"/>
      <c r="R127" s="148"/>
    </row>
    <row r="128" spans="1:18" x14ac:dyDescent="0.25">
      <c r="A128" s="142" t="s">
        <v>329</v>
      </c>
      <c r="B128" s="157" t="s">
        <v>340</v>
      </c>
      <c r="C128" s="147" t="s">
        <v>1411</v>
      </c>
      <c r="D128" s="148">
        <v>1.8388199999999997</v>
      </c>
      <c r="E128" s="148">
        <v>0.29309000000000007</v>
      </c>
      <c r="F128" s="148">
        <v>-2.9579300000000002</v>
      </c>
      <c r="G128" s="148">
        <v>-0.44439000000000001</v>
      </c>
      <c r="H128" s="148">
        <v>3.4023200000000009</v>
      </c>
      <c r="I128" s="148"/>
      <c r="J128" s="149"/>
      <c r="K128" s="150">
        <v>1.0816600000000001</v>
      </c>
      <c r="L128" s="148">
        <v>0.15939</v>
      </c>
      <c r="M128" s="148">
        <v>1.6086</v>
      </c>
      <c r="N128" s="148">
        <v>0.24167</v>
      </c>
      <c r="O128" s="148">
        <v>-1.8502799999999999</v>
      </c>
      <c r="P128" s="148"/>
      <c r="Q128" s="149"/>
      <c r="R128" s="148"/>
    </row>
    <row r="129" spans="1:18" x14ac:dyDescent="0.25">
      <c r="A129" s="142" t="s">
        <v>329</v>
      </c>
      <c r="B129" s="157" t="s">
        <v>340</v>
      </c>
      <c r="C129" s="147" t="s">
        <v>1413</v>
      </c>
      <c r="D129" s="148">
        <v>0.94055999999999984</v>
      </c>
      <c r="E129" s="148">
        <v>-4.9349999999999991E-2</v>
      </c>
      <c r="F129" s="148">
        <v>-1.1888800000000002</v>
      </c>
      <c r="G129" s="148">
        <v>-0.49879000000000001</v>
      </c>
      <c r="H129" s="148">
        <v>1.68767</v>
      </c>
      <c r="I129" s="148"/>
      <c r="J129" s="149"/>
      <c r="K129" s="150">
        <v>0.55327000000000004</v>
      </c>
      <c r="L129" s="148">
        <v>-5.2470000000000003E-2</v>
      </c>
      <c r="M129" s="148">
        <v>1.2640100000000001</v>
      </c>
      <c r="N129" s="148">
        <v>0.53030999999999995</v>
      </c>
      <c r="O129" s="148">
        <v>-1.79433</v>
      </c>
      <c r="P129" s="148"/>
      <c r="Q129" s="149"/>
      <c r="R129" s="148"/>
    </row>
    <row r="130" spans="1:18" x14ac:dyDescent="0.25">
      <c r="A130" s="142" t="s">
        <v>329</v>
      </c>
      <c r="B130" s="157" t="s">
        <v>340</v>
      </c>
      <c r="C130" s="147" t="s">
        <v>1415</v>
      </c>
      <c r="D130" s="148">
        <v>2.3188300000000002</v>
      </c>
      <c r="E130" s="148">
        <v>-5.5540000000000006E-2</v>
      </c>
      <c r="F130" s="148">
        <v>-3.3992</v>
      </c>
      <c r="G130" s="148">
        <v>-0.63534000000000013</v>
      </c>
      <c r="H130" s="148">
        <v>4.0345399999999989</v>
      </c>
      <c r="I130" s="148"/>
      <c r="J130" s="149"/>
      <c r="K130" s="150">
        <v>1.36402</v>
      </c>
      <c r="L130" s="148">
        <v>-2.3949999999999999E-2</v>
      </c>
      <c r="M130" s="148">
        <v>1.46591</v>
      </c>
      <c r="N130" s="148">
        <v>0.27399000000000001</v>
      </c>
      <c r="O130" s="148">
        <v>-1.7399</v>
      </c>
      <c r="P130" s="148"/>
      <c r="Q130" s="149"/>
      <c r="R130" s="148"/>
    </row>
    <row r="131" spans="1:18" x14ac:dyDescent="0.25">
      <c r="A131" s="152" t="s">
        <v>329</v>
      </c>
      <c r="B131" s="159" t="s">
        <v>340</v>
      </c>
      <c r="C131" s="153" t="s">
        <v>1417</v>
      </c>
      <c r="D131" s="154">
        <v>1.7722199999999999</v>
      </c>
      <c r="E131" s="154">
        <v>-6.9519999999999985E-2</v>
      </c>
      <c r="F131" s="154">
        <v>-2.66554</v>
      </c>
      <c r="G131" s="154">
        <v>-0.63057000000000019</v>
      </c>
      <c r="H131" s="154">
        <v>3.2961100000000001</v>
      </c>
      <c r="I131" s="154"/>
      <c r="J131" s="155"/>
      <c r="K131" s="156">
        <v>1.0424800000000001</v>
      </c>
      <c r="L131" s="154">
        <v>-3.9230000000000001E-2</v>
      </c>
      <c r="M131" s="154">
        <v>1.50407</v>
      </c>
      <c r="N131" s="154">
        <v>0.35581000000000002</v>
      </c>
      <c r="O131" s="154">
        <v>-1.85988</v>
      </c>
      <c r="P131" s="154"/>
      <c r="Q131" s="155"/>
      <c r="R131" s="148"/>
    </row>
    <row r="132" spans="1:18" x14ac:dyDescent="0.25">
      <c r="A132" s="142" t="s">
        <v>341</v>
      </c>
      <c r="B132" s="157" t="s">
        <v>342</v>
      </c>
      <c r="C132" s="147" t="s">
        <v>1502</v>
      </c>
      <c r="D132" s="148">
        <v>2.1192500000000001</v>
      </c>
      <c r="E132" s="148">
        <v>-0.71131999999999984</v>
      </c>
      <c r="F132" s="148"/>
      <c r="G132" s="148"/>
      <c r="H132" s="148"/>
      <c r="I132" s="148"/>
      <c r="J132" s="149"/>
      <c r="K132" s="150">
        <v>1.2466155999999999</v>
      </c>
      <c r="L132" s="148">
        <v>-0.3356497</v>
      </c>
      <c r="M132" s="148"/>
      <c r="N132" s="148"/>
      <c r="O132" s="148"/>
      <c r="P132" s="148"/>
      <c r="Q132" s="149"/>
      <c r="R132" s="148"/>
    </row>
    <row r="133" spans="1:18" x14ac:dyDescent="0.25">
      <c r="A133" s="142" t="s">
        <v>341</v>
      </c>
      <c r="B133" s="157" t="s">
        <v>342</v>
      </c>
      <c r="C133" s="147" t="s">
        <v>1504</v>
      </c>
      <c r="D133" s="148">
        <v>1.9207799999999997</v>
      </c>
      <c r="E133" s="148">
        <v>-0.15573999999999996</v>
      </c>
      <c r="F133" s="148"/>
      <c r="G133" s="148"/>
      <c r="H133" s="148"/>
      <c r="I133" s="148"/>
      <c r="J133" s="149"/>
      <c r="K133" s="150">
        <v>1.1298687000000001</v>
      </c>
      <c r="L133" s="148">
        <v>-0.81811633245549997</v>
      </c>
      <c r="M133" s="148"/>
      <c r="N133" s="148"/>
      <c r="O133" s="148"/>
      <c r="P133" s="148"/>
      <c r="Q133" s="149"/>
      <c r="R133" s="148"/>
    </row>
    <row r="134" spans="1:18" x14ac:dyDescent="0.25">
      <c r="A134" s="142" t="s">
        <v>341</v>
      </c>
      <c r="B134" s="157" t="s">
        <v>342</v>
      </c>
      <c r="C134" s="147" t="s">
        <v>1506</v>
      </c>
      <c r="D134" s="148">
        <v>2.2765100000000005</v>
      </c>
      <c r="E134" s="148">
        <v>-0.77271999999999985</v>
      </c>
      <c r="F134" s="148"/>
      <c r="G134" s="148"/>
      <c r="H134" s="148"/>
      <c r="I134" s="148"/>
      <c r="J134" s="149"/>
      <c r="K134" s="150">
        <v>1.3391212999999997</v>
      </c>
      <c r="L134" s="148">
        <v>-0.33943099999999998</v>
      </c>
      <c r="M134" s="148"/>
      <c r="N134" s="148"/>
      <c r="O134" s="148"/>
      <c r="P134" s="148"/>
      <c r="Q134" s="149"/>
      <c r="R134" s="148"/>
    </row>
    <row r="135" spans="1:18" x14ac:dyDescent="0.25">
      <c r="A135" s="142" t="s">
        <v>341</v>
      </c>
      <c r="B135" s="157" t="s">
        <v>342</v>
      </c>
      <c r="C135" s="147" t="s">
        <v>1508</v>
      </c>
      <c r="D135" s="148">
        <v>2.01797</v>
      </c>
      <c r="E135" s="148">
        <v>-0.38342999999999994</v>
      </c>
      <c r="F135" s="148"/>
      <c r="G135" s="148"/>
      <c r="H135" s="148"/>
      <c r="I135" s="148"/>
      <c r="J135" s="149"/>
      <c r="K135" s="150">
        <v>1.1873899999999999</v>
      </c>
      <c r="L135" s="148">
        <v>-0.1971</v>
      </c>
      <c r="M135" s="148"/>
      <c r="N135" s="148"/>
      <c r="O135" s="148"/>
      <c r="P135" s="148"/>
      <c r="Q135" s="149"/>
      <c r="R135" s="148"/>
    </row>
    <row r="136" spans="1:18" x14ac:dyDescent="0.25">
      <c r="A136" s="142" t="s">
        <v>341</v>
      </c>
      <c r="B136" s="157" t="s">
        <v>342</v>
      </c>
      <c r="C136" s="147" t="s">
        <v>1510</v>
      </c>
      <c r="D136" s="148">
        <v>1.0436099999999997</v>
      </c>
      <c r="E136" s="148">
        <v>1.2668699999999997</v>
      </c>
      <c r="F136" s="148"/>
      <c r="G136" s="148"/>
      <c r="H136" s="148"/>
      <c r="I136" s="148"/>
      <c r="J136" s="149"/>
      <c r="K136" s="150">
        <v>0.61388920000000002</v>
      </c>
      <c r="L136" s="148">
        <v>1.2139291000000001</v>
      </c>
      <c r="M136" s="148"/>
      <c r="N136" s="148"/>
      <c r="O136" s="148"/>
      <c r="P136" s="148"/>
      <c r="Q136" s="149"/>
      <c r="R136" s="148"/>
    </row>
    <row r="137" spans="1:18" x14ac:dyDescent="0.25">
      <c r="A137" s="142" t="s">
        <v>341</v>
      </c>
      <c r="B137" s="157" t="s">
        <v>342</v>
      </c>
      <c r="C137" s="147" t="s">
        <v>1512</v>
      </c>
      <c r="D137" s="148">
        <v>1.14259</v>
      </c>
      <c r="E137" s="148">
        <v>1.5013000000000003</v>
      </c>
      <c r="F137" s="148"/>
      <c r="G137" s="148"/>
      <c r="H137" s="148"/>
      <c r="I137" s="148"/>
      <c r="J137" s="149"/>
      <c r="K137" s="150">
        <v>0.67219600000000002</v>
      </c>
      <c r="L137" s="148">
        <v>1.3139517999999999</v>
      </c>
      <c r="M137" s="148"/>
      <c r="N137" s="148"/>
      <c r="O137" s="148"/>
      <c r="P137" s="148"/>
      <c r="Q137" s="149"/>
      <c r="R137" s="148"/>
    </row>
    <row r="138" spans="1:18" x14ac:dyDescent="0.25">
      <c r="A138" s="142" t="s">
        <v>341</v>
      </c>
      <c r="B138" s="157" t="s">
        <v>342</v>
      </c>
      <c r="C138" s="147" t="s">
        <v>1514</v>
      </c>
      <c r="D138" s="148">
        <v>1.4268599999999998</v>
      </c>
      <c r="E138" s="148">
        <v>1.8561399999999997</v>
      </c>
      <c r="F138" s="148"/>
      <c r="G138" s="148"/>
      <c r="H138" s="148"/>
      <c r="I138" s="148"/>
      <c r="J138" s="149"/>
      <c r="K138" s="150">
        <v>0.83932759999999995</v>
      </c>
      <c r="L138" s="148">
        <v>1.3861300000000001</v>
      </c>
      <c r="M138" s="148"/>
      <c r="N138" s="148"/>
      <c r="O138" s="148"/>
      <c r="P138" s="148"/>
      <c r="Q138" s="149"/>
      <c r="R138" s="148"/>
    </row>
    <row r="139" spans="1:18" x14ac:dyDescent="0.25">
      <c r="A139" s="142" t="s">
        <v>341</v>
      </c>
      <c r="B139" s="157" t="s">
        <v>342</v>
      </c>
      <c r="C139" s="147" t="s">
        <v>1516</v>
      </c>
      <c r="D139" s="148">
        <v>2.0466600000000001</v>
      </c>
      <c r="E139" s="148">
        <v>-0.65456000000000003</v>
      </c>
      <c r="F139" s="148"/>
      <c r="G139" s="148"/>
      <c r="H139" s="148"/>
      <c r="I139" s="148"/>
      <c r="J139" s="149"/>
      <c r="K139" s="150">
        <v>1.23925</v>
      </c>
      <c r="L139" s="148">
        <v>-0.31981670000000001</v>
      </c>
      <c r="M139" s="148"/>
      <c r="N139" s="148"/>
      <c r="O139" s="148"/>
      <c r="P139" s="148"/>
      <c r="Q139" s="149"/>
      <c r="R139" s="148"/>
    </row>
    <row r="140" spans="1:18" x14ac:dyDescent="0.25">
      <c r="A140" s="142" t="s">
        <v>341</v>
      </c>
      <c r="B140" s="157" t="s">
        <v>342</v>
      </c>
      <c r="C140" s="147" t="s">
        <v>1518</v>
      </c>
      <c r="D140" s="148">
        <v>1.97719</v>
      </c>
      <c r="E140" s="148">
        <v>-2.801E-2</v>
      </c>
      <c r="F140" s="148"/>
      <c r="G140" s="148"/>
      <c r="H140" s="148"/>
      <c r="I140" s="148"/>
      <c r="J140" s="149"/>
      <c r="K140" s="150">
        <v>1.163511</v>
      </c>
      <c r="L140" s="148">
        <v>-0.14166785251387001</v>
      </c>
      <c r="M140" s="148"/>
      <c r="N140" s="148"/>
      <c r="O140" s="148"/>
      <c r="P140" s="148"/>
      <c r="Q140" s="149"/>
      <c r="R140" s="148"/>
    </row>
    <row r="141" spans="1:18" x14ac:dyDescent="0.25">
      <c r="A141" s="142" t="s">
        <v>341</v>
      </c>
      <c r="B141" s="157" t="s">
        <v>342</v>
      </c>
      <c r="C141" s="147" t="s">
        <v>1520</v>
      </c>
      <c r="D141" s="148">
        <v>1.6465499999999995</v>
      </c>
      <c r="E141" s="148">
        <v>0.98314000000000012</v>
      </c>
      <c r="F141" s="148"/>
      <c r="G141" s="148"/>
      <c r="H141" s="148"/>
      <c r="I141" s="148"/>
      <c r="J141" s="149"/>
      <c r="K141" s="150">
        <v>0.96855882352941147</v>
      </c>
      <c r="L141" s="148">
        <v>1.01505450791048</v>
      </c>
      <c r="M141" s="148"/>
      <c r="N141" s="148"/>
      <c r="O141" s="148"/>
      <c r="P141" s="148"/>
      <c r="Q141" s="149"/>
      <c r="R141" s="148"/>
    </row>
    <row r="142" spans="1:18" x14ac:dyDescent="0.25">
      <c r="A142" s="142" t="s">
        <v>341</v>
      </c>
      <c r="B142" s="157" t="s">
        <v>342</v>
      </c>
      <c r="C142" s="147" t="s">
        <v>1522</v>
      </c>
      <c r="D142" s="148">
        <v>1.7420800000000001</v>
      </c>
      <c r="E142" s="148">
        <v>0.98216999999999988</v>
      </c>
      <c r="F142" s="148"/>
      <c r="G142" s="148"/>
      <c r="H142" s="148"/>
      <c r="I142" s="148"/>
      <c r="J142" s="149"/>
      <c r="K142" s="150">
        <v>1.0247529411764706</v>
      </c>
      <c r="L142" s="148">
        <v>0.95844565117560598</v>
      </c>
      <c r="M142" s="148"/>
      <c r="N142" s="148"/>
      <c r="O142" s="148"/>
      <c r="P142" s="148"/>
      <c r="Q142" s="149"/>
      <c r="R142" s="148"/>
    </row>
    <row r="143" spans="1:18" x14ac:dyDescent="0.25">
      <c r="A143" s="142" t="s">
        <v>341</v>
      </c>
      <c r="B143" s="157" t="s">
        <v>343</v>
      </c>
      <c r="C143" s="147" t="s">
        <v>1534</v>
      </c>
      <c r="D143" s="148">
        <v>1.71644</v>
      </c>
      <c r="E143" s="148">
        <v>-0.68225000000000002</v>
      </c>
      <c r="F143" s="148">
        <v>-0.54025000000000001</v>
      </c>
      <c r="G143" s="148">
        <v>6.6699999999999982E-2</v>
      </c>
      <c r="H143" s="148">
        <v>0.47355000000000008</v>
      </c>
      <c r="I143" s="148"/>
      <c r="J143" s="149"/>
      <c r="K143" s="150">
        <v>1.0096700000000001</v>
      </c>
      <c r="L143" s="148">
        <v>-0.39748</v>
      </c>
      <c r="M143" s="148">
        <v>0.31474999999999997</v>
      </c>
      <c r="N143" s="148">
        <v>-3.8859999999999999E-2</v>
      </c>
      <c r="O143" s="148">
        <v>-0.27589000000000002</v>
      </c>
      <c r="P143" s="148"/>
      <c r="Q143" s="149"/>
      <c r="R143" s="148"/>
    </row>
    <row r="144" spans="1:18" x14ac:dyDescent="0.25">
      <c r="A144" s="142" t="s">
        <v>341</v>
      </c>
      <c r="B144" s="157" t="s">
        <v>343</v>
      </c>
      <c r="C144" s="147" t="s">
        <v>1536</v>
      </c>
      <c r="D144" s="148">
        <v>1.7809100000000004</v>
      </c>
      <c r="E144" s="148">
        <v>2.8949999999999993E-2</v>
      </c>
      <c r="F144" s="148">
        <v>-1.1063000000000003</v>
      </c>
      <c r="G144" s="148">
        <v>0.10743999999999999</v>
      </c>
      <c r="H144" s="148">
        <v>0.99886000000000019</v>
      </c>
      <c r="I144" s="148"/>
      <c r="J144" s="149"/>
      <c r="K144" s="150">
        <v>1.0475941176470591</v>
      </c>
      <c r="L144" s="148">
        <v>1.6255734427904827E-2</v>
      </c>
      <c r="M144" s="148">
        <v>0.62119927452819068</v>
      </c>
      <c r="N144" s="148">
        <v>-6.0328708356963558E-2</v>
      </c>
      <c r="O144" s="148">
        <v>-0.56087056617122699</v>
      </c>
      <c r="P144" s="148"/>
      <c r="Q144" s="149"/>
      <c r="R144" s="148"/>
    </row>
    <row r="145" spans="1:18" x14ac:dyDescent="0.25">
      <c r="A145" s="142" t="s">
        <v>341</v>
      </c>
      <c r="B145" s="157" t="s">
        <v>343</v>
      </c>
      <c r="C145" s="147" t="s">
        <v>1538</v>
      </c>
      <c r="D145" s="148">
        <v>1.85727</v>
      </c>
      <c r="E145" s="148">
        <v>0.23691000000000001</v>
      </c>
      <c r="F145" s="148">
        <v>-1.10629966122</v>
      </c>
      <c r="G145" s="148">
        <v>0.10744289595000001</v>
      </c>
      <c r="H145" s="148">
        <v>0.99885676527000011</v>
      </c>
      <c r="I145" s="148"/>
      <c r="J145" s="149"/>
      <c r="K145" s="150">
        <v>1.0925100000000001</v>
      </c>
      <c r="L145" s="148">
        <v>0.12756000000000001</v>
      </c>
      <c r="M145" s="148">
        <v>0.59565999999999997</v>
      </c>
      <c r="N145" s="148">
        <v>-5.7849999999999999E-2</v>
      </c>
      <c r="O145" s="148">
        <v>-0.53781000000000001</v>
      </c>
      <c r="P145" s="148"/>
      <c r="Q145" s="149"/>
      <c r="R145" s="148"/>
    </row>
    <row r="146" spans="1:18" x14ac:dyDescent="0.25">
      <c r="A146" s="142" t="s">
        <v>341</v>
      </c>
      <c r="B146" s="157" t="s">
        <v>343</v>
      </c>
      <c r="C146" s="147" t="s">
        <v>1540</v>
      </c>
      <c r="D146" s="148">
        <v>1.9138900000000001</v>
      </c>
      <c r="E146" s="148">
        <v>0.26380999999999993</v>
      </c>
      <c r="F146" s="148">
        <v>-1.52468451616</v>
      </c>
      <c r="G146" s="148">
        <v>0.44785119600000001</v>
      </c>
      <c r="H146" s="148">
        <v>1.07683332016</v>
      </c>
      <c r="I146" s="148"/>
      <c r="J146" s="149"/>
      <c r="K146" s="150">
        <v>1.12582</v>
      </c>
      <c r="L146" s="148">
        <v>0.13783999999999999</v>
      </c>
      <c r="M146" s="148">
        <v>0.79664000000000001</v>
      </c>
      <c r="N146" s="148">
        <v>-0.23400000000000001</v>
      </c>
      <c r="O146" s="148">
        <v>-0.56264000000000003</v>
      </c>
      <c r="P146" s="148"/>
      <c r="Q146" s="149"/>
      <c r="R146" s="148"/>
    </row>
    <row r="147" spans="1:18" x14ac:dyDescent="0.25">
      <c r="A147" s="142" t="s">
        <v>341</v>
      </c>
      <c r="B147" s="157" t="s">
        <v>343</v>
      </c>
      <c r="C147" s="147" t="s">
        <v>1542</v>
      </c>
      <c r="D147" s="148">
        <v>1.82216</v>
      </c>
      <c r="E147" s="148">
        <v>-5.8659999999999983E-2</v>
      </c>
      <c r="F147" s="148">
        <v>-1.69942116768</v>
      </c>
      <c r="G147" s="148">
        <v>1.2310162039599999</v>
      </c>
      <c r="H147" s="148">
        <v>0.46840496372000001</v>
      </c>
      <c r="I147" s="148"/>
      <c r="J147" s="149"/>
      <c r="K147" s="150">
        <v>1.07186</v>
      </c>
      <c r="L147" s="148">
        <v>-3.2190000000000003E-2</v>
      </c>
      <c r="M147" s="148">
        <v>0.93264000000000002</v>
      </c>
      <c r="N147" s="148">
        <v>-0.67557999999999996</v>
      </c>
      <c r="O147" s="148">
        <v>-0.25706000000000001</v>
      </c>
      <c r="P147" s="148"/>
      <c r="Q147" s="149"/>
      <c r="R147" s="148"/>
    </row>
    <row r="148" spans="1:18" x14ac:dyDescent="0.25">
      <c r="A148" s="142" t="s">
        <v>341</v>
      </c>
      <c r="B148" s="157" t="s">
        <v>343</v>
      </c>
      <c r="C148" s="147" t="s">
        <v>1544</v>
      </c>
      <c r="D148" s="148">
        <v>1.6543600000000005</v>
      </c>
      <c r="E148" s="148">
        <v>0.16974</v>
      </c>
      <c r="F148" s="148">
        <v>-1.5280615392999999</v>
      </c>
      <c r="G148" s="148">
        <v>0.85192665079999985</v>
      </c>
      <c r="H148" s="148">
        <v>0.67613488850000003</v>
      </c>
      <c r="I148" s="148"/>
      <c r="J148" s="149"/>
      <c r="K148" s="150">
        <v>0.97314999999999996</v>
      </c>
      <c r="L148" s="148">
        <v>0.1026</v>
      </c>
      <c r="M148" s="148">
        <v>0.92366000000000004</v>
      </c>
      <c r="N148" s="148">
        <v>-0.51495999999999997</v>
      </c>
      <c r="O148" s="148">
        <v>-0.40870000000000001</v>
      </c>
      <c r="P148" s="148"/>
      <c r="Q148" s="149"/>
      <c r="R148" s="148"/>
    </row>
    <row r="149" spans="1:18" x14ac:dyDescent="0.25">
      <c r="A149" s="142" t="s">
        <v>341</v>
      </c>
      <c r="B149" s="157" t="s">
        <v>343</v>
      </c>
      <c r="C149" s="147" t="s">
        <v>1546</v>
      </c>
      <c r="D149" s="148">
        <v>1.72688</v>
      </c>
      <c r="E149" s="148">
        <v>0.20807000000000003</v>
      </c>
      <c r="F149" s="148">
        <v>-1.5143329788400002</v>
      </c>
      <c r="G149" s="148">
        <v>0.83903772799000009</v>
      </c>
      <c r="H149" s="148">
        <v>0.67529525084999997</v>
      </c>
      <c r="I149" s="148"/>
      <c r="J149" s="149"/>
      <c r="K149" s="150">
        <v>1.0158100000000001</v>
      </c>
      <c r="L149" s="148">
        <v>0.12049</v>
      </c>
      <c r="M149" s="148">
        <v>0.87692000000000003</v>
      </c>
      <c r="N149" s="148">
        <v>-0.48587000000000002</v>
      </c>
      <c r="O149" s="148">
        <v>-0.39105000000000001</v>
      </c>
      <c r="P149" s="148"/>
      <c r="Q149" s="149"/>
      <c r="R149" s="148"/>
    </row>
    <row r="150" spans="1:18" x14ac:dyDescent="0.25">
      <c r="A150" s="142" t="s">
        <v>341</v>
      </c>
      <c r="B150" s="157" t="s">
        <v>343</v>
      </c>
      <c r="C150" s="147" t="s">
        <v>1550</v>
      </c>
      <c r="D150" s="148">
        <v>2.3291800000000005</v>
      </c>
      <c r="E150" s="148">
        <v>0.44346999999999992</v>
      </c>
      <c r="F150" s="148">
        <v>-0.82996999999999999</v>
      </c>
      <c r="G150" s="148">
        <v>-0.29544999999999999</v>
      </c>
      <c r="H150" s="148">
        <v>1.1254200000000001</v>
      </c>
      <c r="I150" s="148"/>
      <c r="J150" s="149"/>
      <c r="K150" s="150">
        <v>1.3701058823529415</v>
      </c>
      <c r="L150" s="148">
        <v>0.1903974789410865</v>
      </c>
      <c r="M150" s="148">
        <v>0.35633570612833693</v>
      </c>
      <c r="N150" s="148">
        <v>0.12684721661700682</v>
      </c>
      <c r="O150" s="148">
        <v>-0.4831829227453438</v>
      </c>
      <c r="P150" s="148"/>
      <c r="Q150" s="149"/>
      <c r="R150" s="148"/>
    </row>
    <row r="151" spans="1:18" x14ac:dyDescent="0.25">
      <c r="A151" s="142" t="s">
        <v>341</v>
      </c>
      <c r="B151" s="157" t="s">
        <v>343</v>
      </c>
      <c r="C151" s="147" t="s">
        <v>1552</v>
      </c>
      <c r="D151" s="148">
        <v>2.3790900000000001</v>
      </c>
      <c r="E151" s="148">
        <v>0.29371000000000008</v>
      </c>
      <c r="F151" s="148">
        <v>-0.82709999999999995</v>
      </c>
      <c r="G151" s="148">
        <v>-0.21612999999999999</v>
      </c>
      <c r="H151" s="148">
        <v>1.0432299999999999</v>
      </c>
      <c r="I151" s="148"/>
      <c r="J151" s="149"/>
      <c r="K151" s="150">
        <v>1.3994647058823531</v>
      </c>
      <c r="L151" s="148">
        <v>0.12345476631821413</v>
      </c>
      <c r="M151" s="148">
        <v>0.34765393490788488</v>
      </c>
      <c r="N151" s="148">
        <v>9.0845659474841217E-2</v>
      </c>
      <c r="O151" s="148">
        <v>-0.43849959438272607</v>
      </c>
      <c r="P151" s="148"/>
      <c r="Q151" s="149"/>
      <c r="R151" s="148"/>
    </row>
    <row r="152" spans="1:18" x14ac:dyDescent="0.25">
      <c r="A152" s="142" t="s">
        <v>341</v>
      </c>
      <c r="B152" s="157" t="s">
        <v>343</v>
      </c>
      <c r="C152" s="147" t="s">
        <v>1554</v>
      </c>
      <c r="D152" s="148">
        <v>2.67557</v>
      </c>
      <c r="E152" s="148">
        <v>-0.17585000000000003</v>
      </c>
      <c r="F152" s="148">
        <v>-1.6822600000000001</v>
      </c>
      <c r="G152" s="148">
        <v>0.53819000000000006</v>
      </c>
      <c r="H152" s="148">
        <v>1.1440699999999999</v>
      </c>
      <c r="I152" s="148"/>
      <c r="J152" s="149"/>
      <c r="K152" s="150">
        <v>1.5738647058823529</v>
      </c>
      <c r="L152" s="148">
        <v>-6.5724312950137739E-2</v>
      </c>
      <c r="M152" s="148">
        <v>0.6287482667244737</v>
      </c>
      <c r="N152" s="148">
        <v>-0.20114966156744171</v>
      </c>
      <c r="O152" s="148">
        <v>-0.42759860515703191</v>
      </c>
      <c r="P152" s="148"/>
      <c r="Q152" s="149"/>
      <c r="R152" s="148"/>
    </row>
    <row r="153" spans="1:18" x14ac:dyDescent="0.25">
      <c r="A153" s="142" t="s">
        <v>341</v>
      </c>
      <c r="B153" s="157" t="s">
        <v>343</v>
      </c>
      <c r="C153" s="147" t="s">
        <v>1548</v>
      </c>
      <c r="D153" s="148">
        <v>1.5270399999999995</v>
      </c>
      <c r="E153" s="148">
        <v>2.5200000000000001E-3</v>
      </c>
      <c r="F153" s="148">
        <v>-1.0785800000000001</v>
      </c>
      <c r="G153" s="148">
        <v>0.53082999999999991</v>
      </c>
      <c r="H153" s="148">
        <v>0.54774999999999996</v>
      </c>
      <c r="I153" s="148"/>
      <c r="J153" s="149"/>
      <c r="K153" s="150">
        <v>0.89825882352941155</v>
      </c>
      <c r="L153" s="148">
        <v>1.6502514668901933E-3</v>
      </c>
      <c r="M153" s="148">
        <v>0.70632072506286703</v>
      </c>
      <c r="N153" s="148">
        <v>-0.34762023260687347</v>
      </c>
      <c r="O153" s="148">
        <v>-0.35870049245599339</v>
      </c>
      <c r="P153" s="148"/>
      <c r="Q153" s="149"/>
      <c r="R153" s="148"/>
    </row>
    <row r="154" spans="1:18" x14ac:dyDescent="0.25">
      <c r="A154" s="142" t="s">
        <v>341</v>
      </c>
      <c r="B154" s="157" t="s">
        <v>344</v>
      </c>
      <c r="C154" s="147" t="s">
        <v>1580</v>
      </c>
      <c r="D154" s="148">
        <v>1.4588000000000001</v>
      </c>
      <c r="E154" s="148">
        <v>-1.5270000000000004E-2</v>
      </c>
      <c r="F154" s="148">
        <v>-0.11371000000000002</v>
      </c>
      <c r="G154" s="148">
        <v>0.11371000000000002</v>
      </c>
      <c r="H154" s="148"/>
      <c r="I154" s="148"/>
      <c r="J154" s="149"/>
      <c r="K154" s="150">
        <v>0.85811999999999999</v>
      </c>
      <c r="L154" s="148">
        <v>-1.047E-2</v>
      </c>
      <c r="M154" s="148">
        <v>7.7950000000000005E-2</v>
      </c>
      <c r="N154" s="148">
        <v>-7.7950000000000005E-2</v>
      </c>
      <c r="O154" s="148"/>
      <c r="P154" s="148"/>
      <c r="Q154" s="149"/>
      <c r="R154" s="148"/>
    </row>
    <row r="155" spans="1:18" x14ac:dyDescent="0.25">
      <c r="A155" s="142" t="s">
        <v>341</v>
      </c>
      <c r="B155" s="157" t="s">
        <v>344</v>
      </c>
      <c r="C155" s="147" t="s">
        <v>1582</v>
      </c>
      <c r="D155" s="148">
        <v>2.0524300000000002</v>
      </c>
      <c r="E155" s="148">
        <v>1.5350000000000001E-2</v>
      </c>
      <c r="F155" s="148">
        <v>-0.89792000000000005</v>
      </c>
      <c r="G155" s="148">
        <v>0.89792000000000005</v>
      </c>
      <c r="H155" s="148"/>
      <c r="I155" s="148"/>
      <c r="J155" s="149"/>
      <c r="K155" s="150">
        <v>1.2073100000000001</v>
      </c>
      <c r="L155" s="148">
        <v>7.4799999999999997E-3</v>
      </c>
      <c r="M155" s="148">
        <v>0.43748999999999999</v>
      </c>
      <c r="N155" s="148">
        <v>-0.43748999999999999</v>
      </c>
      <c r="O155" s="148"/>
      <c r="P155" s="148"/>
      <c r="Q155" s="149"/>
      <c r="R155" s="148"/>
    </row>
    <row r="156" spans="1:18" x14ac:dyDescent="0.25">
      <c r="A156" s="142" t="s">
        <v>341</v>
      </c>
      <c r="B156" s="157" t="s">
        <v>344</v>
      </c>
      <c r="C156" s="147" t="s">
        <v>1584</v>
      </c>
      <c r="D156" s="148">
        <v>1.7755099999999999</v>
      </c>
      <c r="E156" s="148">
        <v>8.771000000000001E-2</v>
      </c>
      <c r="F156" s="148">
        <v>-0.56647999999999998</v>
      </c>
      <c r="G156" s="148">
        <v>0.56647999999999998</v>
      </c>
      <c r="H156" s="148"/>
      <c r="I156" s="148"/>
      <c r="J156" s="149"/>
      <c r="K156" s="150">
        <v>1.0444199999999999</v>
      </c>
      <c r="L156" s="148">
        <v>4.9399999999999999E-2</v>
      </c>
      <c r="M156" s="148">
        <v>0.31905</v>
      </c>
      <c r="N156" s="148">
        <v>-0.31905</v>
      </c>
      <c r="O156" s="148"/>
      <c r="P156" s="148"/>
      <c r="Q156" s="149"/>
      <c r="R156" s="148"/>
    </row>
    <row r="157" spans="1:18" x14ac:dyDescent="0.25">
      <c r="A157" s="142" t="s">
        <v>341</v>
      </c>
      <c r="B157" s="157" t="s">
        <v>344</v>
      </c>
      <c r="C157" s="147" t="s">
        <v>1586</v>
      </c>
      <c r="D157" s="148">
        <v>2.0506399999999996</v>
      </c>
      <c r="E157" s="148">
        <v>-1.507E-2</v>
      </c>
      <c r="F157" s="148">
        <v>-0.87248999999999999</v>
      </c>
      <c r="G157" s="148">
        <v>0.87248999999999999</v>
      </c>
      <c r="H157" s="148"/>
      <c r="I157" s="148"/>
      <c r="J157" s="149"/>
      <c r="K157" s="150">
        <v>1.2062600000000001</v>
      </c>
      <c r="L157" s="148">
        <v>-7.3499999999999998E-3</v>
      </c>
      <c r="M157" s="148">
        <v>0.42547000000000001</v>
      </c>
      <c r="N157" s="148">
        <v>-0.42547000000000001</v>
      </c>
      <c r="O157" s="148"/>
      <c r="P157" s="148"/>
      <c r="Q157" s="149"/>
      <c r="R157" s="148"/>
    </row>
    <row r="158" spans="1:18" x14ac:dyDescent="0.25">
      <c r="A158" s="142" t="s">
        <v>341</v>
      </c>
      <c r="B158" s="157" t="s">
        <v>344</v>
      </c>
      <c r="C158" s="147" t="s">
        <v>1588</v>
      </c>
      <c r="D158" s="148">
        <v>1.51711</v>
      </c>
      <c r="E158" s="148">
        <v>-3.406E-2</v>
      </c>
      <c r="F158" s="148">
        <v>-0.63087999999999989</v>
      </c>
      <c r="G158" s="148">
        <v>0.63087999999999989</v>
      </c>
      <c r="H158" s="148"/>
      <c r="I158" s="148"/>
      <c r="J158" s="149"/>
      <c r="K158" s="150">
        <v>0.89241999999999999</v>
      </c>
      <c r="L158" s="148">
        <v>-2.2450000000000001E-2</v>
      </c>
      <c r="M158" s="148">
        <v>0.41583999999999999</v>
      </c>
      <c r="N158" s="148">
        <v>-0.41583999999999999</v>
      </c>
      <c r="O158" s="148"/>
      <c r="P158" s="148"/>
      <c r="Q158" s="149"/>
      <c r="R158" s="148"/>
    </row>
    <row r="159" spans="1:18" x14ac:dyDescent="0.25">
      <c r="A159" s="142" t="s">
        <v>341</v>
      </c>
      <c r="B159" s="157" t="s">
        <v>436</v>
      </c>
      <c r="C159" s="147" t="s">
        <v>1570</v>
      </c>
      <c r="D159" s="148">
        <v>1.7171000000000001</v>
      </c>
      <c r="E159" s="148">
        <v>-0.64210999999999985</v>
      </c>
      <c r="F159" s="148">
        <v>-2.1909700000000005</v>
      </c>
      <c r="G159" s="148">
        <v>-1.6980900000000001</v>
      </c>
      <c r="H159" s="148">
        <v>3.8890600000000002</v>
      </c>
      <c r="I159" s="148"/>
      <c r="J159" s="149"/>
      <c r="K159" s="150">
        <v>1.01006</v>
      </c>
      <c r="L159" s="148">
        <v>-0.37395</v>
      </c>
      <c r="M159" s="148">
        <v>1.27597</v>
      </c>
      <c r="N159" s="148">
        <v>0.98892999999999998</v>
      </c>
      <c r="O159" s="148">
        <v>-2.2648999999999999</v>
      </c>
      <c r="P159" s="148"/>
      <c r="Q159" s="149"/>
      <c r="R159" s="148"/>
    </row>
    <row r="160" spans="1:18" x14ac:dyDescent="0.25">
      <c r="A160" s="142" t="s">
        <v>341</v>
      </c>
      <c r="B160" s="157" t="s">
        <v>436</v>
      </c>
      <c r="C160" s="147" t="s">
        <v>1572</v>
      </c>
      <c r="D160" s="148">
        <v>1.9064000000000001</v>
      </c>
      <c r="E160" s="148">
        <v>-0.40921000000000002</v>
      </c>
      <c r="F160" s="148">
        <v>-2.7807999999999997</v>
      </c>
      <c r="G160" s="148">
        <v>-1.5009600000000001</v>
      </c>
      <c r="H160" s="148">
        <v>4.2817600000000011</v>
      </c>
      <c r="I160" s="148"/>
      <c r="J160" s="149"/>
      <c r="K160" s="150">
        <v>1.12141</v>
      </c>
      <c r="L160" s="148">
        <v>-0.21465000000000001</v>
      </c>
      <c r="M160" s="148">
        <v>1.4586699999999999</v>
      </c>
      <c r="N160" s="148">
        <v>0.78732999999999997</v>
      </c>
      <c r="O160" s="148">
        <v>-2.2459899999999999</v>
      </c>
      <c r="P160" s="148"/>
      <c r="Q160" s="149"/>
      <c r="R160" s="148"/>
    </row>
    <row r="161" spans="1:18" x14ac:dyDescent="0.25">
      <c r="A161" s="142" t="s">
        <v>341</v>
      </c>
      <c r="B161" s="157" t="s">
        <v>436</v>
      </c>
      <c r="C161" s="147" t="s">
        <v>1574</v>
      </c>
      <c r="D161" s="148">
        <v>1.7118500000000001</v>
      </c>
      <c r="E161" s="148">
        <v>1.1027199999999997</v>
      </c>
      <c r="F161" s="148">
        <v>-3.50773</v>
      </c>
      <c r="G161" s="148">
        <v>-0.52805000000000002</v>
      </c>
      <c r="H161" s="148">
        <v>4.035779999999999</v>
      </c>
      <c r="I161" s="148"/>
      <c r="J161" s="149"/>
      <c r="K161" s="150">
        <v>1.0069699999999999</v>
      </c>
      <c r="L161" s="148">
        <v>0.64417000000000002</v>
      </c>
      <c r="M161" s="148">
        <v>2.0490900000000001</v>
      </c>
      <c r="N161" s="148">
        <v>0.30847000000000002</v>
      </c>
      <c r="O161" s="148">
        <v>-2.3575599999999999</v>
      </c>
      <c r="P161" s="148"/>
      <c r="Q161" s="149"/>
      <c r="R161" s="148"/>
    </row>
    <row r="162" spans="1:18" x14ac:dyDescent="0.25">
      <c r="A162" s="142" t="s">
        <v>341</v>
      </c>
      <c r="B162" s="157" t="s">
        <v>436</v>
      </c>
      <c r="C162" s="147" t="s">
        <v>1576</v>
      </c>
      <c r="D162" s="148">
        <v>2.2828300000000001</v>
      </c>
      <c r="E162" s="148">
        <v>0.84684000000000015</v>
      </c>
      <c r="F162" s="148">
        <v>-4.1697499999999996</v>
      </c>
      <c r="G162" s="148">
        <v>-1.14571</v>
      </c>
      <c r="H162" s="148">
        <v>5.3154599999999999</v>
      </c>
      <c r="I162" s="148"/>
      <c r="J162" s="149"/>
      <c r="K162" s="150">
        <v>1.34284</v>
      </c>
      <c r="L162" s="148">
        <v>0.37096000000000001</v>
      </c>
      <c r="M162" s="148">
        <v>1.82657</v>
      </c>
      <c r="N162" s="148">
        <v>0.50187999999999999</v>
      </c>
      <c r="O162" s="148">
        <v>-2.3284400000000001</v>
      </c>
      <c r="P162" s="148"/>
      <c r="Q162" s="149"/>
      <c r="R162" s="148"/>
    </row>
    <row r="163" spans="1:18" x14ac:dyDescent="0.25">
      <c r="A163" s="142" t="s">
        <v>341</v>
      </c>
      <c r="B163" s="157" t="s">
        <v>436</v>
      </c>
      <c r="C163" s="147" t="s">
        <v>1578</v>
      </c>
      <c r="D163" s="148">
        <v>1.2142299999999997</v>
      </c>
      <c r="E163" s="148">
        <v>-7.2759999999999977E-2</v>
      </c>
      <c r="F163" s="148">
        <v>-2.1747000000000001</v>
      </c>
      <c r="G163" s="148">
        <v>-0.81359999999999988</v>
      </c>
      <c r="H163" s="148">
        <v>2.9883000000000002</v>
      </c>
      <c r="I163" s="148"/>
      <c r="J163" s="149"/>
      <c r="K163" s="150">
        <v>0.71425000000000005</v>
      </c>
      <c r="L163" s="148">
        <v>-5.9920000000000001E-2</v>
      </c>
      <c r="M163" s="148">
        <v>1.7910200000000001</v>
      </c>
      <c r="N163" s="148">
        <v>0.67005999999999999</v>
      </c>
      <c r="O163" s="148">
        <v>-2.4610799999999999</v>
      </c>
      <c r="P163" s="148"/>
      <c r="Q163" s="149"/>
      <c r="R163" s="148"/>
    </row>
    <row r="164" spans="1:18" x14ac:dyDescent="0.25">
      <c r="A164" s="142" t="s">
        <v>341</v>
      </c>
      <c r="B164" s="157" t="s">
        <v>345</v>
      </c>
      <c r="C164" s="147" t="s">
        <v>1626</v>
      </c>
      <c r="D164" s="148">
        <v>1.39392</v>
      </c>
      <c r="E164" s="148">
        <v>-0.34143000000000001</v>
      </c>
      <c r="F164" s="148">
        <v>-2.0663800000000005</v>
      </c>
      <c r="G164" s="148">
        <v>-1.2554000000000001</v>
      </c>
      <c r="H164" s="148">
        <v>3.32178</v>
      </c>
      <c r="I164" s="148"/>
      <c r="J164" s="149"/>
      <c r="K164" s="150">
        <v>0.81995370000000001</v>
      </c>
      <c r="L164" s="148">
        <v>-0.24493960000000001</v>
      </c>
      <c r="M164" s="148">
        <v>1.4824234000000001</v>
      </c>
      <c r="N164" s="148">
        <v>0.96274000000000004</v>
      </c>
      <c r="O164" s="148">
        <v>-2.3835799999999998</v>
      </c>
      <c r="P164" s="148"/>
      <c r="Q164" s="149"/>
      <c r="R164" s="148"/>
    </row>
    <row r="165" spans="1:18" x14ac:dyDescent="0.25">
      <c r="A165" s="142" t="s">
        <v>341</v>
      </c>
      <c r="B165" s="157" t="s">
        <v>345</v>
      </c>
      <c r="C165" s="147" t="s">
        <v>1628</v>
      </c>
      <c r="D165" s="148">
        <v>0.82955999999999996</v>
      </c>
      <c r="E165" s="148">
        <v>-6.6070000000000004E-2</v>
      </c>
      <c r="F165" s="148">
        <v>-2.1766000000000005</v>
      </c>
      <c r="G165" s="148">
        <v>-0.29176999999999997</v>
      </c>
      <c r="H165" s="148">
        <v>2.4683700000000006</v>
      </c>
      <c r="I165" s="148"/>
      <c r="J165" s="149"/>
      <c r="K165" s="150">
        <v>0.48797610000000002</v>
      </c>
      <c r="L165" s="148">
        <v>-0.79648536678509996</v>
      </c>
      <c r="M165" s="148">
        <v>2.6238839999999999</v>
      </c>
      <c r="N165" s="148">
        <v>0.35171629999999998</v>
      </c>
      <c r="O165" s="148">
        <v>-2.9755248000000001</v>
      </c>
      <c r="P165" s="148"/>
      <c r="Q165" s="149"/>
      <c r="R165" s="148"/>
    </row>
    <row r="166" spans="1:18" x14ac:dyDescent="0.25">
      <c r="A166" s="142" t="s">
        <v>341</v>
      </c>
      <c r="B166" s="157" t="s">
        <v>345</v>
      </c>
      <c r="C166" s="147" t="s">
        <v>1634</v>
      </c>
      <c r="D166" s="148">
        <v>1.4803900000000001</v>
      </c>
      <c r="E166" s="148">
        <v>-2.9250000000000009E-2</v>
      </c>
      <c r="F166" s="148">
        <v>-2.2128399999999999</v>
      </c>
      <c r="G166" s="148">
        <v>-1.0072099999999997</v>
      </c>
      <c r="H166" s="148">
        <v>3.2200500000000001</v>
      </c>
      <c r="I166" s="148"/>
      <c r="J166" s="149"/>
      <c r="K166" s="150">
        <v>0.87819400000000003</v>
      </c>
      <c r="L166" s="148">
        <v>-0.19759883718400001</v>
      </c>
      <c r="M166" s="148">
        <v>1.4947686</v>
      </c>
      <c r="N166" s="148">
        <v>0.68368700000000004</v>
      </c>
      <c r="O166" s="148">
        <v>-2.1751372999999998</v>
      </c>
      <c r="P166" s="148"/>
      <c r="Q166" s="149"/>
      <c r="R166" s="148"/>
    </row>
    <row r="167" spans="1:18" x14ac:dyDescent="0.25">
      <c r="A167" s="142" t="s">
        <v>341</v>
      </c>
      <c r="B167" s="157" t="s">
        <v>345</v>
      </c>
      <c r="C167" s="147" t="s">
        <v>1636</v>
      </c>
      <c r="D167" s="148">
        <v>2.1406499999999999</v>
      </c>
      <c r="E167" s="148">
        <v>0.25135999999999997</v>
      </c>
      <c r="F167" s="148">
        <v>-3.75895</v>
      </c>
      <c r="G167" s="148">
        <v>-0.91571000000000002</v>
      </c>
      <c r="H167" s="148">
        <v>4.6746600000000003</v>
      </c>
      <c r="I167" s="148"/>
      <c r="J167" s="149"/>
      <c r="K167" s="150">
        <v>1.2592490000000001</v>
      </c>
      <c r="L167" s="148">
        <v>0.11742180000000001</v>
      </c>
      <c r="M167" s="148">
        <v>1.7559861000000001</v>
      </c>
      <c r="N167" s="148">
        <v>0.42777359999999998</v>
      </c>
      <c r="O167" s="148">
        <v>-2.1837597</v>
      </c>
      <c r="P167" s="148"/>
      <c r="Q167" s="149"/>
      <c r="R167" s="148"/>
    </row>
    <row r="168" spans="1:18" x14ac:dyDescent="0.25">
      <c r="A168" s="142" t="s">
        <v>341</v>
      </c>
      <c r="B168" s="157" t="s">
        <v>345</v>
      </c>
      <c r="C168" s="147" t="s">
        <v>1638</v>
      </c>
      <c r="D168" s="148">
        <v>1.40557</v>
      </c>
      <c r="E168" s="148">
        <v>0.24995000000000003</v>
      </c>
      <c r="F168" s="148">
        <v>-2.5604899999999997</v>
      </c>
      <c r="G168" s="148">
        <v>-0.56276000000000004</v>
      </c>
      <c r="H168" s="148">
        <v>3.123250000000001</v>
      </c>
      <c r="I168" s="148"/>
      <c r="J168" s="149"/>
      <c r="K168" s="150">
        <v>0.82683099999999998</v>
      </c>
      <c r="L168" s="148">
        <v>0.1778255</v>
      </c>
      <c r="M168" s="148">
        <v>1.8216772999999999</v>
      </c>
      <c r="N168" s="148">
        <v>0.43830999999999998</v>
      </c>
      <c r="O168" s="148">
        <v>-2.2226499999999998</v>
      </c>
      <c r="P168" s="148"/>
      <c r="Q168" s="149"/>
      <c r="R168" s="148"/>
    </row>
    <row r="169" spans="1:18" x14ac:dyDescent="0.25">
      <c r="A169" s="142" t="s">
        <v>341</v>
      </c>
      <c r="B169" s="157" t="s">
        <v>345</v>
      </c>
      <c r="C169" s="147" t="s">
        <v>2873</v>
      </c>
      <c r="D169" s="148">
        <v>2.6049199999999995</v>
      </c>
      <c r="E169" s="148">
        <v>-0.23355000000000001</v>
      </c>
      <c r="F169" s="148">
        <v>-3.9834499999999999</v>
      </c>
      <c r="G169" s="148">
        <v>-1.5153899999999996</v>
      </c>
      <c r="H169" s="148">
        <v>5.4988400000000004</v>
      </c>
      <c r="I169" s="148"/>
      <c r="J169" s="149"/>
      <c r="K169" s="150">
        <v>1.532381</v>
      </c>
      <c r="L169" s="148">
        <v>-0.89658695494347795</v>
      </c>
      <c r="M169" s="148">
        <v>1.52921</v>
      </c>
      <c r="N169" s="148">
        <v>0.58173920000000001</v>
      </c>
      <c r="O169" s="148">
        <v>-2.1193930000000001</v>
      </c>
      <c r="P169" s="148"/>
      <c r="Q169" s="149"/>
      <c r="R169" s="148"/>
    </row>
    <row r="170" spans="1:18" x14ac:dyDescent="0.25">
      <c r="A170" s="142" t="s">
        <v>341</v>
      </c>
      <c r="B170" s="157" t="s">
        <v>345</v>
      </c>
      <c r="C170" s="147" t="s">
        <v>1632</v>
      </c>
      <c r="D170" s="148">
        <v>3.0994100000000002</v>
      </c>
      <c r="E170" s="148">
        <v>0.47490999999999994</v>
      </c>
      <c r="F170" s="148">
        <v>-5.0884900000000011</v>
      </c>
      <c r="G170" s="148">
        <v>-1.5002800000000005</v>
      </c>
      <c r="H170" s="148">
        <v>6.5887700000000002</v>
      </c>
      <c r="I170" s="148"/>
      <c r="J170" s="149"/>
      <c r="K170" s="150">
        <v>1.8231823529411766</v>
      </c>
      <c r="L170" s="148">
        <v>0.15322593654921418</v>
      </c>
      <c r="M170" s="148">
        <v>1.6417608512587882</v>
      </c>
      <c r="N170" s="148">
        <v>0.48405341661800161</v>
      </c>
      <c r="O170" s="148">
        <v>-2.1258142678767893</v>
      </c>
      <c r="P170" s="148"/>
      <c r="Q170" s="149"/>
      <c r="R170" s="148"/>
    </row>
    <row r="171" spans="1:18" x14ac:dyDescent="0.25">
      <c r="A171" s="142" t="s">
        <v>341</v>
      </c>
      <c r="B171" s="157" t="s">
        <v>345</v>
      </c>
      <c r="C171" s="147" t="s">
        <v>1630</v>
      </c>
      <c r="D171" s="148">
        <v>2.76946</v>
      </c>
      <c r="E171" s="148">
        <v>0.14702000000000001</v>
      </c>
      <c r="F171" s="148">
        <v>-4.5256299999999996</v>
      </c>
      <c r="G171" s="148">
        <v>-1.47516</v>
      </c>
      <c r="H171" s="148">
        <v>6.0007900000000003</v>
      </c>
      <c r="I171" s="148"/>
      <c r="J171" s="149"/>
      <c r="K171" s="150">
        <v>1.6290941176470588</v>
      </c>
      <c r="L171" s="148">
        <v>5.308616120110058E-2</v>
      </c>
      <c r="M171" s="148">
        <v>1.6341200089548142</v>
      </c>
      <c r="N171" s="148">
        <v>0.53265257487019135</v>
      </c>
      <c r="O171" s="148">
        <v>-2.1667725838250056</v>
      </c>
      <c r="P171" s="148"/>
      <c r="Q171" s="149"/>
      <c r="R171" s="148"/>
    </row>
    <row r="172" spans="1:18" x14ac:dyDescent="0.25">
      <c r="A172" s="142" t="s">
        <v>341</v>
      </c>
      <c r="B172" s="157" t="s">
        <v>346</v>
      </c>
      <c r="C172" s="147" t="s">
        <v>1454</v>
      </c>
      <c r="D172" s="148">
        <v>2.22431</v>
      </c>
      <c r="E172" s="148">
        <v>-0.75492999999999999</v>
      </c>
      <c r="F172" s="148">
        <v>-2.3969700000000005</v>
      </c>
      <c r="G172" s="148">
        <v>1.19265</v>
      </c>
      <c r="H172" s="148">
        <v>1.2043199999999998</v>
      </c>
      <c r="I172" s="148"/>
      <c r="J172" s="149"/>
      <c r="K172" s="150">
        <v>1.3084199999999999</v>
      </c>
      <c r="L172" s="148">
        <v>-0.33939999999999998</v>
      </c>
      <c r="M172" s="148">
        <v>1.07762</v>
      </c>
      <c r="N172" s="148">
        <v>-0.53619000000000006</v>
      </c>
      <c r="O172" s="148">
        <v>-0.54142999999999997</v>
      </c>
      <c r="P172" s="148"/>
      <c r="Q172" s="149"/>
      <c r="R172" s="148"/>
    </row>
    <row r="173" spans="1:18" x14ac:dyDescent="0.25">
      <c r="A173" s="142" t="s">
        <v>341</v>
      </c>
      <c r="B173" s="157" t="s">
        <v>346</v>
      </c>
      <c r="C173" s="147" t="s">
        <v>1456</v>
      </c>
      <c r="D173" s="148">
        <v>2.0923899999999995</v>
      </c>
      <c r="E173" s="148">
        <v>-5.3170000000000002E-2</v>
      </c>
      <c r="F173" s="148">
        <v>-1.7696399999999997</v>
      </c>
      <c r="G173" s="148">
        <v>0.93528000000000011</v>
      </c>
      <c r="H173" s="148">
        <v>0.83436000000000021</v>
      </c>
      <c r="I173" s="148"/>
      <c r="J173" s="149"/>
      <c r="K173" s="150">
        <v>1.23082</v>
      </c>
      <c r="L173" s="148">
        <v>-2.5409999999999999E-2</v>
      </c>
      <c r="M173" s="148">
        <v>0.84575</v>
      </c>
      <c r="N173" s="148">
        <v>-0.44699</v>
      </c>
      <c r="O173" s="148">
        <v>-0.39876</v>
      </c>
      <c r="P173" s="148"/>
      <c r="Q173" s="149"/>
      <c r="R173" s="148"/>
    </row>
    <row r="174" spans="1:18" x14ac:dyDescent="0.25">
      <c r="A174" s="142" t="s">
        <v>341</v>
      </c>
      <c r="B174" s="157" t="s">
        <v>346</v>
      </c>
      <c r="C174" s="147" t="s">
        <v>1458</v>
      </c>
      <c r="D174" s="148">
        <v>1.4227600000000002</v>
      </c>
      <c r="E174" s="148">
        <v>-0.41969000000000001</v>
      </c>
      <c r="F174" s="148">
        <v>-1.48031</v>
      </c>
      <c r="G174" s="148">
        <v>0.73460000000000014</v>
      </c>
      <c r="H174" s="148">
        <v>0.74570999999999998</v>
      </c>
      <c r="I174" s="148"/>
      <c r="J174" s="149"/>
      <c r="K174" s="150">
        <v>0.83692</v>
      </c>
      <c r="L174" s="148">
        <v>-0.29498000000000002</v>
      </c>
      <c r="M174" s="148">
        <v>1.0404500000000001</v>
      </c>
      <c r="N174" s="148">
        <v>-0.51632</v>
      </c>
      <c r="O174" s="148">
        <v>-0.52412000000000003</v>
      </c>
      <c r="P174" s="148"/>
      <c r="Q174" s="149"/>
      <c r="R174" s="148"/>
    </row>
    <row r="175" spans="1:18" x14ac:dyDescent="0.25">
      <c r="A175" s="142" t="s">
        <v>341</v>
      </c>
      <c r="B175" s="157" t="s">
        <v>346</v>
      </c>
      <c r="C175" s="147" t="s">
        <v>1460</v>
      </c>
      <c r="D175" s="148">
        <v>2.5375000000000001</v>
      </c>
      <c r="E175" s="148">
        <v>0.17052</v>
      </c>
      <c r="F175" s="148">
        <v>-1.69746</v>
      </c>
      <c r="G175" s="148">
        <v>0.82448999999999995</v>
      </c>
      <c r="H175" s="148">
        <v>0.87297000000000002</v>
      </c>
      <c r="I175" s="148"/>
      <c r="J175" s="149"/>
      <c r="K175" s="150">
        <v>1.49265</v>
      </c>
      <c r="L175" s="148">
        <v>6.7199999999999996E-2</v>
      </c>
      <c r="M175" s="148">
        <v>0.66895000000000004</v>
      </c>
      <c r="N175" s="148">
        <v>-0.32491999999999999</v>
      </c>
      <c r="O175" s="148">
        <v>-0.34403</v>
      </c>
      <c r="P175" s="148"/>
      <c r="Q175" s="149"/>
      <c r="R175" s="148"/>
    </row>
    <row r="176" spans="1:18" x14ac:dyDescent="0.25">
      <c r="A176" s="142" t="s">
        <v>341</v>
      </c>
      <c r="B176" s="157" t="s">
        <v>346</v>
      </c>
      <c r="C176" s="147" t="s">
        <v>1462</v>
      </c>
      <c r="D176" s="148">
        <v>1.4825699999999999</v>
      </c>
      <c r="E176" s="148">
        <v>1.1910799999999997</v>
      </c>
      <c r="F176" s="148">
        <v>-8.4390000000000007E-2</v>
      </c>
      <c r="G176" s="148">
        <v>0.20852000000000004</v>
      </c>
      <c r="H176" s="148">
        <v>-0.12413</v>
      </c>
      <c r="I176" s="148"/>
      <c r="J176" s="149"/>
      <c r="K176" s="150">
        <v>0.87209999999999999</v>
      </c>
      <c r="L176" s="148">
        <v>0.80339000000000005</v>
      </c>
      <c r="M176" s="148">
        <v>5.6919999999999998E-2</v>
      </c>
      <c r="N176" s="148">
        <v>-0.14065</v>
      </c>
      <c r="O176" s="148">
        <v>8.3720000000000003E-2</v>
      </c>
      <c r="P176" s="148"/>
      <c r="Q176" s="149"/>
      <c r="R176" s="148"/>
    </row>
    <row r="177" spans="1:18" x14ac:dyDescent="0.25">
      <c r="A177" s="142" t="s">
        <v>341</v>
      </c>
      <c r="B177" s="157" t="s">
        <v>346</v>
      </c>
      <c r="C177" s="147" t="s">
        <v>1464</v>
      </c>
      <c r="D177" s="148">
        <v>0.74489000000000016</v>
      </c>
      <c r="E177" s="148">
        <v>-0.57215000000000005</v>
      </c>
      <c r="F177" s="148">
        <v>-0.73050000000000015</v>
      </c>
      <c r="G177" s="148">
        <v>0.58996000000000004</v>
      </c>
      <c r="H177" s="148">
        <v>0.14053999999999997</v>
      </c>
      <c r="I177" s="148"/>
      <c r="J177" s="149"/>
      <c r="K177" s="150">
        <v>0.43817</v>
      </c>
      <c r="L177" s="148">
        <v>-0.7681</v>
      </c>
      <c r="M177" s="148">
        <v>0.98068</v>
      </c>
      <c r="N177" s="148">
        <v>-0.79200999999999999</v>
      </c>
      <c r="O177" s="148">
        <v>-0.18867</v>
      </c>
      <c r="P177" s="148"/>
      <c r="Q177" s="149"/>
      <c r="R177" s="148"/>
    </row>
    <row r="178" spans="1:18" x14ac:dyDescent="0.25">
      <c r="A178" s="142" t="s">
        <v>341</v>
      </c>
      <c r="B178" s="157" t="s">
        <v>346</v>
      </c>
      <c r="C178" s="147" t="s">
        <v>1466</v>
      </c>
      <c r="D178" s="148">
        <v>1.4752099999999999</v>
      </c>
      <c r="E178" s="148">
        <v>7.7600000000000002E-2</v>
      </c>
      <c r="F178" s="148">
        <v>-0.43946000000000002</v>
      </c>
      <c r="G178" s="148">
        <v>0.66066000000000003</v>
      </c>
      <c r="H178" s="148">
        <v>-0.22120000000000001</v>
      </c>
      <c r="I178" s="148"/>
      <c r="J178" s="149"/>
      <c r="K178" s="150">
        <v>0.86777000000000004</v>
      </c>
      <c r="L178" s="148">
        <v>5.2600000000000001E-2</v>
      </c>
      <c r="M178" s="148">
        <v>0.2979</v>
      </c>
      <c r="N178" s="148">
        <v>-0.44784000000000002</v>
      </c>
      <c r="O178" s="148">
        <v>0.14993000000000001</v>
      </c>
      <c r="P178" s="148"/>
      <c r="Q178" s="149"/>
      <c r="R178" s="148"/>
    </row>
    <row r="179" spans="1:18" x14ac:dyDescent="0.25">
      <c r="A179" s="142" t="s">
        <v>341</v>
      </c>
      <c r="B179" s="157" t="s">
        <v>346</v>
      </c>
      <c r="C179" s="147" t="s">
        <v>1468</v>
      </c>
      <c r="D179" s="148">
        <v>1.4049799999999999</v>
      </c>
      <c r="E179" s="148">
        <v>0.16450000000000001</v>
      </c>
      <c r="F179" s="148">
        <v>-0.52034999999999987</v>
      </c>
      <c r="G179" s="148">
        <v>0.74668000000000012</v>
      </c>
      <c r="H179" s="148">
        <v>-0.22633</v>
      </c>
      <c r="I179" s="148"/>
      <c r="J179" s="149"/>
      <c r="K179" s="150">
        <v>0.82645999999999997</v>
      </c>
      <c r="L179" s="148">
        <v>0.11708</v>
      </c>
      <c r="M179" s="148">
        <v>0.37036000000000002</v>
      </c>
      <c r="N179" s="148">
        <v>-0.53144999999999998</v>
      </c>
      <c r="O179" s="148">
        <v>0.16109000000000001</v>
      </c>
      <c r="P179" s="148"/>
      <c r="Q179" s="149"/>
      <c r="R179" s="148"/>
    </row>
    <row r="180" spans="1:18" x14ac:dyDescent="0.25">
      <c r="A180" s="142" t="s">
        <v>341</v>
      </c>
      <c r="B180" s="157" t="s">
        <v>346</v>
      </c>
      <c r="C180" s="147" t="s">
        <v>1470</v>
      </c>
      <c r="D180" s="148">
        <v>1.69764</v>
      </c>
      <c r="E180" s="148">
        <v>0.31844</v>
      </c>
      <c r="F180" s="148">
        <v>-1.1006599999999997</v>
      </c>
      <c r="G180" s="148">
        <v>0.70340000000000014</v>
      </c>
      <c r="H180" s="148">
        <v>0.39725999999999995</v>
      </c>
      <c r="I180" s="148"/>
      <c r="J180" s="149"/>
      <c r="K180" s="150">
        <v>0.99861</v>
      </c>
      <c r="L180" s="148">
        <v>0.18758</v>
      </c>
      <c r="M180" s="148">
        <v>0.64834999999999998</v>
      </c>
      <c r="N180" s="148">
        <v>-0.41433999999999999</v>
      </c>
      <c r="O180" s="148">
        <v>-0.23401</v>
      </c>
      <c r="P180" s="148"/>
      <c r="Q180" s="149"/>
      <c r="R180" s="148"/>
    </row>
    <row r="181" spans="1:18" x14ac:dyDescent="0.25">
      <c r="A181" s="142" t="s">
        <v>341</v>
      </c>
      <c r="B181" s="157" t="s">
        <v>346</v>
      </c>
      <c r="C181" s="147" t="s">
        <v>1472</v>
      </c>
      <c r="D181" s="148">
        <v>1.91774</v>
      </c>
      <c r="E181" s="148">
        <v>-0.1222</v>
      </c>
      <c r="F181" s="148">
        <v>-1.2731800000000002</v>
      </c>
      <c r="G181" s="148">
        <v>0.79596</v>
      </c>
      <c r="H181" s="148">
        <v>0.47721999999999992</v>
      </c>
      <c r="I181" s="148"/>
      <c r="J181" s="149"/>
      <c r="K181" s="150">
        <v>1.12808</v>
      </c>
      <c r="L181" s="148">
        <v>-6.3719999999999999E-2</v>
      </c>
      <c r="M181" s="148">
        <v>0.66390000000000005</v>
      </c>
      <c r="N181" s="148">
        <v>-0.41504999999999997</v>
      </c>
      <c r="O181" s="148">
        <v>-0.24884999999999999</v>
      </c>
      <c r="P181" s="148"/>
      <c r="Q181" s="149"/>
      <c r="R181" s="148"/>
    </row>
    <row r="182" spans="1:18" x14ac:dyDescent="0.25">
      <c r="A182" s="142" t="s">
        <v>341</v>
      </c>
      <c r="B182" s="157" t="s">
        <v>346</v>
      </c>
      <c r="C182" s="147" t="s">
        <v>1474</v>
      </c>
      <c r="D182" s="148">
        <v>1.0145900000000001</v>
      </c>
      <c r="E182" s="148">
        <v>-0.42316999999999999</v>
      </c>
      <c r="F182" s="148">
        <v>-1.1633400000000003</v>
      </c>
      <c r="G182" s="148">
        <v>0.74356999999999984</v>
      </c>
      <c r="H182" s="148">
        <v>0.41977000000000009</v>
      </c>
      <c r="I182" s="148"/>
      <c r="J182" s="149"/>
      <c r="K182" s="150">
        <v>0.59681764705882356</v>
      </c>
      <c r="L182" s="148">
        <v>-0.41708473373480909</v>
      </c>
      <c r="M182" s="148">
        <v>1.146610946293577</v>
      </c>
      <c r="N182" s="148">
        <v>-0.73287731990262051</v>
      </c>
      <c r="O182" s="148">
        <v>-0.41373362639095601</v>
      </c>
      <c r="P182" s="148"/>
      <c r="Q182" s="149"/>
      <c r="R182" s="148"/>
    </row>
    <row r="183" spans="1:18" x14ac:dyDescent="0.25">
      <c r="A183" s="142" t="s">
        <v>341</v>
      </c>
      <c r="B183" s="157" t="s">
        <v>346</v>
      </c>
      <c r="C183" s="147" t="s">
        <v>1476</v>
      </c>
      <c r="D183" s="148">
        <v>0.92600000000000005</v>
      </c>
      <c r="E183" s="148">
        <v>-2.9790000000000001E-2</v>
      </c>
      <c r="F183" s="148">
        <v>-1.1109</v>
      </c>
      <c r="G183" s="148">
        <v>0.74116000000000004</v>
      </c>
      <c r="H183" s="148">
        <v>0.36974000000000001</v>
      </c>
      <c r="I183" s="148"/>
      <c r="J183" s="149"/>
      <c r="K183" s="150">
        <v>0.54470588235294126</v>
      </c>
      <c r="L183" s="148">
        <v>-3.2170626349892005E-2</v>
      </c>
      <c r="M183" s="148">
        <v>1.1996760259179264</v>
      </c>
      <c r="N183" s="148">
        <v>-0.80038876889848809</v>
      </c>
      <c r="O183" s="148">
        <v>-0.39928725701943846</v>
      </c>
      <c r="P183" s="148"/>
      <c r="Q183" s="149"/>
      <c r="R183" s="148"/>
    </row>
    <row r="184" spans="1:18" x14ac:dyDescent="0.25">
      <c r="A184" s="152" t="s">
        <v>341</v>
      </c>
      <c r="B184" s="159" t="s">
        <v>346</v>
      </c>
      <c r="C184" s="153" t="s">
        <v>1478</v>
      </c>
      <c r="D184" s="154">
        <v>1.35548</v>
      </c>
      <c r="E184" s="154">
        <v>0.13078000000000001</v>
      </c>
      <c r="F184" s="154">
        <v>-1.63446</v>
      </c>
      <c r="G184" s="154">
        <v>1.0229900000000001</v>
      </c>
      <c r="H184" s="154">
        <v>0.61146999999999985</v>
      </c>
      <c r="I184" s="154"/>
      <c r="J184" s="155"/>
      <c r="K184" s="156">
        <v>0.79734117647058822</v>
      </c>
      <c r="L184" s="154">
        <v>9.6482426889367603E-2</v>
      </c>
      <c r="M184" s="154">
        <v>1.205816389765987</v>
      </c>
      <c r="N184" s="154">
        <v>-0.75470681972437814</v>
      </c>
      <c r="O184" s="154">
        <v>-0.45110957004160873</v>
      </c>
      <c r="P184" s="154"/>
      <c r="Q184" s="155"/>
      <c r="R184" s="148"/>
    </row>
    <row r="185" spans="1:18" x14ac:dyDescent="0.25">
      <c r="A185" s="142" t="s">
        <v>347</v>
      </c>
      <c r="B185" s="157" t="s">
        <v>348</v>
      </c>
      <c r="C185" s="147" t="s">
        <v>1878</v>
      </c>
      <c r="D185" s="148">
        <v>1.4939199999999999</v>
      </c>
      <c r="E185" s="148">
        <v>0.3999299999999999</v>
      </c>
      <c r="F185" s="148"/>
      <c r="G185" s="148"/>
      <c r="H185" s="148"/>
      <c r="I185" s="148"/>
      <c r="J185" s="149"/>
      <c r="K185" s="150">
        <v>0.87877380000000005</v>
      </c>
      <c r="L185" s="148">
        <v>0.26770769999999999</v>
      </c>
      <c r="M185" s="148" t="s">
        <v>3490</v>
      </c>
      <c r="N185" s="148" t="s">
        <v>3490</v>
      </c>
      <c r="O185" s="148" t="s">
        <v>3490</v>
      </c>
      <c r="P185" s="148"/>
      <c r="Q185" s="149"/>
      <c r="R185" s="148"/>
    </row>
    <row r="186" spans="1:18" x14ac:dyDescent="0.25">
      <c r="A186" s="142" t="s">
        <v>347</v>
      </c>
      <c r="B186" s="157" t="s">
        <v>348</v>
      </c>
      <c r="C186" s="147" t="s">
        <v>1880</v>
      </c>
      <c r="D186" s="148">
        <v>1.2752399999999999</v>
      </c>
      <c r="E186" s="148">
        <v>0.47924</v>
      </c>
      <c r="F186" s="148"/>
      <c r="G186" s="148"/>
      <c r="H186" s="148"/>
      <c r="I186" s="148"/>
      <c r="J186" s="149"/>
      <c r="K186" s="150">
        <v>0.75013969999999996</v>
      </c>
      <c r="L186" s="148">
        <v>0.3758029</v>
      </c>
      <c r="M186" s="148" t="s">
        <v>3490</v>
      </c>
      <c r="N186" s="148" t="s">
        <v>3490</v>
      </c>
      <c r="O186" s="148" t="s">
        <v>3490</v>
      </c>
      <c r="P186" s="148"/>
      <c r="Q186" s="149"/>
      <c r="R186" s="148"/>
    </row>
    <row r="187" spans="1:18" x14ac:dyDescent="0.25">
      <c r="A187" s="142" t="s">
        <v>347</v>
      </c>
      <c r="B187" s="157" t="s">
        <v>348</v>
      </c>
      <c r="C187" s="147" t="s">
        <v>1882</v>
      </c>
      <c r="D187" s="148">
        <v>1.2428999999999999</v>
      </c>
      <c r="E187" s="148">
        <v>0.59860000000000002</v>
      </c>
      <c r="F187" s="148"/>
      <c r="G187" s="148"/>
      <c r="H187" s="148"/>
      <c r="I187" s="148"/>
      <c r="J187" s="149"/>
      <c r="K187" s="150">
        <v>0.73111610000000005</v>
      </c>
      <c r="L187" s="148">
        <v>0.48161359999999998</v>
      </c>
      <c r="M187" s="148" t="s">
        <v>3490</v>
      </c>
      <c r="N187" s="148" t="s">
        <v>3490</v>
      </c>
      <c r="O187" s="148" t="s">
        <v>3490</v>
      </c>
      <c r="P187" s="148"/>
      <c r="Q187" s="149"/>
      <c r="R187" s="148"/>
    </row>
    <row r="188" spans="1:18" x14ac:dyDescent="0.25">
      <c r="A188" s="142" t="s">
        <v>347</v>
      </c>
      <c r="B188" s="157" t="s">
        <v>348</v>
      </c>
      <c r="C188" s="147" t="s">
        <v>1884</v>
      </c>
      <c r="D188" s="148">
        <v>1.2838000000000001</v>
      </c>
      <c r="E188" s="148">
        <v>-1.3853800000000001</v>
      </c>
      <c r="F188" s="148"/>
      <c r="G188" s="148"/>
      <c r="H188" s="148"/>
      <c r="I188" s="148"/>
      <c r="J188" s="149"/>
      <c r="K188" s="150">
        <v>0.75517380000000001</v>
      </c>
      <c r="L188" s="148">
        <v>-1.0791299999999999</v>
      </c>
      <c r="M188" s="148" t="s">
        <v>3490</v>
      </c>
      <c r="N188" s="148" t="s">
        <v>3490</v>
      </c>
      <c r="O188" s="148" t="s">
        <v>3490</v>
      </c>
      <c r="P188" s="148"/>
      <c r="Q188" s="149"/>
      <c r="R188" s="148"/>
    </row>
    <row r="189" spans="1:18" x14ac:dyDescent="0.25">
      <c r="A189" s="142" t="s">
        <v>347</v>
      </c>
      <c r="B189" s="157" t="s">
        <v>348</v>
      </c>
      <c r="C189" s="147" t="s">
        <v>1886</v>
      </c>
      <c r="D189" s="148">
        <v>2.2040700000000002</v>
      </c>
      <c r="E189" s="148">
        <v>1.3856100000000002</v>
      </c>
      <c r="F189" s="148"/>
      <c r="G189" s="148"/>
      <c r="H189" s="148"/>
      <c r="I189" s="148"/>
      <c r="J189" s="149"/>
      <c r="K189" s="150">
        <v>1.2965106</v>
      </c>
      <c r="L189" s="148">
        <v>0.62865930000000003</v>
      </c>
      <c r="M189" s="148" t="s">
        <v>3490</v>
      </c>
      <c r="N189" s="148" t="s">
        <v>3490</v>
      </c>
      <c r="O189" s="148" t="s">
        <v>3490</v>
      </c>
      <c r="P189" s="148"/>
      <c r="Q189" s="149"/>
      <c r="R189" s="148"/>
    </row>
    <row r="190" spans="1:18" x14ac:dyDescent="0.25">
      <c r="A190" s="142" t="s">
        <v>347</v>
      </c>
      <c r="B190" s="157" t="s">
        <v>348</v>
      </c>
      <c r="C190" s="147" t="s">
        <v>1888</v>
      </c>
      <c r="D190" s="148">
        <v>1.9020999999999999</v>
      </c>
      <c r="E190" s="148">
        <v>-0.85363</v>
      </c>
      <c r="F190" s="148"/>
      <c r="G190" s="148"/>
      <c r="H190" s="148"/>
      <c r="I190" s="148"/>
      <c r="J190" s="149"/>
      <c r="K190" s="150">
        <v>1.1188849000000001</v>
      </c>
      <c r="L190" s="148">
        <v>-0.44878129999999999</v>
      </c>
      <c r="M190" s="148" t="s">
        <v>3490</v>
      </c>
      <c r="N190" s="148" t="s">
        <v>3490</v>
      </c>
      <c r="O190" s="148" t="s">
        <v>3490</v>
      </c>
      <c r="P190" s="148"/>
      <c r="Q190" s="149"/>
      <c r="R190" s="148"/>
    </row>
    <row r="191" spans="1:18" x14ac:dyDescent="0.25">
      <c r="A191" s="142" t="s">
        <v>347</v>
      </c>
      <c r="B191" s="157" t="s">
        <v>348</v>
      </c>
      <c r="C191" s="147" t="s">
        <v>1890</v>
      </c>
      <c r="D191" s="148">
        <v>1.3310500000000003</v>
      </c>
      <c r="E191" s="148">
        <v>1.36538</v>
      </c>
      <c r="F191" s="148"/>
      <c r="G191" s="148"/>
      <c r="H191" s="148"/>
      <c r="I191" s="148"/>
      <c r="J191" s="149"/>
      <c r="K191" s="150">
        <v>0.78297229999999995</v>
      </c>
      <c r="L191" s="148">
        <v>1.0257894999999999</v>
      </c>
      <c r="M191" s="148" t="s">
        <v>3490</v>
      </c>
      <c r="N191" s="148" t="s">
        <v>3490</v>
      </c>
      <c r="O191" s="148" t="s">
        <v>3490</v>
      </c>
      <c r="P191" s="148"/>
      <c r="Q191" s="149"/>
      <c r="R191" s="148"/>
    </row>
    <row r="192" spans="1:18" x14ac:dyDescent="0.25">
      <c r="A192" s="142" t="s">
        <v>347</v>
      </c>
      <c r="B192" s="157" t="s">
        <v>348</v>
      </c>
      <c r="C192" s="147" t="s">
        <v>1892</v>
      </c>
      <c r="D192" s="148">
        <v>2.2299099999999998</v>
      </c>
      <c r="E192" s="148">
        <v>0.73843000000000014</v>
      </c>
      <c r="F192" s="148"/>
      <c r="G192" s="148"/>
      <c r="H192" s="148"/>
      <c r="I192" s="148"/>
      <c r="J192" s="149"/>
      <c r="K192" s="150">
        <v>1.3117133000000001</v>
      </c>
      <c r="L192" s="148">
        <v>0.33114830000000001</v>
      </c>
      <c r="M192" s="148" t="s">
        <v>3490</v>
      </c>
      <c r="N192" s="148" t="s">
        <v>3490</v>
      </c>
      <c r="O192" s="148" t="s">
        <v>3490</v>
      </c>
      <c r="P192" s="148"/>
      <c r="Q192" s="149"/>
      <c r="R192" s="148"/>
    </row>
    <row r="193" spans="1:18" x14ac:dyDescent="0.25">
      <c r="A193" s="142" t="s">
        <v>347</v>
      </c>
      <c r="B193" s="157" t="s">
        <v>348</v>
      </c>
      <c r="C193" s="147" t="s">
        <v>1894</v>
      </c>
      <c r="D193" s="148">
        <v>1.88191</v>
      </c>
      <c r="E193" s="148">
        <v>-0.39632000000000001</v>
      </c>
      <c r="F193" s="148"/>
      <c r="G193" s="148"/>
      <c r="H193" s="148"/>
      <c r="I193" s="148"/>
      <c r="J193" s="149"/>
      <c r="K193" s="150">
        <v>1.1070031</v>
      </c>
      <c r="L193" s="148">
        <v>-0.21059439999999999</v>
      </c>
      <c r="M193" s="148" t="s">
        <v>3490</v>
      </c>
      <c r="N193" s="148" t="s">
        <v>3490</v>
      </c>
      <c r="O193" s="148" t="s">
        <v>3490</v>
      </c>
      <c r="P193" s="148"/>
      <c r="Q193" s="149"/>
      <c r="R193" s="148"/>
    </row>
    <row r="194" spans="1:18" x14ac:dyDescent="0.25">
      <c r="A194" s="142" t="s">
        <v>347</v>
      </c>
      <c r="B194" s="157" t="s">
        <v>348</v>
      </c>
      <c r="C194" s="147" t="s">
        <v>1896</v>
      </c>
      <c r="D194" s="148">
        <v>2.1551100000000005</v>
      </c>
      <c r="E194" s="148">
        <v>-2.3318599999999998</v>
      </c>
      <c r="F194" s="148"/>
      <c r="G194" s="148"/>
      <c r="H194" s="148"/>
      <c r="I194" s="148"/>
      <c r="J194" s="149"/>
      <c r="K194" s="150">
        <v>1.2677122999999999</v>
      </c>
      <c r="L194" s="148">
        <v>-1.0820124</v>
      </c>
      <c r="M194" s="148" t="s">
        <v>3490</v>
      </c>
      <c r="N194" s="148" t="s">
        <v>3490</v>
      </c>
      <c r="O194" s="148" t="s">
        <v>3490</v>
      </c>
      <c r="P194" s="148"/>
      <c r="Q194" s="149"/>
      <c r="R194" s="148"/>
    </row>
    <row r="195" spans="1:18" x14ac:dyDescent="0.25">
      <c r="A195" s="142" t="s">
        <v>347</v>
      </c>
      <c r="B195" s="157" t="s">
        <v>348</v>
      </c>
      <c r="C195" s="147" t="s">
        <v>1898</v>
      </c>
      <c r="D195" s="148">
        <v>1.6013900000000001</v>
      </c>
      <c r="E195" s="148">
        <v>-0.47045999999999993</v>
      </c>
      <c r="F195" s="148"/>
      <c r="G195" s="148"/>
      <c r="H195" s="148"/>
      <c r="I195" s="148"/>
      <c r="J195" s="149"/>
      <c r="K195" s="150">
        <v>0.94199411764705887</v>
      </c>
      <c r="L195" s="148">
        <v>-0.29378227664716272</v>
      </c>
      <c r="M195" s="148"/>
      <c r="N195" s="148"/>
      <c r="O195" s="148"/>
      <c r="P195" s="148"/>
      <c r="Q195" s="149"/>
      <c r="R195" s="148"/>
    </row>
    <row r="196" spans="1:18" x14ac:dyDescent="0.25">
      <c r="A196" s="142" t="s">
        <v>347</v>
      </c>
      <c r="B196" s="157" t="s">
        <v>349</v>
      </c>
      <c r="C196" s="147" t="s">
        <v>1920</v>
      </c>
      <c r="D196" s="148">
        <v>3.9702899999999999</v>
      </c>
      <c r="E196" s="148">
        <v>-1.62039</v>
      </c>
      <c r="F196" s="148">
        <v>-2.3205499999999999</v>
      </c>
      <c r="G196" s="148">
        <v>-1.09179</v>
      </c>
      <c r="H196" s="148">
        <v>3.412339999999999</v>
      </c>
      <c r="I196" s="148"/>
      <c r="J196" s="149"/>
      <c r="K196" s="150">
        <v>2.335464705882353</v>
      </c>
      <c r="L196" s="148">
        <v>-0.40812887723566793</v>
      </c>
      <c r="M196" s="148">
        <v>0.58447871566056886</v>
      </c>
      <c r="N196" s="148">
        <v>0.27498998813688674</v>
      </c>
      <c r="O196" s="148">
        <v>-0.85946870379745544</v>
      </c>
      <c r="P196" s="148"/>
      <c r="Q196" s="149"/>
      <c r="R196" s="148"/>
    </row>
    <row r="197" spans="1:18" x14ac:dyDescent="0.25">
      <c r="A197" s="142" t="s">
        <v>347</v>
      </c>
      <c r="B197" s="157" t="s">
        <v>349</v>
      </c>
      <c r="C197" s="147" t="s">
        <v>1922</v>
      </c>
      <c r="D197" s="148">
        <v>3.3462200000000006</v>
      </c>
      <c r="E197" s="148">
        <v>-1.3737299999999999</v>
      </c>
      <c r="F197" s="148">
        <v>-3.081700000000001</v>
      </c>
      <c r="G197" s="148">
        <v>-0.18325</v>
      </c>
      <c r="H197" s="148">
        <v>3.2649499999999998</v>
      </c>
      <c r="I197" s="148"/>
      <c r="J197" s="149"/>
      <c r="K197" s="150">
        <v>1.9683647058823535</v>
      </c>
      <c r="L197" s="148">
        <v>-0.41053188373747085</v>
      </c>
      <c r="M197" s="148">
        <v>0.92094960881233168</v>
      </c>
      <c r="N197" s="148">
        <v>5.4763285139650099E-2</v>
      </c>
      <c r="O197" s="148">
        <v>-0.97571289395198135</v>
      </c>
      <c r="P197" s="148"/>
      <c r="Q197" s="149"/>
      <c r="R197" s="148"/>
    </row>
    <row r="198" spans="1:18" x14ac:dyDescent="0.25">
      <c r="A198" s="142" t="s">
        <v>347</v>
      </c>
      <c r="B198" s="157" t="s">
        <v>349</v>
      </c>
      <c r="C198" s="147" t="s">
        <v>1924</v>
      </c>
      <c r="D198" s="148">
        <v>5</v>
      </c>
      <c r="E198" s="148">
        <v>-1.6768799999999999</v>
      </c>
      <c r="F198" s="148">
        <v>-4.432529999999999</v>
      </c>
      <c r="G198" s="148">
        <v>-0.87022999999999995</v>
      </c>
      <c r="H198" s="148">
        <v>5.3027599999999993</v>
      </c>
      <c r="I198" s="148"/>
      <c r="J198" s="149"/>
      <c r="K198" s="150">
        <v>2.9411764705882355</v>
      </c>
      <c r="L198" s="148">
        <v>-0.33537600000000001</v>
      </c>
      <c r="M198" s="148">
        <v>0.88650599999999979</v>
      </c>
      <c r="N198" s="148">
        <v>0.17404599999999998</v>
      </c>
      <c r="O198" s="148">
        <v>-1.0605519999999999</v>
      </c>
      <c r="P198" s="148"/>
      <c r="Q198" s="149"/>
      <c r="R198" s="148"/>
    </row>
    <row r="199" spans="1:18" x14ac:dyDescent="0.25">
      <c r="A199" s="142" t="s">
        <v>347</v>
      </c>
      <c r="B199" s="157" t="s">
        <v>349</v>
      </c>
      <c r="C199" s="147" t="s">
        <v>1926</v>
      </c>
      <c r="D199" s="148">
        <v>3.59144</v>
      </c>
      <c r="E199" s="148">
        <v>-1.0656199999999998</v>
      </c>
      <c r="F199" s="148">
        <v>-2.5033999999999996</v>
      </c>
      <c r="G199" s="148">
        <v>-0.84469000000000016</v>
      </c>
      <c r="H199" s="148">
        <v>3.3480899999999991</v>
      </c>
      <c r="I199" s="148"/>
      <c r="J199" s="149"/>
      <c r="K199" s="150">
        <v>2.1126117647058824</v>
      </c>
      <c r="L199" s="148">
        <v>-0.29671106854075241</v>
      </c>
      <c r="M199" s="148">
        <v>0.6970463101151626</v>
      </c>
      <c r="N199" s="148">
        <v>0.2351953533958524</v>
      </c>
      <c r="O199" s="148">
        <v>-0.9322416635110149</v>
      </c>
      <c r="P199" s="148"/>
      <c r="Q199" s="149"/>
      <c r="R199" s="148"/>
    </row>
    <row r="200" spans="1:18" x14ac:dyDescent="0.25">
      <c r="A200" s="142" t="s">
        <v>347</v>
      </c>
      <c r="B200" s="157" t="s">
        <v>349</v>
      </c>
      <c r="C200" s="147" t="s">
        <v>1928</v>
      </c>
      <c r="D200" s="148">
        <v>1.99082</v>
      </c>
      <c r="E200" s="148">
        <v>-0.65276999999999985</v>
      </c>
      <c r="F200" s="148">
        <v>-1.4125399999999999</v>
      </c>
      <c r="G200" s="148">
        <v>-0.24812999999999999</v>
      </c>
      <c r="H200" s="148">
        <v>1.6606700000000001</v>
      </c>
      <c r="I200" s="148"/>
      <c r="J200" s="149"/>
      <c r="K200" s="150">
        <v>1.1710705882352941</v>
      </c>
      <c r="L200" s="148">
        <v>-0.32789001516962851</v>
      </c>
      <c r="M200" s="148">
        <v>0.70952672768005143</v>
      </c>
      <c r="N200" s="148">
        <v>0.12463708421655398</v>
      </c>
      <c r="O200" s="148">
        <v>-0.83416381189660549</v>
      </c>
      <c r="P200" s="148"/>
      <c r="Q200" s="149"/>
      <c r="R200" s="148"/>
    </row>
    <row r="201" spans="1:18" x14ac:dyDescent="0.25">
      <c r="A201" s="142" t="s">
        <v>347</v>
      </c>
      <c r="B201" s="157" t="s">
        <v>349</v>
      </c>
      <c r="C201" s="147" t="s">
        <v>1930</v>
      </c>
      <c r="D201" s="148">
        <v>1.8405</v>
      </c>
      <c r="E201" s="148">
        <v>-1.5704399999999996</v>
      </c>
      <c r="F201" s="148">
        <v>-2.3205490183333319</v>
      </c>
      <c r="G201" s="148">
        <v>-1.0917884921333334</v>
      </c>
      <c r="H201" s="148">
        <v>3.4123375104666671</v>
      </c>
      <c r="I201" s="148"/>
      <c r="J201" s="149"/>
      <c r="K201" s="150">
        <v>1.0826448</v>
      </c>
      <c r="L201" s="148">
        <v>-0.85326769999999996</v>
      </c>
      <c r="M201" s="148">
        <v>1.2608280000000001</v>
      </c>
      <c r="N201" s="148">
        <v>0.59320329999999999</v>
      </c>
      <c r="O201" s="148">
        <v>-1.8540312999999999</v>
      </c>
      <c r="P201" s="148"/>
      <c r="Q201" s="149"/>
      <c r="R201" s="148"/>
    </row>
    <row r="202" spans="1:18" x14ac:dyDescent="0.25">
      <c r="A202" s="142" t="s">
        <v>347</v>
      </c>
      <c r="B202" s="157" t="s">
        <v>349</v>
      </c>
      <c r="C202" s="147" t="s">
        <v>1932</v>
      </c>
      <c r="D202" s="148">
        <v>1.99986</v>
      </c>
      <c r="E202" s="148">
        <v>-0.36403999999999997</v>
      </c>
      <c r="F202" s="148">
        <v>-3.0816976774666736</v>
      </c>
      <c r="G202" s="148">
        <v>-0.18325207886666653</v>
      </c>
      <c r="H202" s="148">
        <v>3.264949756333333</v>
      </c>
      <c r="I202" s="148"/>
      <c r="J202" s="149"/>
      <c r="K202" s="150">
        <v>1.1763866999999999</v>
      </c>
      <c r="L202" s="148">
        <v>-0.18203530000000001</v>
      </c>
      <c r="M202" s="148">
        <v>1.5409587</v>
      </c>
      <c r="N202" s="148">
        <v>9.1632570396343399E-2</v>
      </c>
      <c r="O202" s="148">
        <v>-1.6325912</v>
      </c>
      <c r="P202" s="148"/>
      <c r="Q202" s="149"/>
      <c r="R202" s="148"/>
    </row>
    <row r="203" spans="1:18" x14ac:dyDescent="0.25">
      <c r="A203" s="142" t="s">
        <v>347</v>
      </c>
      <c r="B203" s="157" t="s">
        <v>349</v>
      </c>
      <c r="C203" s="147" t="s">
        <v>1934</v>
      </c>
      <c r="D203" s="148">
        <v>3.8128899999999999</v>
      </c>
      <c r="E203" s="148">
        <v>-1.49454</v>
      </c>
      <c r="F203" s="148">
        <v>-4.4325315222666655</v>
      </c>
      <c r="G203" s="148">
        <v>-0.87023357806666635</v>
      </c>
      <c r="H203" s="148">
        <v>5.3027651003333167</v>
      </c>
      <c r="I203" s="148"/>
      <c r="J203" s="149"/>
      <c r="K203" s="150">
        <v>2.2428773999999998</v>
      </c>
      <c r="L203" s="148">
        <v>-0.39196920000000002</v>
      </c>
      <c r="M203" s="148">
        <v>1.1625118000000001</v>
      </c>
      <c r="N203" s="148">
        <v>0.22823450000000001</v>
      </c>
      <c r="O203" s="148">
        <v>-1.3907464</v>
      </c>
      <c r="P203" s="148"/>
      <c r="Q203" s="149"/>
      <c r="R203" s="148"/>
    </row>
    <row r="204" spans="1:18" x14ac:dyDescent="0.25">
      <c r="A204" s="142" t="s">
        <v>347</v>
      </c>
      <c r="B204" s="157" t="s">
        <v>349</v>
      </c>
      <c r="C204" s="147" t="s">
        <v>1936</v>
      </c>
      <c r="D204" s="148">
        <v>2.2971400000000002</v>
      </c>
      <c r="E204" s="148">
        <v>-1.1341599999999998</v>
      </c>
      <c r="F204" s="148">
        <v>-2.5033981535333361</v>
      </c>
      <c r="G204" s="148">
        <v>-0.84468499643333339</v>
      </c>
      <c r="H204" s="148">
        <v>3.3480831499666559</v>
      </c>
      <c r="I204" s="148"/>
      <c r="J204" s="149"/>
      <c r="K204" s="150">
        <v>1.3512599000000001</v>
      </c>
      <c r="L204" s="148">
        <v>-0.49372509999999997</v>
      </c>
      <c r="M204" s="148">
        <v>1.0897882000000001</v>
      </c>
      <c r="N204" s="148">
        <v>0.36771130000000002</v>
      </c>
      <c r="O204" s="148">
        <v>-1.4574994999999999</v>
      </c>
      <c r="P204" s="148"/>
      <c r="Q204" s="149"/>
      <c r="R204" s="148"/>
    </row>
    <row r="205" spans="1:18" x14ac:dyDescent="0.25">
      <c r="A205" s="142" t="s">
        <v>347</v>
      </c>
      <c r="B205" s="157" t="s">
        <v>349</v>
      </c>
      <c r="C205" s="147" t="s">
        <v>1938</v>
      </c>
      <c r="D205" s="148">
        <v>0.95399</v>
      </c>
      <c r="E205" s="148">
        <v>0.44213000000000008</v>
      </c>
      <c r="F205" s="148">
        <v>-1.4125397430666671</v>
      </c>
      <c r="G205" s="148">
        <v>-0.24812883376666622</v>
      </c>
      <c r="H205" s="148">
        <v>1.660668576833336</v>
      </c>
      <c r="I205" s="148"/>
      <c r="J205" s="149"/>
      <c r="K205" s="150">
        <v>0.56117269999999997</v>
      </c>
      <c r="L205" s="148">
        <v>0.46345249999999999</v>
      </c>
      <c r="M205" s="148">
        <v>1.4806596000000001</v>
      </c>
      <c r="N205" s="148">
        <v>0.26009490000000002</v>
      </c>
      <c r="O205" s="148">
        <v>-1.7407545</v>
      </c>
      <c r="P205" s="148"/>
      <c r="Q205" s="149"/>
      <c r="R205" s="148"/>
    </row>
    <row r="206" spans="1:18" x14ac:dyDescent="0.25">
      <c r="A206" s="142" t="s">
        <v>347</v>
      </c>
      <c r="B206" s="157" t="s">
        <v>349</v>
      </c>
      <c r="C206" s="147" t="s">
        <v>1940</v>
      </c>
      <c r="D206" s="148">
        <v>1.6487700000000001</v>
      </c>
      <c r="E206" s="148">
        <v>-0.82562999999999998</v>
      </c>
      <c r="F206" s="148">
        <v>-1.9571000000000001</v>
      </c>
      <c r="G206" s="148">
        <v>-0.80649999999999988</v>
      </c>
      <c r="H206" s="148">
        <v>2.7636000000000003</v>
      </c>
      <c r="I206" s="148"/>
      <c r="J206" s="149"/>
      <c r="K206" s="150">
        <v>0.96986470588235296</v>
      </c>
      <c r="L206" s="148">
        <v>-0.5007551083534999</v>
      </c>
      <c r="M206" s="148">
        <v>1.1870060711924646</v>
      </c>
      <c r="N206" s="148">
        <v>0.48915251975715224</v>
      </c>
      <c r="O206" s="148">
        <v>-1.6761585909496171</v>
      </c>
      <c r="P206" s="148"/>
      <c r="Q206" s="149"/>
      <c r="R206" s="148"/>
    </row>
    <row r="207" spans="1:18" x14ac:dyDescent="0.25">
      <c r="A207" s="142" t="s">
        <v>347</v>
      </c>
      <c r="B207" s="157" t="s">
        <v>349</v>
      </c>
      <c r="C207" s="147" t="s">
        <v>1942</v>
      </c>
      <c r="D207" s="148">
        <v>1.46129</v>
      </c>
      <c r="E207" s="148">
        <v>-0.10427</v>
      </c>
      <c r="F207" s="148">
        <v>-1.4362600000000001</v>
      </c>
      <c r="G207" s="148">
        <v>-0.40117000000000008</v>
      </c>
      <c r="H207" s="148">
        <v>1.8374300000000003</v>
      </c>
      <c r="I207" s="148"/>
      <c r="J207" s="149"/>
      <c r="K207" s="150">
        <v>0.85958235294117646</v>
      </c>
      <c r="L207" s="148">
        <v>-7.1354761888468413E-2</v>
      </c>
      <c r="M207" s="148">
        <v>0.98287129864708589</v>
      </c>
      <c r="N207" s="148">
        <v>0.27453140718132613</v>
      </c>
      <c r="O207" s="148">
        <v>-1.2574027058284121</v>
      </c>
      <c r="P207" s="148"/>
      <c r="Q207" s="149"/>
      <c r="R207" s="148"/>
    </row>
    <row r="208" spans="1:18" x14ac:dyDescent="0.25">
      <c r="A208" s="142" t="s">
        <v>347</v>
      </c>
      <c r="B208" s="157" t="s">
        <v>350</v>
      </c>
      <c r="C208" s="147" t="s">
        <v>1944</v>
      </c>
      <c r="D208" s="148">
        <v>1.2723899999999999</v>
      </c>
      <c r="E208" s="148">
        <v>0.11734</v>
      </c>
      <c r="F208" s="148">
        <v>-2.9577800000000001</v>
      </c>
      <c r="G208" s="148">
        <v>-0.6159300000000002</v>
      </c>
      <c r="H208" s="148">
        <v>1.4216100000000003</v>
      </c>
      <c r="I208" s="148">
        <v>2.1520999999999999</v>
      </c>
      <c r="J208" s="149"/>
      <c r="K208" s="150">
        <v>0.74846579999999996</v>
      </c>
      <c r="L208" s="148">
        <v>9.2223619420213301E-2</v>
      </c>
      <c r="M208" s="148">
        <v>2.3245805000000002</v>
      </c>
      <c r="N208" s="148">
        <v>0.48406870000000002</v>
      </c>
      <c r="O208" s="148">
        <v>-1.11727</v>
      </c>
      <c r="P208" s="148"/>
      <c r="Q208" s="149"/>
      <c r="R208" s="148"/>
    </row>
    <row r="209" spans="1:18" x14ac:dyDescent="0.25">
      <c r="A209" s="142" t="s">
        <v>347</v>
      </c>
      <c r="B209" s="157" t="s">
        <v>350</v>
      </c>
      <c r="C209" s="147" t="s">
        <v>1946</v>
      </c>
      <c r="D209" s="148">
        <v>2.3788100000000001</v>
      </c>
      <c r="E209" s="148">
        <v>-7.7299999999999982E-3</v>
      </c>
      <c r="F209" s="148">
        <v>-4.8537499999999989</v>
      </c>
      <c r="G209" s="148">
        <v>-0.92786999999999997</v>
      </c>
      <c r="H209" s="148">
        <v>2.2082899999999999</v>
      </c>
      <c r="I209" s="148">
        <v>3.5733299999999999</v>
      </c>
      <c r="J209" s="149"/>
      <c r="K209" s="150">
        <v>1.3992994000000001</v>
      </c>
      <c r="L209" s="148">
        <v>-3.25147995448672E-3</v>
      </c>
      <c r="M209" s="148">
        <v>2.0404133999999998</v>
      </c>
      <c r="N209" s="148">
        <v>0.39005669999999998</v>
      </c>
      <c r="O209" s="148">
        <v>-0.92831629999999998</v>
      </c>
      <c r="P209" s="148"/>
      <c r="Q209" s="149"/>
      <c r="R209" s="148"/>
    </row>
    <row r="210" spans="1:18" x14ac:dyDescent="0.25">
      <c r="A210" s="142" t="s">
        <v>347</v>
      </c>
      <c r="B210" s="157" t="s">
        <v>350</v>
      </c>
      <c r="C210" s="147" t="s">
        <v>1948</v>
      </c>
      <c r="D210" s="148">
        <v>3.7700600000000009</v>
      </c>
      <c r="E210" s="148">
        <v>0.27982000000000001</v>
      </c>
      <c r="F210" s="148">
        <v>-6.3948099999999988</v>
      </c>
      <c r="G210" s="148">
        <v>-1.1329199999999999</v>
      </c>
      <c r="H210" s="148">
        <v>2.7820600000000004</v>
      </c>
      <c r="I210" s="148">
        <v>4.7456700000000005</v>
      </c>
      <c r="J210" s="149"/>
      <c r="K210" s="150">
        <v>2.2176835000000001</v>
      </c>
      <c r="L210" s="148">
        <v>7.4220961751177206E-2</v>
      </c>
      <c r="M210" s="148">
        <v>1.6962077</v>
      </c>
      <c r="N210" s="148">
        <v>0.30050359999999998</v>
      </c>
      <c r="O210" s="148">
        <v>-0.73793549999999997</v>
      </c>
      <c r="P210" s="148"/>
      <c r="Q210" s="149"/>
      <c r="R210" s="148"/>
    </row>
    <row r="211" spans="1:18" x14ac:dyDescent="0.25">
      <c r="A211" s="142" t="s">
        <v>347</v>
      </c>
      <c r="B211" s="157" t="s">
        <v>350</v>
      </c>
      <c r="C211" s="147" t="s">
        <v>1950</v>
      </c>
      <c r="D211" s="148">
        <v>2.4952999999999999</v>
      </c>
      <c r="E211" s="148">
        <v>-3.355000000000001E-2</v>
      </c>
      <c r="F211" s="148">
        <v>-4.06562</v>
      </c>
      <c r="G211" s="148">
        <v>-0.96148999999999996</v>
      </c>
      <c r="H211" s="148">
        <v>2.0759699999999994</v>
      </c>
      <c r="I211" s="148">
        <v>2.9511400000000001</v>
      </c>
      <c r="J211" s="149"/>
      <c r="K211" s="150">
        <v>1.4678218999999999</v>
      </c>
      <c r="L211" s="148">
        <v>-1.34441695027373E-2</v>
      </c>
      <c r="M211" s="148">
        <v>1.6293146000000001</v>
      </c>
      <c r="N211" s="148">
        <v>0.38532110000000003</v>
      </c>
      <c r="O211" s="148">
        <v>-0.8319529</v>
      </c>
      <c r="P211" s="148"/>
      <c r="Q211" s="149"/>
      <c r="R211" s="148"/>
    </row>
    <row r="212" spans="1:18" x14ac:dyDescent="0.25">
      <c r="A212" s="142" t="s">
        <v>347</v>
      </c>
      <c r="B212" s="157" t="s">
        <v>350</v>
      </c>
      <c r="C212" s="147" t="s">
        <v>1952</v>
      </c>
      <c r="D212" s="148">
        <v>0.68772999999999995</v>
      </c>
      <c r="E212" s="148">
        <v>-0.35576999999999998</v>
      </c>
      <c r="F212" s="148">
        <v>-2.8437199999999998</v>
      </c>
      <c r="G212" s="148">
        <v>-0.18945000000000001</v>
      </c>
      <c r="H212" s="148">
        <v>1.9096900000000001</v>
      </c>
      <c r="I212" s="148">
        <v>1.1234799999999998</v>
      </c>
      <c r="J212" s="149"/>
      <c r="K212" s="150">
        <v>0.4045494</v>
      </c>
      <c r="L212" s="148">
        <v>-0.5173006</v>
      </c>
      <c r="M212" s="148">
        <v>4.1349153999999997</v>
      </c>
      <c r="N212" s="148">
        <v>0.27546720000000002</v>
      </c>
      <c r="O212" s="148">
        <v>-2.7767799000000002</v>
      </c>
      <c r="P212" s="148"/>
      <c r="Q212" s="149"/>
      <c r="R212" s="148"/>
    </row>
    <row r="213" spans="1:18" x14ac:dyDescent="0.25">
      <c r="A213" s="142" t="s">
        <v>347</v>
      </c>
      <c r="B213" s="157" t="s">
        <v>350</v>
      </c>
      <c r="C213" s="147" t="s">
        <v>1956</v>
      </c>
      <c r="D213" s="148">
        <v>0.52915000000000001</v>
      </c>
      <c r="E213" s="148">
        <v>0.38002999999999998</v>
      </c>
      <c r="F213" s="148">
        <v>-1.7445299999999999</v>
      </c>
      <c r="G213" s="148">
        <v>-0.16047</v>
      </c>
      <c r="H213" s="148">
        <v>1.1730599999999998</v>
      </c>
      <c r="I213" s="148">
        <v>0.73193999999999981</v>
      </c>
      <c r="J213" s="149"/>
      <c r="K213" s="150">
        <v>0.31126470588235294</v>
      </c>
      <c r="L213" s="148">
        <v>0.71818954927714251</v>
      </c>
      <c r="M213" s="148">
        <v>3.2968534442029669</v>
      </c>
      <c r="N213" s="148">
        <v>0.30325994519512428</v>
      </c>
      <c r="O213" s="148">
        <v>-2.216876122082585</v>
      </c>
      <c r="P213" s="148"/>
      <c r="Q213" s="149"/>
      <c r="R213" s="148"/>
    </row>
    <row r="214" spans="1:18" x14ac:dyDescent="0.25">
      <c r="A214" s="142" t="s">
        <v>347</v>
      </c>
      <c r="B214" s="157" t="s">
        <v>350</v>
      </c>
      <c r="C214" s="147" t="s">
        <v>1954</v>
      </c>
      <c r="D214" s="148">
        <v>0.75029999999999997</v>
      </c>
      <c r="E214" s="148">
        <v>0.41641</v>
      </c>
      <c r="F214" s="148">
        <v>-2.8252799999999998</v>
      </c>
      <c r="G214" s="148">
        <v>1.0220100000000001</v>
      </c>
      <c r="H214" s="148">
        <v>1.5220100000000001</v>
      </c>
      <c r="I214" s="148">
        <v>0.28125999999999962</v>
      </c>
      <c r="J214" s="149"/>
      <c r="K214" s="150">
        <v>0.44135360000000001</v>
      </c>
      <c r="L214" s="148">
        <v>0.55498570000000003</v>
      </c>
      <c r="M214" s="148">
        <v>3.7655273999999999</v>
      </c>
      <c r="N214" s="148">
        <v>-1.3621356</v>
      </c>
      <c r="O214" s="148">
        <v>-2.0285299999999999</v>
      </c>
      <c r="P214" s="148"/>
      <c r="Q214" s="149"/>
      <c r="R214" s="148"/>
    </row>
    <row r="215" spans="1:18" x14ac:dyDescent="0.25">
      <c r="A215" s="142" t="s">
        <v>347</v>
      </c>
      <c r="B215" s="157" t="s">
        <v>351</v>
      </c>
      <c r="C215" s="147" t="s">
        <v>1834</v>
      </c>
      <c r="D215" s="148">
        <v>2.3789600000000002</v>
      </c>
      <c r="E215" s="148">
        <v>-0.15846000000000005</v>
      </c>
      <c r="F215" s="148">
        <v>-2.7146000000000003</v>
      </c>
      <c r="G215" s="148">
        <v>-0.30521999999999999</v>
      </c>
      <c r="H215" s="148">
        <v>3.0198200000000002</v>
      </c>
      <c r="I215" s="148"/>
      <c r="J215" s="149"/>
      <c r="K215" s="150">
        <v>1.3993853999999999</v>
      </c>
      <c r="L215" s="148">
        <v>-6.6610324143241001E-2</v>
      </c>
      <c r="M215" s="148">
        <v>1.1410908</v>
      </c>
      <c r="N215" s="148">
        <v>0.12829950000000001</v>
      </c>
      <c r="O215" s="148">
        <v>-1.2693903</v>
      </c>
      <c r="P215" s="148"/>
      <c r="Q215" s="149"/>
      <c r="R215" s="148"/>
    </row>
    <row r="216" spans="1:18" x14ac:dyDescent="0.25">
      <c r="A216" s="142" t="s">
        <v>347</v>
      </c>
      <c r="B216" s="157" t="s">
        <v>351</v>
      </c>
      <c r="C216" s="147" t="s">
        <v>1836</v>
      </c>
      <c r="D216" s="148">
        <v>2.3089499999999998</v>
      </c>
      <c r="E216" s="148">
        <v>0.14962</v>
      </c>
      <c r="F216" s="148">
        <v>-2.9456600000000002</v>
      </c>
      <c r="G216" s="148">
        <v>-0.20429</v>
      </c>
      <c r="H216" s="148">
        <v>3.14995</v>
      </c>
      <c r="I216" s="148"/>
      <c r="J216" s="149"/>
      <c r="K216" s="150">
        <v>1.3582061000000001</v>
      </c>
      <c r="L216" s="148">
        <v>6.4799608467357203E-2</v>
      </c>
      <c r="M216" s="148">
        <v>1.2757562</v>
      </c>
      <c r="N216" s="148">
        <v>8.84779259966781E-2</v>
      </c>
      <c r="O216" s="148">
        <v>-1.3642341</v>
      </c>
      <c r="P216" s="148"/>
      <c r="Q216" s="149"/>
      <c r="R216" s="148"/>
    </row>
    <row r="217" spans="1:18" x14ac:dyDescent="0.25">
      <c r="A217" s="142" t="s">
        <v>347</v>
      </c>
      <c r="B217" s="157" t="s">
        <v>351</v>
      </c>
      <c r="C217" s="147" t="s">
        <v>1838</v>
      </c>
      <c r="D217" s="148">
        <v>1.0462899999999999</v>
      </c>
      <c r="E217" s="148">
        <v>9.3100000000000023E-3</v>
      </c>
      <c r="F217" s="148">
        <v>-1.0538699999999999</v>
      </c>
      <c r="G217" s="148">
        <v>-0.25361000000000006</v>
      </c>
      <c r="H217" s="148">
        <v>1.30748</v>
      </c>
      <c r="I217" s="148"/>
      <c r="J217" s="149"/>
      <c r="K217" s="150">
        <v>0.61546219999999996</v>
      </c>
      <c r="L217" s="148">
        <v>8.9005698325981802E-3</v>
      </c>
      <c r="M217" s="148">
        <v>1.0072521999999999</v>
      </c>
      <c r="N217" s="148">
        <v>0.24238970000000001</v>
      </c>
      <c r="O217" s="148">
        <v>-1.2496418</v>
      </c>
      <c r="P217" s="148"/>
      <c r="Q217" s="149"/>
      <c r="R217" s="148"/>
    </row>
    <row r="218" spans="1:18" x14ac:dyDescent="0.25">
      <c r="A218" s="142" t="s">
        <v>347</v>
      </c>
      <c r="B218" s="157" t="s">
        <v>351</v>
      </c>
      <c r="C218" s="147" t="s">
        <v>1840</v>
      </c>
      <c r="D218" s="148">
        <v>1.0658099999999997</v>
      </c>
      <c r="E218" s="148">
        <v>-4.6999999999999993E-4</v>
      </c>
      <c r="F218" s="148">
        <v>-1.1674100000000001</v>
      </c>
      <c r="G218" s="148">
        <v>-0.14166999999999999</v>
      </c>
      <c r="H218" s="148">
        <v>1.30908</v>
      </c>
      <c r="I218" s="148"/>
      <c r="J218" s="149"/>
      <c r="K218" s="150">
        <v>0.62694629999999996</v>
      </c>
      <c r="L218" s="148">
        <v>-4.39702642652278E-4</v>
      </c>
      <c r="M218" s="148">
        <v>1.0953231999999999</v>
      </c>
      <c r="N218" s="148">
        <v>0.1329255</v>
      </c>
      <c r="O218" s="148">
        <v>-1.2282487</v>
      </c>
      <c r="P218" s="148"/>
      <c r="Q218" s="149"/>
      <c r="R218" s="148"/>
    </row>
    <row r="219" spans="1:18" x14ac:dyDescent="0.25">
      <c r="A219" s="142" t="s">
        <v>347</v>
      </c>
      <c r="B219" s="157" t="s">
        <v>352</v>
      </c>
      <c r="C219" s="147" t="s">
        <v>2052</v>
      </c>
      <c r="D219" s="148">
        <v>0.87013000000000018</v>
      </c>
      <c r="E219" s="148">
        <v>1.0698900000000002</v>
      </c>
      <c r="F219" s="148">
        <v>-2.5421100000000005</v>
      </c>
      <c r="G219" s="148">
        <v>1.2109099999999997</v>
      </c>
      <c r="H219" s="148">
        <v>1.3311999999999999</v>
      </c>
      <c r="I219" s="148"/>
      <c r="J219" s="149"/>
      <c r="K219" s="150">
        <v>0.51184320000000005</v>
      </c>
      <c r="L219" s="148">
        <v>1.2295719000000001</v>
      </c>
      <c r="M219" s="148">
        <v>2.9215189000000001</v>
      </c>
      <c r="N219" s="148">
        <v>-1.3916419</v>
      </c>
      <c r="O219" s="148">
        <v>-1.5298769999999999</v>
      </c>
      <c r="P219" s="148"/>
      <c r="Q219" s="149"/>
      <c r="R219" s="148"/>
    </row>
    <row r="220" spans="1:18" x14ac:dyDescent="0.25">
      <c r="A220" s="142" t="s">
        <v>347</v>
      </c>
      <c r="B220" s="157" t="s">
        <v>352</v>
      </c>
      <c r="C220" s="147" t="s">
        <v>2054</v>
      </c>
      <c r="D220" s="148">
        <v>1.1578299999999999</v>
      </c>
      <c r="E220" s="148">
        <v>0.38096000000000002</v>
      </c>
      <c r="F220" s="148">
        <v>-2.9117099999999998</v>
      </c>
      <c r="G220" s="148">
        <v>0.99153000000000013</v>
      </c>
      <c r="H220" s="148">
        <v>1.92018</v>
      </c>
      <c r="I220" s="148"/>
      <c r="J220" s="149"/>
      <c r="K220" s="150">
        <v>0.6810756</v>
      </c>
      <c r="L220" s="148">
        <v>0.32902910000000002</v>
      </c>
      <c r="M220" s="148">
        <v>2.5147995999999999</v>
      </c>
      <c r="N220" s="148">
        <v>-0.85636860000000004</v>
      </c>
      <c r="O220" s="148">
        <v>-1.658431</v>
      </c>
      <c r="P220" s="148"/>
      <c r="Q220" s="149"/>
      <c r="R220" s="148"/>
    </row>
    <row r="221" spans="1:18" x14ac:dyDescent="0.25">
      <c r="A221" s="142" t="s">
        <v>347</v>
      </c>
      <c r="B221" s="157" t="s">
        <v>352</v>
      </c>
      <c r="C221" s="147" t="s">
        <v>2056</v>
      </c>
      <c r="D221" s="148">
        <v>1.7178600000000004</v>
      </c>
      <c r="E221" s="148">
        <v>-1.1933800000000001</v>
      </c>
      <c r="F221" s="148">
        <v>-4.2364300000000004</v>
      </c>
      <c r="G221" s="148">
        <v>0.85053999999999996</v>
      </c>
      <c r="H221" s="148">
        <v>3.3858899999999998</v>
      </c>
      <c r="I221" s="148"/>
      <c r="J221" s="149"/>
      <c r="K221" s="150">
        <v>1.0105043</v>
      </c>
      <c r="L221" s="148">
        <v>-0.69469110000000001</v>
      </c>
      <c r="M221" s="148">
        <v>2.4661114</v>
      </c>
      <c r="N221" s="148">
        <v>-0.49511769999999999</v>
      </c>
      <c r="O221" s="148">
        <v>-1.9709938</v>
      </c>
      <c r="P221" s="148"/>
      <c r="Q221" s="149"/>
      <c r="R221" s="148"/>
    </row>
    <row r="222" spans="1:18" x14ac:dyDescent="0.25">
      <c r="A222" s="142" t="s">
        <v>347</v>
      </c>
      <c r="B222" s="157" t="s">
        <v>352</v>
      </c>
      <c r="C222" s="147" t="s">
        <v>2058</v>
      </c>
      <c r="D222" s="148">
        <v>1.2293700000000001</v>
      </c>
      <c r="E222" s="148">
        <v>0.93711999999999995</v>
      </c>
      <c r="F222" s="148">
        <v>-3.0247099999999993</v>
      </c>
      <c r="G222" s="148">
        <v>0.93994000000000011</v>
      </c>
      <c r="H222" s="148">
        <v>2.0847699999999998</v>
      </c>
      <c r="I222" s="148"/>
      <c r="J222" s="149"/>
      <c r="K222" s="150">
        <v>0.72315839999999998</v>
      </c>
      <c r="L222" s="148">
        <v>0.76228079999999998</v>
      </c>
      <c r="M222" s="148">
        <v>2.4603714999999999</v>
      </c>
      <c r="N222" s="148">
        <v>-0.76456729999999995</v>
      </c>
      <c r="O222" s="148">
        <v>-1.6958042</v>
      </c>
      <c r="P222" s="148"/>
      <c r="Q222" s="149"/>
      <c r="R222" s="148"/>
    </row>
    <row r="223" spans="1:18" x14ac:dyDescent="0.25">
      <c r="A223" s="142" t="s">
        <v>347</v>
      </c>
      <c r="B223" s="157" t="s">
        <v>352</v>
      </c>
      <c r="C223" s="147" t="s">
        <v>2060</v>
      </c>
      <c r="D223" s="148">
        <v>2.7259500000000005</v>
      </c>
      <c r="E223" s="148">
        <v>-1.1138300000000001</v>
      </c>
      <c r="F223" s="148">
        <v>-4.46061</v>
      </c>
      <c r="G223" s="148">
        <v>0.5788000000000002</v>
      </c>
      <c r="H223" s="148">
        <v>3.8818100000000006</v>
      </c>
      <c r="I223" s="148"/>
      <c r="J223" s="149"/>
      <c r="K223" s="150">
        <v>1.6034986</v>
      </c>
      <c r="L223" s="148">
        <v>-0.40860410000000003</v>
      </c>
      <c r="M223" s="148">
        <v>1.6363529999999999</v>
      </c>
      <c r="N223" s="148">
        <v>-0.2123313</v>
      </c>
      <c r="O223" s="148">
        <v>-1.4240216999999999</v>
      </c>
      <c r="P223" s="148"/>
      <c r="Q223" s="149"/>
      <c r="R223" s="148"/>
    </row>
    <row r="224" spans="1:18" x14ac:dyDescent="0.25">
      <c r="A224" s="142" t="s">
        <v>347</v>
      </c>
      <c r="B224" s="157" t="s">
        <v>352</v>
      </c>
      <c r="C224" s="147" t="s">
        <v>2062</v>
      </c>
      <c r="D224" s="148">
        <v>2.7433700000000001</v>
      </c>
      <c r="E224" s="148">
        <v>0.25724000000000002</v>
      </c>
      <c r="F224" s="148">
        <v>-4.0229200000000001</v>
      </c>
      <c r="G224" s="148">
        <v>0.53252999999999995</v>
      </c>
      <c r="H224" s="148">
        <v>3.4903900000000001</v>
      </c>
      <c r="I224" s="148"/>
      <c r="J224" s="149"/>
      <c r="K224" s="150">
        <v>1.6137470588235294</v>
      </c>
      <c r="L224" s="148">
        <v>9.3767884025851428E-2</v>
      </c>
      <c r="M224" s="148">
        <v>1.4664153942049376</v>
      </c>
      <c r="N224" s="148">
        <v>-0.19411526698914106</v>
      </c>
      <c r="O224" s="148">
        <v>-1.2723001272157966</v>
      </c>
      <c r="P224" s="148"/>
      <c r="Q224" s="149"/>
      <c r="R224" s="148"/>
    </row>
    <row r="225" spans="1:18" x14ac:dyDescent="0.25">
      <c r="A225" s="142" t="s">
        <v>347</v>
      </c>
      <c r="B225" s="157" t="s">
        <v>353</v>
      </c>
      <c r="C225" s="147" t="s">
        <v>1818</v>
      </c>
      <c r="D225" s="148">
        <v>0.81786000000000003</v>
      </c>
      <c r="E225" s="148">
        <v>6.5449999999999994E-2</v>
      </c>
      <c r="F225" s="148">
        <v>-2.1383899999999998</v>
      </c>
      <c r="G225" s="148">
        <v>0.34945999999999999</v>
      </c>
      <c r="H225" s="148">
        <v>1.7889299999999999</v>
      </c>
      <c r="I225" s="148"/>
      <c r="J225" s="149"/>
      <c r="K225" s="150">
        <v>0.48109411764705884</v>
      </c>
      <c r="L225" s="148">
        <v>8.0025921306825121E-2</v>
      </c>
      <c r="M225" s="148">
        <v>2.6146161934805465</v>
      </c>
      <c r="N225" s="148">
        <v>-0.42728584354290461</v>
      </c>
      <c r="O225" s="148">
        <v>-2.1873303499376417</v>
      </c>
      <c r="P225" s="148"/>
      <c r="Q225" s="149"/>
      <c r="R225" s="148"/>
    </row>
    <row r="226" spans="1:18" x14ac:dyDescent="0.25">
      <c r="A226" s="142" t="s">
        <v>347</v>
      </c>
      <c r="B226" s="157" t="s">
        <v>353</v>
      </c>
      <c r="C226" s="147" t="s">
        <v>1820</v>
      </c>
      <c r="D226" s="148">
        <v>1.0974400000000002</v>
      </c>
      <c r="E226" s="148">
        <v>-0.62475000000000014</v>
      </c>
      <c r="F226" s="148">
        <v>-2.1383950845999995</v>
      </c>
      <c r="G226" s="148">
        <v>0.34945960900000012</v>
      </c>
      <c r="H226" s="148">
        <v>1.7889354755999982</v>
      </c>
      <c r="I226" s="148"/>
      <c r="J226" s="149"/>
      <c r="K226" s="150">
        <v>0.6455533</v>
      </c>
      <c r="L226" s="148">
        <v>-0.5692817</v>
      </c>
      <c r="M226" s="148">
        <v>1.9485291</v>
      </c>
      <c r="N226" s="148">
        <v>-0.31843139999999998</v>
      </c>
      <c r="O226" s="148">
        <v>-1.6300977000000001</v>
      </c>
      <c r="P226" s="148"/>
      <c r="Q226" s="149"/>
      <c r="R226" s="148"/>
    </row>
    <row r="227" spans="1:18" x14ac:dyDescent="0.25">
      <c r="A227" s="142" t="s">
        <v>347</v>
      </c>
      <c r="B227" s="157" t="s">
        <v>353</v>
      </c>
      <c r="C227" s="147" t="s">
        <v>1822</v>
      </c>
      <c r="D227" s="148">
        <v>1.7392799999999999</v>
      </c>
      <c r="E227" s="148">
        <v>-0.14610999999999999</v>
      </c>
      <c r="F227" s="148">
        <v>-2.5238883605000031</v>
      </c>
      <c r="G227" s="148">
        <v>0.74393850350000057</v>
      </c>
      <c r="H227" s="148">
        <v>1.7799498569999939</v>
      </c>
      <c r="I227" s="148"/>
      <c r="J227" s="149"/>
      <c r="K227" s="150">
        <v>1.0231041999999999</v>
      </c>
      <c r="L227" s="148">
        <v>-8.4007022011896998E-2</v>
      </c>
      <c r="M227" s="148">
        <v>1.4511134000000001</v>
      </c>
      <c r="N227" s="148">
        <v>-0.42772860000000001</v>
      </c>
      <c r="O227" s="148">
        <v>-1.0233848999999999</v>
      </c>
      <c r="P227" s="148"/>
      <c r="Q227" s="149"/>
      <c r="R227" s="148"/>
    </row>
    <row r="228" spans="1:18" x14ac:dyDescent="0.25">
      <c r="A228" s="142" t="s">
        <v>347</v>
      </c>
      <c r="B228" s="157" t="s">
        <v>353</v>
      </c>
      <c r="C228" s="147" t="s">
        <v>1824</v>
      </c>
      <c r="D228" s="148">
        <v>1.7342900000000001</v>
      </c>
      <c r="E228" s="148">
        <v>0.52756999999999987</v>
      </c>
      <c r="F228" s="148">
        <v>-2.264160971466664</v>
      </c>
      <c r="G228" s="148">
        <v>1.2387344411333328</v>
      </c>
      <c r="H228" s="148">
        <v>1.025426530333333</v>
      </c>
      <c r="I228" s="148"/>
      <c r="J228" s="149"/>
      <c r="K228" s="150">
        <v>1.0201689</v>
      </c>
      <c r="L228" s="148">
        <v>0.30419970000000002</v>
      </c>
      <c r="M228" s="148">
        <v>1.3055283</v>
      </c>
      <c r="N228" s="148">
        <v>-0.71426140000000005</v>
      </c>
      <c r="O228" s="148">
        <v>-0.59126690000000004</v>
      </c>
      <c r="P228" s="148"/>
      <c r="Q228" s="149"/>
      <c r="R228" s="148"/>
    </row>
    <row r="229" spans="1:18" x14ac:dyDescent="0.25">
      <c r="A229" s="142" t="s">
        <v>347</v>
      </c>
      <c r="B229" s="157" t="s">
        <v>353</v>
      </c>
      <c r="C229" s="147" t="s">
        <v>1826</v>
      </c>
      <c r="D229" s="148">
        <v>1.9020499999999996</v>
      </c>
      <c r="E229" s="148">
        <v>-0.89356000000000002</v>
      </c>
      <c r="F229" s="148">
        <v>-3.5739549519000073</v>
      </c>
      <c r="G229" s="148">
        <v>0.64023271430000039</v>
      </c>
      <c r="H229" s="148">
        <v>2.9337222375999956</v>
      </c>
      <c r="I229" s="148"/>
      <c r="J229" s="149"/>
      <c r="K229" s="150">
        <v>1.1188556999999999</v>
      </c>
      <c r="L229" s="148">
        <v>-0.46978799999999998</v>
      </c>
      <c r="M229" s="148">
        <v>1.8789969</v>
      </c>
      <c r="N229" s="148">
        <v>-0.33660060000000003</v>
      </c>
      <c r="O229" s="148">
        <v>-1.5423963000000001</v>
      </c>
      <c r="P229" s="148"/>
      <c r="Q229" s="149"/>
      <c r="R229" s="148"/>
    </row>
    <row r="230" spans="1:18" x14ac:dyDescent="0.25">
      <c r="A230" s="142" t="s">
        <v>347</v>
      </c>
      <c r="B230" s="157" t="s">
        <v>353</v>
      </c>
      <c r="C230" s="147" t="s">
        <v>1828</v>
      </c>
      <c r="D230" s="148">
        <v>1.9492400000000001</v>
      </c>
      <c r="E230" s="148">
        <v>0.46239000000000002</v>
      </c>
      <c r="F230" s="148">
        <v>-2.8828607378333371</v>
      </c>
      <c r="G230" s="148">
        <v>1.4517106393666663</v>
      </c>
      <c r="H230" s="148">
        <v>1.4311500984666665</v>
      </c>
      <c r="I230" s="148"/>
      <c r="J230" s="149"/>
      <c r="K230" s="150">
        <v>1.1466132</v>
      </c>
      <c r="L230" s="148">
        <v>0.23721510000000001</v>
      </c>
      <c r="M230" s="148">
        <v>1.4789646999999999</v>
      </c>
      <c r="N230" s="148">
        <v>-0.74475630000000004</v>
      </c>
      <c r="O230" s="148">
        <v>-0.73420839999999998</v>
      </c>
      <c r="P230" s="148"/>
      <c r="Q230" s="149"/>
      <c r="R230" s="148"/>
    </row>
    <row r="231" spans="1:18" x14ac:dyDescent="0.25">
      <c r="A231" s="142" t="s">
        <v>347</v>
      </c>
      <c r="B231" s="157" t="s">
        <v>353</v>
      </c>
      <c r="C231" s="147" t="s">
        <v>1830</v>
      </c>
      <c r="D231" s="148">
        <v>1.7777000000000001</v>
      </c>
      <c r="E231" s="148">
        <v>0.67447000000000001</v>
      </c>
      <c r="F231" s="148">
        <v>-2.0955089798000026</v>
      </c>
      <c r="G231" s="148">
        <v>0.96066587599999964</v>
      </c>
      <c r="H231" s="148">
        <v>1.1348431037999993</v>
      </c>
      <c r="I231" s="148"/>
      <c r="J231" s="149"/>
      <c r="K231" s="150">
        <v>1.0457046000000001</v>
      </c>
      <c r="L231" s="148">
        <v>0.37940489999999999</v>
      </c>
      <c r="M231" s="148">
        <v>1.1787768000000001</v>
      </c>
      <c r="N231" s="148">
        <v>-0.54039879999999996</v>
      </c>
      <c r="O231" s="148">
        <v>-0.63837790000000005</v>
      </c>
      <c r="P231" s="148"/>
      <c r="Q231" s="149"/>
      <c r="R231" s="148"/>
    </row>
    <row r="232" spans="1:18" x14ac:dyDescent="0.25">
      <c r="A232" s="142" t="s">
        <v>347</v>
      </c>
      <c r="B232" s="157" t="s">
        <v>353</v>
      </c>
      <c r="C232" s="147" t="s">
        <v>1832</v>
      </c>
      <c r="D232" s="148">
        <v>1.7636199999999995</v>
      </c>
      <c r="E232" s="148">
        <v>1.74055</v>
      </c>
      <c r="F232" s="148">
        <v>-0.67508000000000001</v>
      </c>
      <c r="G232" s="148">
        <v>1.27328</v>
      </c>
      <c r="H232" s="148">
        <v>-0.59819999999999984</v>
      </c>
      <c r="I232" s="148"/>
      <c r="J232" s="149"/>
      <c r="K232" s="150">
        <v>1.0374235294117644</v>
      </c>
      <c r="L232" s="148">
        <v>0.98691895079438907</v>
      </c>
      <c r="M232" s="148">
        <v>0.38278087116272225</v>
      </c>
      <c r="N232" s="148">
        <v>-0.72196958528481214</v>
      </c>
      <c r="O232" s="148">
        <v>0.33918871412208978</v>
      </c>
      <c r="P232" s="148"/>
      <c r="Q232" s="149"/>
      <c r="R232" s="148"/>
    </row>
    <row r="233" spans="1:18" x14ac:dyDescent="0.25">
      <c r="A233" s="142" t="s">
        <v>347</v>
      </c>
      <c r="B233" s="157" t="s">
        <v>354</v>
      </c>
      <c r="C233" s="147" t="s">
        <v>1842</v>
      </c>
      <c r="D233" s="148">
        <v>1.0761499999999997</v>
      </c>
      <c r="E233" s="148">
        <v>0.15401999999999999</v>
      </c>
      <c r="F233" s="148">
        <v>-0.78125</v>
      </c>
      <c r="G233" s="148">
        <v>-0.49247000000000007</v>
      </c>
      <c r="H233" s="148">
        <v>1.27372</v>
      </c>
      <c r="I233" s="148"/>
      <c r="J233" s="149"/>
      <c r="K233" s="150">
        <v>0.63303180000000003</v>
      </c>
      <c r="L233" s="148">
        <v>0.14311840000000001</v>
      </c>
      <c r="M233" s="148">
        <v>0.72596629999999995</v>
      </c>
      <c r="N233" s="148">
        <v>0.45762199999999997</v>
      </c>
      <c r="O233" s="148">
        <v>-1.1835882</v>
      </c>
      <c r="P233" s="148"/>
      <c r="Q233" s="149"/>
      <c r="R233" s="148"/>
    </row>
    <row r="234" spans="1:18" x14ac:dyDescent="0.25">
      <c r="A234" s="142" t="s">
        <v>347</v>
      </c>
      <c r="B234" s="157" t="s">
        <v>354</v>
      </c>
      <c r="C234" s="147" t="s">
        <v>1844</v>
      </c>
      <c r="D234" s="148">
        <v>1.5359400000000001</v>
      </c>
      <c r="E234" s="148">
        <v>0.34623999999999999</v>
      </c>
      <c r="F234" s="148">
        <v>-1.68005</v>
      </c>
      <c r="G234" s="148">
        <v>-0.14087</v>
      </c>
      <c r="H234" s="148">
        <v>1.8209200000000003</v>
      </c>
      <c r="I234" s="148"/>
      <c r="J234" s="149"/>
      <c r="K234" s="150">
        <v>0.90349190000000001</v>
      </c>
      <c r="L234" s="148">
        <v>0.2254265</v>
      </c>
      <c r="M234" s="148">
        <v>1.0938254000000001</v>
      </c>
      <c r="N234" s="148">
        <v>9.1715508760475004E-2</v>
      </c>
      <c r="O234" s="148">
        <v>-1.1855408999999999</v>
      </c>
      <c r="P234" s="148"/>
      <c r="Q234" s="149"/>
      <c r="R234" s="148"/>
    </row>
    <row r="235" spans="1:18" x14ac:dyDescent="0.25">
      <c r="A235" s="142" t="s">
        <v>347</v>
      </c>
      <c r="B235" s="157" t="s">
        <v>354</v>
      </c>
      <c r="C235" s="147" t="s">
        <v>1846</v>
      </c>
      <c r="D235" s="148">
        <v>1.6193600000000004</v>
      </c>
      <c r="E235" s="148">
        <v>-0.51197000000000004</v>
      </c>
      <c r="F235" s="148">
        <v>-0.93562000000000001</v>
      </c>
      <c r="G235" s="148">
        <v>-0.37120999999999998</v>
      </c>
      <c r="H235" s="148">
        <v>1.3068299999999999</v>
      </c>
      <c r="I235" s="148"/>
      <c r="J235" s="149"/>
      <c r="K235" s="150">
        <v>0.95256719999999995</v>
      </c>
      <c r="L235" s="148">
        <v>-0.31615470000000001</v>
      </c>
      <c r="M235" s="148">
        <v>0.57776780000000005</v>
      </c>
      <c r="N235" s="148">
        <v>0.22923299999999999</v>
      </c>
      <c r="O235" s="148">
        <v>-0.80700090000000002</v>
      </c>
      <c r="P235" s="148"/>
      <c r="Q235" s="149"/>
      <c r="R235" s="148"/>
    </row>
    <row r="236" spans="1:18" x14ac:dyDescent="0.25">
      <c r="A236" s="142" t="s">
        <v>347</v>
      </c>
      <c r="B236" s="157" t="s">
        <v>354</v>
      </c>
      <c r="C236" s="147" t="s">
        <v>1848</v>
      </c>
      <c r="D236" s="148">
        <v>2.5685500000000001</v>
      </c>
      <c r="E236" s="148">
        <v>1.171E-2</v>
      </c>
      <c r="F236" s="148">
        <v>-1.8950199999999997</v>
      </c>
      <c r="G236" s="148">
        <v>-0.19877</v>
      </c>
      <c r="H236" s="148">
        <v>2.0937899999999998</v>
      </c>
      <c r="I236" s="148"/>
      <c r="J236" s="149"/>
      <c r="K236" s="150">
        <v>1.5109090000000001</v>
      </c>
      <c r="L236" s="148">
        <v>4.5595430071934803E-3</v>
      </c>
      <c r="M236" s="148">
        <v>0.73777899999999996</v>
      </c>
      <c r="N236" s="148">
        <v>7.7388097775991899E-2</v>
      </c>
      <c r="O236" s="148">
        <v>-0.81516710000000003</v>
      </c>
      <c r="P236" s="148"/>
      <c r="Q236" s="149"/>
      <c r="R236" s="148"/>
    </row>
    <row r="237" spans="1:18" x14ac:dyDescent="0.25">
      <c r="A237" s="142" t="s">
        <v>347</v>
      </c>
      <c r="B237" s="157" t="s">
        <v>355</v>
      </c>
      <c r="C237" s="147" t="s">
        <v>3491</v>
      </c>
      <c r="D237" s="148">
        <v>1.70912</v>
      </c>
      <c r="E237" s="148">
        <v>-0.75473000000000001</v>
      </c>
      <c r="F237" s="148"/>
      <c r="G237" s="148"/>
      <c r="H237" s="148"/>
      <c r="I237" s="148"/>
      <c r="J237" s="149"/>
      <c r="K237" s="150">
        <v>1.0053627000000001</v>
      </c>
      <c r="L237" s="148">
        <v>-0.44159219999999999</v>
      </c>
      <c r="M237" s="148"/>
      <c r="N237" s="148"/>
      <c r="O237" s="148" t="s">
        <v>3490</v>
      </c>
      <c r="P237" s="148"/>
      <c r="Q237" s="149"/>
      <c r="R237" s="148"/>
    </row>
    <row r="238" spans="1:18" x14ac:dyDescent="0.25">
      <c r="A238" s="142" t="s">
        <v>347</v>
      </c>
      <c r="B238" s="157" t="s">
        <v>355</v>
      </c>
      <c r="C238" s="147" t="s">
        <v>3492</v>
      </c>
      <c r="D238" s="148">
        <v>1.8143</v>
      </c>
      <c r="E238" s="148">
        <v>-0.23619999999999999</v>
      </c>
      <c r="F238" s="148"/>
      <c r="G238" s="148"/>
      <c r="H238" s="148"/>
      <c r="I238" s="148"/>
      <c r="J238" s="149"/>
      <c r="K238" s="150">
        <v>1.0672347</v>
      </c>
      <c r="L238" s="148">
        <v>-0.13019040000000001</v>
      </c>
      <c r="M238" s="148"/>
      <c r="N238" s="148"/>
      <c r="O238" s="148" t="s">
        <v>3490</v>
      </c>
      <c r="P238" s="148"/>
      <c r="Q238" s="149"/>
      <c r="R238" s="148"/>
    </row>
    <row r="239" spans="1:18" x14ac:dyDescent="0.25">
      <c r="A239" s="142" t="s">
        <v>347</v>
      </c>
      <c r="B239" s="157" t="s">
        <v>355</v>
      </c>
      <c r="C239" s="147" t="s">
        <v>3493</v>
      </c>
      <c r="D239" s="148">
        <v>1.3594599999999999</v>
      </c>
      <c r="E239" s="148">
        <v>1.0649999999999997</v>
      </c>
      <c r="F239" s="148"/>
      <c r="G239" s="148"/>
      <c r="H239" s="148"/>
      <c r="I239" s="148"/>
      <c r="J239" s="149"/>
      <c r="K239" s="150">
        <v>0.79968240000000002</v>
      </c>
      <c r="L239" s="148">
        <v>0.78339630000000005</v>
      </c>
      <c r="M239" s="148"/>
      <c r="N239" s="148"/>
      <c r="O239" s="148" t="s">
        <v>3490</v>
      </c>
      <c r="P239" s="148"/>
      <c r="Q239" s="149"/>
      <c r="R239" s="148"/>
    </row>
    <row r="240" spans="1:18" x14ac:dyDescent="0.25">
      <c r="A240" s="142" t="s">
        <v>347</v>
      </c>
      <c r="B240" s="157" t="s">
        <v>355</v>
      </c>
      <c r="C240" s="147" t="s">
        <v>3494</v>
      </c>
      <c r="D240" s="148">
        <v>1.5643199999999999</v>
      </c>
      <c r="E240" s="148">
        <v>1.3022400000000003</v>
      </c>
      <c r="F240" s="148"/>
      <c r="G240" s="148"/>
      <c r="H240" s="148"/>
      <c r="I240" s="148"/>
      <c r="J240" s="149"/>
      <c r="K240" s="150">
        <v>0.92019099999999998</v>
      </c>
      <c r="L240" s="148">
        <v>0.83246450000000005</v>
      </c>
      <c r="M240" s="148"/>
      <c r="N240" s="148"/>
      <c r="O240" s="148" t="s">
        <v>3490</v>
      </c>
      <c r="P240" s="148"/>
      <c r="Q240" s="149"/>
      <c r="R240" s="148"/>
    </row>
    <row r="241" spans="1:18" x14ac:dyDescent="0.25">
      <c r="A241" s="142" t="s">
        <v>347</v>
      </c>
      <c r="B241" s="157" t="s">
        <v>355</v>
      </c>
      <c r="C241" s="147" t="s">
        <v>3495</v>
      </c>
      <c r="D241" s="148">
        <v>1.2390399999999999</v>
      </c>
      <c r="E241" s="148">
        <v>-0.57670999999999983</v>
      </c>
      <c r="F241" s="148"/>
      <c r="G241" s="148"/>
      <c r="H241" s="148"/>
      <c r="I241" s="148"/>
      <c r="J241" s="149"/>
      <c r="K241" s="150">
        <v>0.72884850000000001</v>
      </c>
      <c r="L241" s="148">
        <v>-0.465449</v>
      </c>
      <c r="M241" s="148"/>
      <c r="N241" s="148"/>
      <c r="O241" s="148" t="s">
        <v>3490</v>
      </c>
      <c r="P241" s="148"/>
      <c r="Q241" s="149"/>
      <c r="R241" s="148"/>
    </row>
    <row r="242" spans="1:18" x14ac:dyDescent="0.25">
      <c r="A242" s="142" t="s">
        <v>347</v>
      </c>
      <c r="B242" s="157" t="s">
        <v>355</v>
      </c>
      <c r="C242" s="147" t="s">
        <v>3496</v>
      </c>
      <c r="D242" s="148">
        <v>2.5473199999999996</v>
      </c>
      <c r="E242" s="148">
        <v>-1.2690900000000003</v>
      </c>
      <c r="F242" s="148"/>
      <c r="G242" s="148"/>
      <c r="H242" s="148"/>
      <c r="I242" s="148"/>
      <c r="J242" s="149"/>
      <c r="K242" s="150">
        <v>1.4984208000000001</v>
      </c>
      <c r="L242" s="148">
        <v>-0.49820740000000002</v>
      </c>
      <c r="M242" s="148"/>
      <c r="N242" s="148"/>
      <c r="O242" s="148" t="s">
        <v>3490</v>
      </c>
      <c r="P242" s="148"/>
      <c r="Q242" s="149"/>
      <c r="R242" s="148"/>
    </row>
    <row r="243" spans="1:18" x14ac:dyDescent="0.25">
      <c r="A243" s="142" t="s">
        <v>347</v>
      </c>
      <c r="B243" s="157" t="s">
        <v>355</v>
      </c>
      <c r="C243" s="147" t="s">
        <v>3497</v>
      </c>
      <c r="D243" s="148">
        <v>1.8621300000000005</v>
      </c>
      <c r="E243" s="148">
        <v>0.79108999999999996</v>
      </c>
      <c r="F243" s="148"/>
      <c r="G243" s="148"/>
      <c r="H243" s="148"/>
      <c r="I243" s="148"/>
      <c r="J243" s="149"/>
      <c r="K243" s="150">
        <v>1.0953679000000001</v>
      </c>
      <c r="L243" s="148">
        <v>0.4248323</v>
      </c>
      <c r="M243" s="148"/>
      <c r="N243" s="148"/>
      <c r="O243" s="148" t="s">
        <v>3490</v>
      </c>
      <c r="P243" s="148"/>
      <c r="Q243" s="149"/>
      <c r="R243" s="148"/>
    </row>
    <row r="244" spans="1:18" x14ac:dyDescent="0.25">
      <c r="A244" s="142" t="s">
        <v>347</v>
      </c>
      <c r="B244" s="157" t="s">
        <v>355</v>
      </c>
      <c r="C244" s="147" t="s">
        <v>3498</v>
      </c>
      <c r="D244" s="148">
        <v>2.4873599999999998</v>
      </c>
      <c r="E244" s="148">
        <v>-0.62024000000000001</v>
      </c>
      <c r="F244" s="148"/>
      <c r="G244" s="148"/>
      <c r="H244" s="148"/>
      <c r="I244" s="148"/>
      <c r="J244" s="149"/>
      <c r="K244" s="150">
        <v>1.4631546</v>
      </c>
      <c r="L244" s="148">
        <v>-0.2493572</v>
      </c>
      <c r="M244" s="148"/>
      <c r="N244" s="148"/>
      <c r="O244" s="148" t="s">
        <v>3490</v>
      </c>
      <c r="P244" s="148"/>
      <c r="Q244" s="149"/>
      <c r="R244" s="148"/>
    </row>
    <row r="245" spans="1:18" x14ac:dyDescent="0.25">
      <c r="A245" s="142" t="s">
        <v>347</v>
      </c>
      <c r="B245" s="157" t="s">
        <v>355</v>
      </c>
      <c r="C245" s="147" t="s">
        <v>3499</v>
      </c>
      <c r="D245" s="148">
        <v>1.8149100000000005</v>
      </c>
      <c r="E245" s="148">
        <v>-0.15129999999999996</v>
      </c>
      <c r="F245" s="148"/>
      <c r="G245" s="148"/>
      <c r="H245" s="148"/>
      <c r="I245" s="148"/>
      <c r="J245" s="149"/>
      <c r="K245" s="150">
        <v>1.0675938</v>
      </c>
      <c r="L245" s="148">
        <v>-8.3366205052026604E-2</v>
      </c>
      <c r="M245" s="148"/>
      <c r="N245" s="148"/>
      <c r="O245" s="148" t="s">
        <v>3490</v>
      </c>
      <c r="P245" s="148"/>
      <c r="Q245" s="149"/>
      <c r="R245" s="148"/>
    </row>
    <row r="246" spans="1:18" x14ac:dyDescent="0.25">
      <c r="A246" s="142" t="s">
        <v>347</v>
      </c>
      <c r="B246" s="157" t="s">
        <v>355</v>
      </c>
      <c r="C246" s="147" t="s">
        <v>3500</v>
      </c>
      <c r="D246" s="148">
        <v>1.15574</v>
      </c>
      <c r="E246" s="148">
        <v>0.11876999999999999</v>
      </c>
      <c r="F246" s="148"/>
      <c r="G246" s="148"/>
      <c r="H246" s="148"/>
      <c r="I246" s="148"/>
      <c r="J246" s="149"/>
      <c r="K246" s="150">
        <v>0.67984540000000004</v>
      </c>
      <c r="L246" s="148">
        <v>0.1027613</v>
      </c>
      <c r="M246" s="148"/>
      <c r="N246" s="148"/>
      <c r="O246" s="148" t="s">
        <v>3490</v>
      </c>
      <c r="P246" s="148"/>
      <c r="Q246" s="149"/>
      <c r="R246" s="148"/>
    </row>
    <row r="247" spans="1:18" x14ac:dyDescent="0.25">
      <c r="A247" s="142" t="s">
        <v>347</v>
      </c>
      <c r="B247" s="157" t="s">
        <v>355</v>
      </c>
      <c r="C247" s="147" t="s">
        <v>3501</v>
      </c>
      <c r="D247" s="148">
        <v>1.1463099999999997</v>
      </c>
      <c r="E247" s="148">
        <v>0.33118999999999998</v>
      </c>
      <c r="F247" s="148"/>
      <c r="G247" s="148"/>
      <c r="H247" s="148"/>
      <c r="I247" s="148"/>
      <c r="J247" s="149"/>
      <c r="K247" s="150">
        <v>0.67429810000000001</v>
      </c>
      <c r="L247" s="148">
        <v>0.28891610000000001</v>
      </c>
      <c r="M247" s="148"/>
      <c r="N247" s="148"/>
      <c r="O247" s="148" t="s">
        <v>3490</v>
      </c>
      <c r="P247" s="148"/>
      <c r="Q247" s="149"/>
      <c r="R247" s="148"/>
    </row>
    <row r="248" spans="1:18" x14ac:dyDescent="0.25">
      <c r="A248" s="142" t="s">
        <v>347</v>
      </c>
      <c r="B248" s="157" t="s">
        <v>356</v>
      </c>
      <c r="C248" s="147" t="s">
        <v>3502</v>
      </c>
      <c r="D248" s="148">
        <v>1.6757500000000001</v>
      </c>
      <c r="E248" s="148">
        <v>-2.6994500000000006</v>
      </c>
      <c r="F248" s="148"/>
      <c r="G248" s="148"/>
      <c r="H248" s="148"/>
      <c r="I248" s="148"/>
      <c r="J248" s="149"/>
      <c r="K248" s="150">
        <v>0.98573429999999995</v>
      </c>
      <c r="L248" s="148">
        <v>-1.6108924</v>
      </c>
      <c r="M248" s="148"/>
      <c r="N248" s="148"/>
      <c r="O248" s="148" t="s">
        <v>3490</v>
      </c>
      <c r="P248" s="148"/>
      <c r="Q248" s="149"/>
      <c r="R248" s="148"/>
    </row>
    <row r="249" spans="1:18" x14ac:dyDescent="0.25">
      <c r="A249" s="142" t="s">
        <v>347</v>
      </c>
      <c r="B249" s="157" t="s">
        <v>356</v>
      </c>
      <c r="C249" s="147" t="s">
        <v>3503</v>
      </c>
      <c r="D249" s="148">
        <v>1.50284</v>
      </c>
      <c r="E249" s="148">
        <v>-1.9021300000000001</v>
      </c>
      <c r="F249" s="148"/>
      <c r="G249" s="148"/>
      <c r="H249" s="148"/>
      <c r="I249" s="148"/>
      <c r="J249" s="149"/>
      <c r="K249" s="150">
        <v>0.88402579999999997</v>
      </c>
      <c r="L249" s="148">
        <v>-1.2656885</v>
      </c>
      <c r="M249" s="148"/>
      <c r="N249" s="148"/>
      <c r="O249" s="148" t="s">
        <v>3490</v>
      </c>
      <c r="P249" s="148"/>
      <c r="Q249" s="149"/>
      <c r="R249" s="148"/>
    </row>
    <row r="250" spans="1:18" x14ac:dyDescent="0.25">
      <c r="A250" s="142" t="s">
        <v>347</v>
      </c>
      <c r="B250" s="157" t="s">
        <v>356</v>
      </c>
      <c r="C250" s="147" t="s">
        <v>3504</v>
      </c>
      <c r="D250" s="148">
        <v>0.88721999999999979</v>
      </c>
      <c r="E250" s="148">
        <v>-1.0441900000000002</v>
      </c>
      <c r="F250" s="148"/>
      <c r="G250" s="148"/>
      <c r="H250" s="148"/>
      <c r="I250" s="148"/>
      <c r="J250" s="149"/>
      <c r="K250" s="150">
        <v>0.52189549999999996</v>
      </c>
      <c r="L250" s="148">
        <v>-1.1769178</v>
      </c>
      <c r="M250" s="148"/>
      <c r="N250" s="148"/>
      <c r="O250" s="148" t="s">
        <v>3490</v>
      </c>
      <c r="P250" s="148"/>
      <c r="Q250" s="149"/>
      <c r="R250" s="148"/>
    </row>
    <row r="251" spans="1:18" x14ac:dyDescent="0.25">
      <c r="A251" s="142" t="s">
        <v>347</v>
      </c>
      <c r="B251" s="157" t="s">
        <v>356</v>
      </c>
      <c r="C251" s="147" t="s">
        <v>3505</v>
      </c>
      <c r="D251" s="148">
        <v>1.22655</v>
      </c>
      <c r="E251" s="148">
        <v>7.2690000000000018E-2</v>
      </c>
      <c r="F251" s="148"/>
      <c r="G251" s="148"/>
      <c r="H251" s="148"/>
      <c r="I251" s="148"/>
      <c r="J251" s="149"/>
      <c r="K251" s="150">
        <v>0.72150150000000002</v>
      </c>
      <c r="L251" s="148">
        <v>5.92639429345901E-2</v>
      </c>
      <c r="M251" s="148"/>
      <c r="N251" s="148"/>
      <c r="O251" s="148" t="s">
        <v>3490</v>
      </c>
      <c r="P251" s="148"/>
      <c r="Q251" s="149"/>
      <c r="R251" s="148"/>
    </row>
    <row r="252" spans="1:18" x14ac:dyDescent="0.25">
      <c r="A252" s="142" t="s">
        <v>347</v>
      </c>
      <c r="B252" s="157" t="s">
        <v>356</v>
      </c>
      <c r="C252" s="147" t="s">
        <v>3506</v>
      </c>
      <c r="D252" s="148">
        <v>2.1053600000000006</v>
      </c>
      <c r="E252" s="148">
        <v>2.4332600000000002</v>
      </c>
      <c r="F252" s="148"/>
      <c r="G252" s="148"/>
      <c r="H252" s="148"/>
      <c r="I252" s="148"/>
      <c r="J252" s="149"/>
      <c r="K252" s="150">
        <v>1.2384487</v>
      </c>
      <c r="L252" s="148">
        <v>1.1557434</v>
      </c>
      <c r="M252" s="148"/>
      <c r="N252" s="148"/>
      <c r="O252" s="148" t="s">
        <v>3490</v>
      </c>
      <c r="P252" s="148"/>
      <c r="Q252" s="149"/>
      <c r="R252" s="148"/>
    </row>
    <row r="253" spans="1:18" x14ac:dyDescent="0.25">
      <c r="A253" s="142" t="s">
        <v>347</v>
      </c>
      <c r="B253" s="157" t="s">
        <v>356</v>
      </c>
      <c r="C253" s="147" t="s">
        <v>3507</v>
      </c>
      <c r="D253" s="148">
        <v>2.08616</v>
      </c>
      <c r="E253" s="148">
        <v>0.30098000000000003</v>
      </c>
      <c r="F253" s="148"/>
      <c r="G253" s="148"/>
      <c r="H253" s="148"/>
      <c r="I253" s="148"/>
      <c r="J253" s="149"/>
      <c r="K253" s="150">
        <v>1.2271513000000001</v>
      </c>
      <c r="L253" s="148">
        <v>0.1442734</v>
      </c>
      <c r="M253" s="148"/>
      <c r="N253" s="148"/>
      <c r="O253" s="148" t="s">
        <v>3490</v>
      </c>
      <c r="P253" s="148"/>
      <c r="Q253" s="149"/>
      <c r="R253" s="148"/>
    </row>
    <row r="254" spans="1:18" x14ac:dyDescent="0.25">
      <c r="A254" s="142" t="s">
        <v>347</v>
      </c>
      <c r="B254" s="157" t="s">
        <v>356</v>
      </c>
      <c r="C254" s="147" t="s">
        <v>3508</v>
      </c>
      <c r="D254" s="148">
        <v>2.1169899999999995</v>
      </c>
      <c r="E254" s="148">
        <v>1.5299799999999999</v>
      </c>
      <c r="F254" s="148"/>
      <c r="G254" s="148"/>
      <c r="H254" s="148"/>
      <c r="I254" s="148"/>
      <c r="J254" s="149"/>
      <c r="K254" s="150">
        <v>1.2452901000000001</v>
      </c>
      <c r="L254" s="148">
        <v>0.72271160000000001</v>
      </c>
      <c r="M254" s="148"/>
      <c r="N254" s="148"/>
      <c r="O254" s="148" t="s">
        <v>3490</v>
      </c>
      <c r="P254" s="148"/>
      <c r="Q254" s="149"/>
      <c r="R254" s="148"/>
    </row>
    <row r="255" spans="1:18" x14ac:dyDescent="0.25">
      <c r="A255" s="142" t="s">
        <v>347</v>
      </c>
      <c r="B255" s="157" t="s">
        <v>356</v>
      </c>
      <c r="C255" s="147" t="s">
        <v>3509</v>
      </c>
      <c r="D255" s="148">
        <v>2.0132500000000002</v>
      </c>
      <c r="E255" s="148">
        <v>-0.55223999999999995</v>
      </c>
      <c r="F255" s="148"/>
      <c r="G255" s="148"/>
      <c r="H255" s="148"/>
      <c r="I255" s="148"/>
      <c r="J255" s="149"/>
      <c r="K255" s="150">
        <v>1.1842655</v>
      </c>
      <c r="L255" s="148">
        <v>-0.2743042</v>
      </c>
      <c r="M255" s="148"/>
      <c r="N255" s="148"/>
      <c r="O255" s="148" t="s">
        <v>3490</v>
      </c>
      <c r="P255" s="148"/>
      <c r="Q255" s="149"/>
      <c r="R255" s="148"/>
    </row>
    <row r="256" spans="1:18" x14ac:dyDescent="0.25">
      <c r="A256" s="142" t="s">
        <v>347</v>
      </c>
      <c r="B256" s="157" t="s">
        <v>356</v>
      </c>
      <c r="C256" s="147" t="s">
        <v>3510</v>
      </c>
      <c r="D256" s="148">
        <v>1.5260300000000004</v>
      </c>
      <c r="E256" s="148">
        <v>-1.68618</v>
      </c>
      <c r="F256" s="148"/>
      <c r="G256" s="148"/>
      <c r="H256" s="148"/>
      <c r="I256" s="148"/>
      <c r="J256" s="149"/>
      <c r="K256" s="150">
        <v>0.89766449999999998</v>
      </c>
      <c r="L256" s="148">
        <v>-1.1049477000000001</v>
      </c>
      <c r="M256" s="148"/>
      <c r="N256" s="148"/>
      <c r="O256" s="148" t="s">
        <v>3490</v>
      </c>
      <c r="P256" s="148"/>
      <c r="Q256" s="149"/>
      <c r="R256" s="148"/>
    </row>
    <row r="257" spans="1:18" x14ac:dyDescent="0.25">
      <c r="A257" s="142" t="s">
        <v>347</v>
      </c>
      <c r="B257" s="157" t="s">
        <v>356</v>
      </c>
      <c r="C257" s="147" t="s">
        <v>3511</v>
      </c>
      <c r="D257" s="148">
        <v>2.3135500000000002</v>
      </c>
      <c r="E257" s="148">
        <v>3.1705700000000001</v>
      </c>
      <c r="F257" s="148"/>
      <c r="G257" s="148"/>
      <c r="H257" s="148"/>
      <c r="I257" s="148"/>
      <c r="J257" s="149"/>
      <c r="K257" s="150">
        <v>1.3609107</v>
      </c>
      <c r="L257" s="148">
        <v>1.3704356</v>
      </c>
      <c r="M257" s="148"/>
      <c r="N257" s="148"/>
      <c r="O257" s="148" t="s">
        <v>3490</v>
      </c>
      <c r="P257" s="148"/>
      <c r="Q257" s="149"/>
      <c r="R257" s="148"/>
    </row>
    <row r="258" spans="1:18" x14ac:dyDescent="0.25">
      <c r="A258" s="152" t="s">
        <v>347</v>
      </c>
      <c r="B258" s="159" t="s">
        <v>356</v>
      </c>
      <c r="C258" s="153" t="s">
        <v>3512</v>
      </c>
      <c r="D258" s="154">
        <v>1.2462899999999999</v>
      </c>
      <c r="E258" s="154">
        <v>0.37673000000000001</v>
      </c>
      <c r="F258" s="154"/>
      <c r="G258" s="154"/>
      <c r="H258" s="154"/>
      <c r="I258" s="154"/>
      <c r="J258" s="155"/>
      <c r="K258" s="156">
        <v>0.73311210000000004</v>
      </c>
      <c r="L258" s="154">
        <v>0.30227739999999997</v>
      </c>
      <c r="M258" s="154"/>
      <c r="N258" s="154"/>
      <c r="O258" s="154" t="s">
        <v>3490</v>
      </c>
      <c r="P258" s="154"/>
      <c r="Q258" s="155"/>
      <c r="R258" s="148"/>
    </row>
    <row r="259" spans="1:18" x14ac:dyDescent="0.25">
      <c r="A259" s="142" t="s">
        <v>357</v>
      </c>
      <c r="B259" s="157" t="s">
        <v>358</v>
      </c>
      <c r="C259" s="147" t="s">
        <v>2154</v>
      </c>
      <c r="D259" s="148">
        <v>2.1241199999999996</v>
      </c>
      <c r="E259" s="148">
        <v>0.45929000000000009</v>
      </c>
      <c r="F259" s="148">
        <v>-1.6698</v>
      </c>
      <c r="G259" s="148">
        <v>-4.836E-2</v>
      </c>
      <c r="H259" s="148">
        <v>1.7181600000000004</v>
      </c>
      <c r="I259" s="148"/>
      <c r="J259" s="149"/>
      <c r="K259" s="150">
        <v>1.2494822000000001</v>
      </c>
      <c r="L259" s="148">
        <v>0.21622559999999999</v>
      </c>
      <c r="M259" s="148">
        <v>0.7861146</v>
      </c>
      <c r="N259" s="148">
        <v>2.27662622220654E-2</v>
      </c>
      <c r="O259" s="148">
        <v>-0.80888090000000001</v>
      </c>
      <c r="P259" s="148" t="s">
        <v>3490</v>
      </c>
      <c r="Q259" s="149" t="s">
        <v>3490</v>
      </c>
      <c r="R259" s="148"/>
    </row>
    <row r="260" spans="1:18" x14ac:dyDescent="0.25">
      <c r="A260" s="142" t="s">
        <v>357</v>
      </c>
      <c r="B260" s="157" t="s">
        <v>358</v>
      </c>
      <c r="C260" s="147" t="s">
        <v>2156</v>
      </c>
      <c r="D260" s="148">
        <v>2.65998</v>
      </c>
      <c r="E260" s="148">
        <v>0.12625</v>
      </c>
      <c r="F260" s="148">
        <v>-2.4172699999999998</v>
      </c>
      <c r="G260" s="148">
        <v>-1.9510000000000003E-2</v>
      </c>
      <c r="H260" s="148">
        <v>2.4367799999999997</v>
      </c>
      <c r="I260" s="148"/>
      <c r="J260" s="149"/>
      <c r="K260" s="150">
        <v>1.5646968999999999</v>
      </c>
      <c r="L260" s="148">
        <v>4.7463370206936202E-2</v>
      </c>
      <c r="M260" s="148">
        <v>0.90875499999999998</v>
      </c>
      <c r="N260" s="148">
        <v>7.3355664254710802E-3</v>
      </c>
      <c r="O260" s="148">
        <v>-0.91609050000000003</v>
      </c>
      <c r="P260" s="148" t="s">
        <v>3490</v>
      </c>
      <c r="Q260" s="149" t="s">
        <v>3490</v>
      </c>
      <c r="R260" s="148"/>
    </row>
    <row r="261" spans="1:18" x14ac:dyDescent="0.25">
      <c r="A261" s="142" t="s">
        <v>357</v>
      </c>
      <c r="B261" s="157" t="s">
        <v>358</v>
      </c>
      <c r="C261" s="147" t="s">
        <v>2158</v>
      </c>
      <c r="D261" s="148">
        <v>2.8147000000000002</v>
      </c>
      <c r="E261" s="148">
        <v>-2.1409999999999998E-2</v>
      </c>
      <c r="F261" s="148">
        <v>-2.5819200000000002</v>
      </c>
      <c r="G261" s="148">
        <v>-0.16988</v>
      </c>
      <c r="H261" s="148">
        <v>2.7517999999999998</v>
      </c>
      <c r="I261" s="148"/>
      <c r="J261" s="149"/>
      <c r="K261" s="150">
        <v>1.6557086999999999</v>
      </c>
      <c r="L261" s="148">
        <v>-7.6051425828180703E-3</v>
      </c>
      <c r="M261" s="148">
        <v>0.91729669999999996</v>
      </c>
      <c r="N261" s="148">
        <v>6.0353335228854402E-2</v>
      </c>
      <c r="O261" s="148">
        <v>-0.97765000000000002</v>
      </c>
      <c r="P261" s="148" t="s">
        <v>3490</v>
      </c>
      <c r="Q261" s="149" t="s">
        <v>3490</v>
      </c>
      <c r="R261" s="148"/>
    </row>
    <row r="262" spans="1:18" x14ac:dyDescent="0.25">
      <c r="A262" s="142" t="s">
        <v>357</v>
      </c>
      <c r="B262" s="157" t="s">
        <v>358</v>
      </c>
      <c r="C262" s="147" t="s">
        <v>2160</v>
      </c>
      <c r="D262" s="148">
        <v>1.0626100000000003</v>
      </c>
      <c r="E262" s="148">
        <v>-0.37867000000000006</v>
      </c>
      <c r="F262" s="148">
        <v>-1.0796099999999997</v>
      </c>
      <c r="G262" s="148">
        <v>-0.19270000000000001</v>
      </c>
      <c r="H262" s="148">
        <v>1.2723100000000003</v>
      </c>
      <c r="I262" s="148"/>
      <c r="J262" s="149"/>
      <c r="K262" s="150">
        <v>0.62506640000000002</v>
      </c>
      <c r="L262" s="148">
        <v>-0.35635939999999999</v>
      </c>
      <c r="M262" s="148">
        <v>1.0159975999999999</v>
      </c>
      <c r="N262" s="148">
        <v>0.18134700000000001</v>
      </c>
      <c r="O262" s="148">
        <v>-1.1973446999999999</v>
      </c>
      <c r="P262" s="148" t="s">
        <v>3490</v>
      </c>
      <c r="Q262" s="149" t="s">
        <v>3490</v>
      </c>
      <c r="R262" s="148"/>
    </row>
    <row r="263" spans="1:18" x14ac:dyDescent="0.25">
      <c r="A263" s="142" t="s">
        <v>357</v>
      </c>
      <c r="B263" s="157" t="s">
        <v>358</v>
      </c>
      <c r="C263" s="147" t="s">
        <v>2162</v>
      </c>
      <c r="D263" s="148">
        <v>2.1804000000000001</v>
      </c>
      <c r="E263" s="148">
        <v>0.16827</v>
      </c>
      <c r="F263" s="148">
        <v>-1.8654900000000001</v>
      </c>
      <c r="G263" s="148">
        <v>-7.018000000000002E-2</v>
      </c>
      <c r="H263" s="148">
        <v>1.93567</v>
      </c>
      <c r="I263" s="148"/>
      <c r="J263" s="149"/>
      <c r="K263" s="150">
        <v>1.2825865999999999</v>
      </c>
      <c r="L263" s="148">
        <v>7.7172176031315001E-2</v>
      </c>
      <c r="M263" s="148">
        <v>0.85557119999999998</v>
      </c>
      <c r="N263" s="148">
        <v>3.2185726924633E-2</v>
      </c>
      <c r="O263" s="148">
        <v>-0.88775689999999996</v>
      </c>
      <c r="P263" s="148" t="s">
        <v>3490</v>
      </c>
      <c r="Q263" s="149" t="s">
        <v>3490</v>
      </c>
      <c r="R263" s="148"/>
    </row>
    <row r="264" spans="1:18" x14ac:dyDescent="0.25">
      <c r="A264" s="142" t="s">
        <v>357</v>
      </c>
      <c r="B264" s="157" t="s">
        <v>358</v>
      </c>
      <c r="C264" s="147" t="s">
        <v>2164</v>
      </c>
      <c r="D264" s="148">
        <v>1.9013500000000001</v>
      </c>
      <c r="E264" s="148">
        <v>-0.26486000000000004</v>
      </c>
      <c r="F264" s="148">
        <v>-1.93733</v>
      </c>
      <c r="G264" s="148">
        <v>-0.21435000000000001</v>
      </c>
      <c r="H264" s="148">
        <v>2.1516799999999998</v>
      </c>
      <c r="I264" s="148"/>
      <c r="J264" s="149"/>
      <c r="K264" s="150">
        <v>1.1184438999999999</v>
      </c>
      <c r="L264" s="148">
        <v>-0.1393017</v>
      </c>
      <c r="M264" s="148">
        <v>1.0189212999999999</v>
      </c>
      <c r="N264" s="148">
        <v>0.1127355</v>
      </c>
      <c r="O264" s="148">
        <v>-1.1316568</v>
      </c>
      <c r="P264" s="148" t="s">
        <v>3490</v>
      </c>
      <c r="Q264" s="149" t="s">
        <v>3490</v>
      </c>
      <c r="R264" s="148"/>
    </row>
    <row r="265" spans="1:18" x14ac:dyDescent="0.25">
      <c r="A265" s="142" t="s">
        <v>357</v>
      </c>
      <c r="B265" s="157" t="s">
        <v>358</v>
      </c>
      <c r="C265" s="147" t="s">
        <v>2166</v>
      </c>
      <c r="D265" s="148">
        <v>0.80498000000000014</v>
      </c>
      <c r="E265" s="148">
        <v>-0.58757000000000015</v>
      </c>
      <c r="F265" s="148">
        <v>-0.57072999999999996</v>
      </c>
      <c r="G265" s="148">
        <v>-0.23819000000000001</v>
      </c>
      <c r="H265" s="148">
        <v>0.80891999999999997</v>
      </c>
      <c r="I265" s="148"/>
      <c r="J265" s="149"/>
      <c r="K265" s="150">
        <v>0.47351729999999997</v>
      </c>
      <c r="L265" s="148">
        <v>-0.72991640000000002</v>
      </c>
      <c r="M265" s="148">
        <v>0.7090052</v>
      </c>
      <c r="N265" s="148">
        <v>0.29589110000000002</v>
      </c>
      <c r="O265" s="148">
        <v>-1.0048964</v>
      </c>
      <c r="P265" s="148" t="s">
        <v>3490</v>
      </c>
      <c r="Q265" s="149" t="s">
        <v>3490</v>
      </c>
      <c r="R265" s="148"/>
    </row>
    <row r="266" spans="1:18" x14ac:dyDescent="0.25">
      <c r="A266" s="142" t="s">
        <v>357</v>
      </c>
      <c r="B266" s="157" t="s">
        <v>358</v>
      </c>
      <c r="C266" s="147" t="s">
        <v>2168</v>
      </c>
      <c r="D266" s="148">
        <v>0.71745000000000003</v>
      </c>
      <c r="E266" s="148">
        <v>-0.26449</v>
      </c>
      <c r="F266" s="148">
        <v>-0.46632000000000001</v>
      </c>
      <c r="G266" s="148">
        <v>-0.18976999999999999</v>
      </c>
      <c r="H266" s="148">
        <v>0.65609000000000017</v>
      </c>
      <c r="I266" s="148"/>
      <c r="J266" s="149"/>
      <c r="K266" s="150">
        <v>0.42202990000000001</v>
      </c>
      <c r="L266" s="148">
        <v>-0.36864659999999999</v>
      </c>
      <c r="M266" s="148">
        <v>0.64997240000000001</v>
      </c>
      <c r="N266" s="148">
        <v>0.26450230000000002</v>
      </c>
      <c r="O266" s="148">
        <v>-0.91447469999999997</v>
      </c>
      <c r="P266" s="148" t="s">
        <v>3490</v>
      </c>
      <c r="Q266" s="149" t="s">
        <v>3490</v>
      </c>
      <c r="R266" s="148"/>
    </row>
    <row r="267" spans="1:18" x14ac:dyDescent="0.25">
      <c r="A267" s="142" t="s">
        <v>357</v>
      </c>
      <c r="B267" s="157" t="s">
        <v>358</v>
      </c>
      <c r="C267" s="147" t="s">
        <v>2170</v>
      </c>
      <c r="D267" s="148">
        <v>2.3872700000000004</v>
      </c>
      <c r="E267" s="148">
        <v>5.5960000000000003E-2</v>
      </c>
      <c r="F267" s="148">
        <v>-2.3896799999999998</v>
      </c>
      <c r="G267" s="148">
        <v>-0.15809000000000001</v>
      </c>
      <c r="H267" s="148">
        <v>2.5477699999999999</v>
      </c>
      <c r="I267" s="148"/>
      <c r="J267" s="149"/>
      <c r="K267" s="150">
        <v>1.4042779000000001</v>
      </c>
      <c r="L267" s="148">
        <v>2.34428948036428E-2</v>
      </c>
      <c r="M267" s="148">
        <v>1.0010068999999999</v>
      </c>
      <c r="N267" s="148">
        <v>6.6221837579954604E-2</v>
      </c>
      <c r="O267" s="148">
        <v>-1.0672287</v>
      </c>
      <c r="P267" s="148" t="s">
        <v>3490</v>
      </c>
      <c r="Q267" s="149" t="s">
        <v>3490</v>
      </c>
      <c r="R267" s="148"/>
    </row>
    <row r="268" spans="1:18" x14ac:dyDescent="0.25">
      <c r="A268" s="142" t="s">
        <v>357</v>
      </c>
      <c r="B268" s="157" t="s">
        <v>358</v>
      </c>
      <c r="C268" s="147" t="s">
        <v>2172</v>
      </c>
      <c r="D268" s="148">
        <v>1.63601</v>
      </c>
      <c r="E268" s="148">
        <v>0.23367000000000004</v>
      </c>
      <c r="F268" s="148">
        <v>-1.46156</v>
      </c>
      <c r="G268" s="148">
        <v>-6.3100000000000017E-2</v>
      </c>
      <c r="H268" s="148">
        <v>1.5246599999999999</v>
      </c>
      <c r="I268" s="148"/>
      <c r="J268" s="149"/>
      <c r="K268" s="150">
        <v>0.96236029999999995</v>
      </c>
      <c r="L268" s="148">
        <v>0.1428276</v>
      </c>
      <c r="M268" s="148">
        <v>0.89336879999999996</v>
      </c>
      <c r="N268" s="148">
        <v>3.8569601562372803E-2</v>
      </c>
      <c r="O268" s="148">
        <v>-0.9319385</v>
      </c>
      <c r="P268" s="148" t="s">
        <v>3490</v>
      </c>
      <c r="Q268" s="149" t="s">
        <v>3490</v>
      </c>
      <c r="R268" s="148"/>
    </row>
    <row r="269" spans="1:18" x14ac:dyDescent="0.25">
      <c r="A269" s="142" t="s">
        <v>357</v>
      </c>
      <c r="B269" s="157" t="s">
        <v>358</v>
      </c>
      <c r="C269" s="147" t="s">
        <v>2174</v>
      </c>
      <c r="D269" s="148">
        <v>1.45845</v>
      </c>
      <c r="E269" s="148">
        <v>0.15995000000000004</v>
      </c>
      <c r="F269" s="148">
        <v>-1.44818</v>
      </c>
      <c r="G269" s="148">
        <v>-9.4990000000000005E-2</v>
      </c>
      <c r="H269" s="148">
        <v>1.5431699999999999</v>
      </c>
      <c r="I269" s="148"/>
      <c r="J269" s="149"/>
      <c r="K269" s="150">
        <v>0.8579137</v>
      </c>
      <c r="L269" s="148">
        <v>0.10966869999999999</v>
      </c>
      <c r="M269" s="148">
        <v>0.99295560000000005</v>
      </c>
      <c r="N269" s="148">
        <v>6.5132451913977499E-2</v>
      </c>
      <c r="O269" s="148">
        <v>-1.0580881</v>
      </c>
      <c r="P269" s="148" t="s">
        <v>3490</v>
      </c>
      <c r="Q269" s="149" t="s">
        <v>3490</v>
      </c>
      <c r="R269" s="148"/>
    </row>
    <row r="270" spans="1:18" x14ac:dyDescent="0.25">
      <c r="A270" s="142" t="s">
        <v>357</v>
      </c>
      <c r="B270" s="157" t="s">
        <v>358</v>
      </c>
      <c r="C270" s="147" t="s">
        <v>2176</v>
      </c>
      <c r="D270" s="148">
        <v>2.12107</v>
      </c>
      <c r="E270" s="148">
        <v>-0.20404</v>
      </c>
      <c r="F270" s="148">
        <v>-2.24533</v>
      </c>
      <c r="G270" s="148">
        <v>-0.18543000000000001</v>
      </c>
      <c r="H270" s="148">
        <v>2.4307600000000003</v>
      </c>
      <c r="I270" s="148"/>
      <c r="J270" s="149"/>
      <c r="K270" s="150">
        <v>1.2476882352941177</v>
      </c>
      <c r="L270" s="148">
        <v>-9.6196730895255697E-2</v>
      </c>
      <c r="M270" s="148">
        <v>1.0585836393895534</v>
      </c>
      <c r="N270" s="148">
        <v>8.7422857331441214E-2</v>
      </c>
      <c r="O270" s="148">
        <v>-1.1460064967209946</v>
      </c>
      <c r="P270" s="148"/>
      <c r="Q270" s="149"/>
      <c r="R270" s="148"/>
    </row>
    <row r="271" spans="1:18" x14ac:dyDescent="0.25">
      <c r="A271" s="142" t="s">
        <v>357</v>
      </c>
      <c r="B271" s="157" t="s">
        <v>358</v>
      </c>
      <c r="C271" s="147" t="s">
        <v>2178</v>
      </c>
      <c r="D271" s="148">
        <v>2.0189300000000006</v>
      </c>
      <c r="E271" s="148">
        <v>7.1650000000000005E-2</v>
      </c>
      <c r="F271" s="148">
        <v>-1.9993099999999999</v>
      </c>
      <c r="G271" s="148">
        <v>-0.10965</v>
      </c>
      <c r="H271" s="148">
        <v>2.1089599999999997</v>
      </c>
      <c r="I271" s="148"/>
      <c r="J271" s="149"/>
      <c r="K271" s="150">
        <v>1.1876058823529416</v>
      </c>
      <c r="L271" s="148">
        <v>3.5489095709113239E-2</v>
      </c>
      <c r="M271" s="148">
        <v>0.99028198104936738</v>
      </c>
      <c r="N271" s="148">
        <v>5.431094688770783E-2</v>
      </c>
      <c r="O271" s="148">
        <v>-1.0445929279370751</v>
      </c>
      <c r="P271" s="148"/>
      <c r="Q271" s="149"/>
      <c r="R271" s="148"/>
    </row>
    <row r="272" spans="1:18" x14ac:dyDescent="0.25">
      <c r="A272" s="142" t="s">
        <v>357</v>
      </c>
      <c r="B272" s="157" t="s">
        <v>358</v>
      </c>
      <c r="C272" s="147" t="s">
        <v>2180</v>
      </c>
      <c r="D272" s="148">
        <v>2.1292900000000006</v>
      </c>
      <c r="E272" s="148">
        <v>-0.38025999999999999</v>
      </c>
      <c r="F272" s="148">
        <v>-2.0660699999999994</v>
      </c>
      <c r="G272" s="148">
        <v>-0.17122000000000001</v>
      </c>
      <c r="H272" s="148">
        <v>2.2372899999999998</v>
      </c>
      <c r="I272" s="148"/>
      <c r="J272" s="149"/>
      <c r="K272" s="150">
        <v>1.2525235294117651</v>
      </c>
      <c r="L272" s="148">
        <v>-0.1785853500462595</v>
      </c>
      <c r="M272" s="148">
        <v>0.97030935194360513</v>
      </c>
      <c r="N272" s="148">
        <v>8.0411780452639123E-2</v>
      </c>
      <c r="O272" s="148">
        <v>-1.0507211323962444</v>
      </c>
      <c r="P272" s="148"/>
      <c r="Q272" s="149"/>
      <c r="R272" s="148"/>
    </row>
    <row r="273" spans="1:18" x14ac:dyDescent="0.25">
      <c r="A273" s="142" t="s">
        <v>357</v>
      </c>
      <c r="B273" s="157" t="s">
        <v>358</v>
      </c>
      <c r="C273" s="147" t="s">
        <v>2182</v>
      </c>
      <c r="D273" s="148">
        <v>0.77153000000000016</v>
      </c>
      <c r="E273" s="148">
        <v>-0.58784999999999987</v>
      </c>
      <c r="F273" s="148">
        <v>-0.73848999999999998</v>
      </c>
      <c r="G273" s="148">
        <v>-0.17366999999999996</v>
      </c>
      <c r="H273" s="148">
        <v>0.91215999999999997</v>
      </c>
      <c r="I273" s="148"/>
      <c r="J273" s="149"/>
      <c r="K273" s="150">
        <v>0.45384117647058836</v>
      </c>
      <c r="L273" s="148">
        <v>-0.76192759840835711</v>
      </c>
      <c r="M273" s="148">
        <v>0.95717600093321042</v>
      </c>
      <c r="N273" s="148">
        <v>0.22509818153539063</v>
      </c>
      <c r="O273" s="148">
        <v>-1.1822741824686012</v>
      </c>
      <c r="P273" s="148"/>
      <c r="Q273" s="149"/>
      <c r="R273" s="148"/>
    </row>
    <row r="274" spans="1:18" x14ac:dyDescent="0.25">
      <c r="A274" s="142" t="s">
        <v>357</v>
      </c>
      <c r="B274" s="157" t="s">
        <v>359</v>
      </c>
      <c r="C274" s="147" t="s">
        <v>2144</v>
      </c>
      <c r="D274" s="148">
        <v>1.33979</v>
      </c>
      <c r="E274" s="148">
        <v>-5.0540000000000009E-2</v>
      </c>
      <c r="F274" s="148">
        <v>-1.00349</v>
      </c>
      <c r="G274" s="148">
        <v>-0.64424000000000003</v>
      </c>
      <c r="H274" s="148">
        <v>0.57018000000000013</v>
      </c>
      <c r="I274" s="148">
        <v>8.8919999999999985E-2</v>
      </c>
      <c r="J274" s="149">
        <v>0.98863000000000001</v>
      </c>
      <c r="K274" s="150">
        <v>0.78811439999999999</v>
      </c>
      <c r="L274" s="148">
        <v>-3.7719771826821201E-2</v>
      </c>
      <c r="M274" s="148">
        <v>0.74898940000000003</v>
      </c>
      <c r="N274" s="148">
        <v>0.48084739999999998</v>
      </c>
      <c r="O274" s="148">
        <v>-0.4255736</v>
      </c>
      <c r="P274" s="148">
        <v>-6.6369433546280998E-2</v>
      </c>
      <c r="Q274" s="149">
        <v>-0.73789389999999999</v>
      </c>
      <c r="R274" s="148"/>
    </row>
    <row r="275" spans="1:18" x14ac:dyDescent="0.25">
      <c r="A275" s="142" t="s">
        <v>357</v>
      </c>
      <c r="B275" s="157" t="s">
        <v>359</v>
      </c>
      <c r="C275" s="147" t="s">
        <v>2146</v>
      </c>
      <c r="D275" s="148">
        <v>2.2839200000000002</v>
      </c>
      <c r="E275" s="148">
        <v>-0.56689999999999996</v>
      </c>
      <c r="F275" s="148">
        <v>-1.57535</v>
      </c>
      <c r="G275" s="148">
        <v>-0.89236999999999989</v>
      </c>
      <c r="H275" s="148">
        <v>0.55595000000000006</v>
      </c>
      <c r="I275" s="148">
        <v>0.44793000000000011</v>
      </c>
      <c r="J275" s="149">
        <v>1.4638399999999996</v>
      </c>
      <c r="K275" s="150">
        <v>1.3434820999999999</v>
      </c>
      <c r="L275" s="148">
        <v>-0.24821579999999999</v>
      </c>
      <c r="M275" s="148">
        <v>0.68975660000000005</v>
      </c>
      <c r="N275" s="148">
        <v>0.39071800000000001</v>
      </c>
      <c r="O275" s="148">
        <v>-0.2434209</v>
      </c>
      <c r="P275" s="148">
        <v>-0.1961213</v>
      </c>
      <c r="Q275" s="149">
        <v>-0.64093239999999996</v>
      </c>
      <c r="R275" s="148"/>
    </row>
    <row r="276" spans="1:18" x14ac:dyDescent="0.25">
      <c r="A276" s="142" t="s">
        <v>357</v>
      </c>
      <c r="B276" s="157" t="s">
        <v>359</v>
      </c>
      <c r="C276" s="147" t="s">
        <v>2148</v>
      </c>
      <c r="D276" s="148">
        <v>2.5780699999999999</v>
      </c>
      <c r="E276" s="148">
        <v>3.1789999999999992E-2</v>
      </c>
      <c r="F276" s="148">
        <v>-1.5855900000000001</v>
      </c>
      <c r="G276" s="148">
        <v>-1.09721</v>
      </c>
      <c r="H276" s="148">
        <v>0.43409999999999999</v>
      </c>
      <c r="I276" s="148">
        <v>0.38606000000000001</v>
      </c>
      <c r="J276" s="149">
        <v>1.8626400000000001</v>
      </c>
      <c r="K276" s="150">
        <v>1.5165112000000001</v>
      </c>
      <c r="L276" s="148">
        <v>1.23316906457538E-2</v>
      </c>
      <c r="M276" s="148">
        <v>0.61503079999999999</v>
      </c>
      <c r="N276" s="148">
        <v>0.42559229999999998</v>
      </c>
      <c r="O276" s="148">
        <v>-0.16838349999999999</v>
      </c>
      <c r="P276" s="148">
        <v>-0.14974870000000001</v>
      </c>
      <c r="Q276" s="149">
        <v>-0.72249079999999999</v>
      </c>
      <c r="R276" s="148"/>
    </row>
    <row r="277" spans="1:18" x14ac:dyDescent="0.25">
      <c r="A277" s="142" t="s">
        <v>357</v>
      </c>
      <c r="B277" s="157" t="s">
        <v>359</v>
      </c>
      <c r="C277" s="147" t="s">
        <v>2150</v>
      </c>
      <c r="D277" s="148">
        <v>1.36344</v>
      </c>
      <c r="E277" s="148">
        <v>-0.17651</v>
      </c>
      <c r="F277" s="148">
        <v>-0.68254000000000004</v>
      </c>
      <c r="G277" s="148">
        <v>-0.80254999999999999</v>
      </c>
      <c r="H277" s="148">
        <v>0.25205</v>
      </c>
      <c r="I277" s="148">
        <v>0.35797000000000001</v>
      </c>
      <c r="J277" s="149">
        <v>0.87506999999999979</v>
      </c>
      <c r="K277" s="150">
        <v>0.80202629999999997</v>
      </c>
      <c r="L277" s="148">
        <v>-0.1294622</v>
      </c>
      <c r="M277" s="148">
        <v>0.50060099999999996</v>
      </c>
      <c r="N277" s="148">
        <v>0.58862040000000004</v>
      </c>
      <c r="O277" s="148">
        <v>-0.18486150000000001</v>
      </c>
      <c r="P277" s="148">
        <v>-0.26255040000000002</v>
      </c>
      <c r="Q277" s="149">
        <v>-0.64180950000000003</v>
      </c>
      <c r="R277" s="148"/>
    </row>
    <row r="278" spans="1:18" x14ac:dyDescent="0.25">
      <c r="A278" s="142" t="s">
        <v>357</v>
      </c>
      <c r="B278" s="157" t="s">
        <v>359</v>
      </c>
      <c r="C278" s="147" t="s">
        <v>2152</v>
      </c>
      <c r="D278" s="148">
        <v>2.4697800000000005</v>
      </c>
      <c r="E278" s="148">
        <v>0.20680000000000001</v>
      </c>
      <c r="F278" s="148">
        <v>-1.93008</v>
      </c>
      <c r="G278" s="148">
        <v>-1.0161699999999998</v>
      </c>
      <c r="H278" s="148">
        <v>0.44268000000000002</v>
      </c>
      <c r="I278" s="148">
        <v>0.63837999999999984</v>
      </c>
      <c r="J278" s="149">
        <v>1.8651899999999997</v>
      </c>
      <c r="K278" s="150">
        <v>1.4528117647058827</v>
      </c>
      <c r="L278" s="148">
        <v>8.3732154280948087E-2</v>
      </c>
      <c r="M278" s="148">
        <v>0.78147851225615217</v>
      </c>
      <c r="N278" s="148">
        <v>0.41144150491136844</v>
      </c>
      <c r="O278" s="148">
        <v>-0.17923863663970066</v>
      </c>
      <c r="P278" s="148">
        <v>-0.25847646349067516</v>
      </c>
      <c r="Q278" s="149">
        <v>-0.75520491703714476</v>
      </c>
      <c r="R278" s="148"/>
    </row>
    <row r="279" spans="1:18" x14ac:dyDescent="0.25">
      <c r="A279" s="142" t="s">
        <v>357</v>
      </c>
      <c r="B279" s="157" t="s">
        <v>360</v>
      </c>
      <c r="C279" s="147" t="s">
        <v>2184</v>
      </c>
      <c r="D279" s="148">
        <v>1.6152500000000001</v>
      </c>
      <c r="E279" s="148">
        <v>3.449E-2</v>
      </c>
      <c r="F279" s="148">
        <v>-4.3849299999999998</v>
      </c>
      <c r="G279" s="148">
        <v>0.28449000000000002</v>
      </c>
      <c r="H279" s="148">
        <v>4.100439999999999</v>
      </c>
      <c r="I279" s="148"/>
      <c r="J279" s="149"/>
      <c r="K279" s="150">
        <v>0.95014940000000003</v>
      </c>
      <c r="L279" s="148">
        <v>2.1351048191706301E-2</v>
      </c>
      <c r="M279" s="148">
        <v>2.7146979</v>
      </c>
      <c r="N279" s="148">
        <v>-0.1761267</v>
      </c>
      <c r="O279" s="148">
        <v>-2.5385713000000001</v>
      </c>
      <c r="P279" s="148" t="s">
        <v>3490</v>
      </c>
      <c r="Q279" s="149" t="s">
        <v>3490</v>
      </c>
      <c r="R279" s="148"/>
    </row>
    <row r="280" spans="1:18" x14ac:dyDescent="0.25">
      <c r="A280" s="142" t="s">
        <v>357</v>
      </c>
      <c r="B280" s="157" t="s">
        <v>360</v>
      </c>
      <c r="C280" s="147" t="s">
        <v>2210</v>
      </c>
      <c r="D280" s="148">
        <v>1.4247700000000001</v>
      </c>
      <c r="E280" s="148">
        <v>-6.1859999999999998E-2</v>
      </c>
      <c r="F280" s="148">
        <v>-4.7718999999999996</v>
      </c>
      <c r="G280" s="148">
        <v>9.289E-2</v>
      </c>
      <c r="H280" s="148">
        <v>4.679009999999999</v>
      </c>
      <c r="I280" s="148"/>
      <c r="J280" s="149"/>
      <c r="K280" s="150">
        <v>0.83810000000000007</v>
      </c>
      <c r="L280" s="148">
        <v>-4.3417534058128676E-2</v>
      </c>
      <c r="M280" s="148">
        <v>3.3492423338503752</v>
      </c>
      <c r="N280" s="148">
        <v>-6.5196487854179974E-2</v>
      </c>
      <c r="O280" s="148">
        <v>-3.2840458459961948</v>
      </c>
      <c r="P280" s="148"/>
      <c r="Q280" s="149"/>
      <c r="R280" s="148"/>
    </row>
    <row r="281" spans="1:18" x14ac:dyDescent="0.25">
      <c r="A281" s="142" t="s">
        <v>357</v>
      </c>
      <c r="B281" s="157" t="s">
        <v>360</v>
      </c>
      <c r="C281" s="147" t="s">
        <v>2188</v>
      </c>
      <c r="D281" s="148">
        <v>1.7645999999999999</v>
      </c>
      <c r="E281" s="148">
        <v>-0.34461000000000008</v>
      </c>
      <c r="F281" s="148">
        <v>-4.771902495200008</v>
      </c>
      <c r="G281" s="148">
        <v>9.2892261599999984E-2</v>
      </c>
      <c r="H281" s="148">
        <v>4.6790102336000077</v>
      </c>
      <c r="I281" s="148"/>
      <c r="J281" s="149"/>
      <c r="K281" s="150">
        <v>1.0380018</v>
      </c>
      <c r="L281" s="148">
        <v>-0.19528789999999999</v>
      </c>
      <c r="M281" s="148">
        <v>2.7042356000000001</v>
      </c>
      <c r="N281" s="148">
        <v>-5.2642013953159601E-2</v>
      </c>
      <c r="O281" s="148">
        <v>-2.6515936</v>
      </c>
      <c r="P281" s="148" t="s">
        <v>3490</v>
      </c>
      <c r="Q281" s="149" t="s">
        <v>3490</v>
      </c>
      <c r="R281" s="148"/>
    </row>
    <row r="282" spans="1:18" x14ac:dyDescent="0.25">
      <c r="A282" s="142" t="s">
        <v>357</v>
      </c>
      <c r="B282" s="157" t="s">
        <v>360</v>
      </c>
      <c r="C282" s="147" t="s">
        <v>2190</v>
      </c>
      <c r="D282" s="148">
        <v>1.72014</v>
      </c>
      <c r="E282" s="148">
        <v>0.31012000000000001</v>
      </c>
      <c r="F282" s="148">
        <v>-4.6510117479666642</v>
      </c>
      <c r="G282" s="148">
        <v>0.30536702133333415</v>
      </c>
      <c r="H282" s="148">
        <v>4.3456447266333385</v>
      </c>
      <c r="I282" s="148"/>
      <c r="J282" s="149"/>
      <c r="K282" s="150">
        <v>1.0118488000000001</v>
      </c>
      <c r="L282" s="148">
        <v>0.18028630000000001</v>
      </c>
      <c r="M282" s="148">
        <v>2.7038519000000001</v>
      </c>
      <c r="N282" s="148">
        <v>-0.17752419999999999</v>
      </c>
      <c r="O282" s="148">
        <v>-2.5263277</v>
      </c>
      <c r="P282" s="148" t="s">
        <v>3490</v>
      </c>
      <c r="Q282" s="149" t="s">
        <v>3490</v>
      </c>
      <c r="R282" s="148"/>
    </row>
    <row r="283" spans="1:18" x14ac:dyDescent="0.25">
      <c r="A283" s="142" t="s">
        <v>357</v>
      </c>
      <c r="B283" s="157" t="s">
        <v>361</v>
      </c>
      <c r="C283" s="147" t="s">
        <v>2192</v>
      </c>
      <c r="D283" s="148">
        <v>1.3495499999999998</v>
      </c>
      <c r="E283" s="148">
        <v>-0.39718999999999999</v>
      </c>
      <c r="F283" s="148">
        <v>-3.5050400000000002</v>
      </c>
      <c r="G283" s="148">
        <v>0.17660999999999999</v>
      </c>
      <c r="H283" s="148">
        <v>3.32843</v>
      </c>
      <c r="I283" s="148"/>
      <c r="J283" s="149"/>
      <c r="K283" s="150">
        <v>0.79385519999999998</v>
      </c>
      <c r="L283" s="148">
        <v>-0.29431049999999997</v>
      </c>
      <c r="M283" s="148">
        <v>2.5971877000000001</v>
      </c>
      <c r="N283" s="148">
        <v>-0.1308628</v>
      </c>
      <c r="O283" s="148">
        <v>-2.4663249</v>
      </c>
      <c r="P283" s="148" t="s">
        <v>3490</v>
      </c>
      <c r="Q283" s="149" t="s">
        <v>3490</v>
      </c>
      <c r="R283" s="148"/>
    </row>
    <row r="284" spans="1:18" x14ac:dyDescent="0.25">
      <c r="A284" s="142" t="s">
        <v>357</v>
      </c>
      <c r="B284" s="157" t="s">
        <v>361</v>
      </c>
      <c r="C284" s="147" t="s">
        <v>2194</v>
      </c>
      <c r="D284" s="148">
        <v>1.6522399999999997</v>
      </c>
      <c r="E284" s="148">
        <v>0.22678999999999999</v>
      </c>
      <c r="F284" s="148">
        <v>-3.7781099999999994</v>
      </c>
      <c r="G284" s="148">
        <v>0.26029999999999998</v>
      </c>
      <c r="H284" s="148">
        <v>3.5178099999999999</v>
      </c>
      <c r="I284" s="148"/>
      <c r="J284" s="149"/>
      <c r="K284" s="150">
        <v>0.97190799999999999</v>
      </c>
      <c r="L284" s="148">
        <v>0.13726369999999999</v>
      </c>
      <c r="M284" s="148">
        <v>2.2866515999999999</v>
      </c>
      <c r="N284" s="148">
        <v>-0.1575463</v>
      </c>
      <c r="O284" s="148">
        <v>-2.1291053999999998</v>
      </c>
      <c r="P284" s="148" t="s">
        <v>3490</v>
      </c>
      <c r="Q284" s="149" t="s">
        <v>3490</v>
      </c>
      <c r="R284" s="148"/>
    </row>
    <row r="285" spans="1:18" x14ac:dyDescent="0.25">
      <c r="A285" s="142" t="s">
        <v>357</v>
      </c>
      <c r="B285" s="157" t="s">
        <v>361</v>
      </c>
      <c r="C285" s="147" t="s">
        <v>2196</v>
      </c>
      <c r="D285" s="148">
        <v>1.6385799999999999</v>
      </c>
      <c r="E285" s="148">
        <v>-0.78331999999999979</v>
      </c>
      <c r="F285" s="148">
        <v>-3.2498399999999998</v>
      </c>
      <c r="G285" s="148">
        <v>-0.18717000000000003</v>
      </c>
      <c r="H285" s="148">
        <v>3.4370100000000008</v>
      </c>
      <c r="I285" s="148"/>
      <c r="J285" s="149"/>
      <c r="K285" s="150">
        <v>0.96387339999999999</v>
      </c>
      <c r="L285" s="148">
        <v>-0.47804799999999997</v>
      </c>
      <c r="M285" s="148">
        <v>1.9833183000000001</v>
      </c>
      <c r="N285" s="148">
        <v>0.11422939999999999</v>
      </c>
      <c r="O285" s="148">
        <v>-2.0975476999999998</v>
      </c>
      <c r="P285" s="148" t="s">
        <v>3490</v>
      </c>
      <c r="Q285" s="149" t="s">
        <v>3490</v>
      </c>
      <c r="R285" s="148"/>
    </row>
    <row r="286" spans="1:18" x14ac:dyDescent="0.25">
      <c r="A286" s="142" t="s">
        <v>357</v>
      </c>
      <c r="B286" s="157" t="s">
        <v>361</v>
      </c>
      <c r="C286" s="147" t="s">
        <v>2198</v>
      </c>
      <c r="D286" s="148">
        <v>2.1596199999999994</v>
      </c>
      <c r="E286" s="148">
        <v>0.95372000000000001</v>
      </c>
      <c r="F286" s="148">
        <v>-3.8751099999999998</v>
      </c>
      <c r="G286" s="148">
        <v>0.14663999999999996</v>
      </c>
      <c r="H286" s="148">
        <v>3.7284700000000002</v>
      </c>
      <c r="I286" s="148"/>
      <c r="J286" s="149"/>
      <c r="K286" s="150">
        <v>1.2703633999999999</v>
      </c>
      <c r="L286" s="148">
        <v>0.4416137</v>
      </c>
      <c r="M286" s="148">
        <v>1.7943484999999999</v>
      </c>
      <c r="N286" s="148">
        <v>-6.7902128755854399E-2</v>
      </c>
      <c r="O286" s="148">
        <v>-1.7264463999999999</v>
      </c>
      <c r="P286" s="148" t="s">
        <v>3490</v>
      </c>
      <c r="Q286" s="149" t="s">
        <v>3490</v>
      </c>
      <c r="R286" s="148"/>
    </row>
    <row r="287" spans="1:18" x14ac:dyDescent="0.25">
      <c r="A287" s="142" t="s">
        <v>357</v>
      </c>
      <c r="B287" s="157" t="s">
        <v>361</v>
      </c>
      <c r="C287" s="147" t="s">
        <v>2200</v>
      </c>
      <c r="D287" s="148">
        <v>1.5071000000000003</v>
      </c>
      <c r="E287" s="148">
        <v>0.18965000000000001</v>
      </c>
      <c r="F287" s="148">
        <v>-3.6272700000000002</v>
      </c>
      <c r="G287" s="148">
        <v>0.30170999999999998</v>
      </c>
      <c r="H287" s="148">
        <v>3.3255600000000007</v>
      </c>
      <c r="I287" s="148"/>
      <c r="J287" s="149"/>
      <c r="K287" s="150">
        <v>0.88652941176470612</v>
      </c>
      <c r="L287" s="148">
        <v>0.12583770154601551</v>
      </c>
      <c r="M287" s="148">
        <v>2.4067878707451391</v>
      </c>
      <c r="N287" s="148">
        <v>-0.20019242253334213</v>
      </c>
      <c r="O287" s="148">
        <v>-2.2065954482117975</v>
      </c>
      <c r="P287" s="148"/>
      <c r="Q287" s="149"/>
      <c r="R287" s="148"/>
    </row>
    <row r="288" spans="1:18" x14ac:dyDescent="0.25">
      <c r="A288" s="142" t="s">
        <v>357</v>
      </c>
      <c r="B288" s="157" t="s">
        <v>361</v>
      </c>
      <c r="C288" s="147" t="s">
        <v>2202</v>
      </c>
      <c r="D288" s="148">
        <v>1.0612999999999999</v>
      </c>
      <c r="E288" s="148">
        <v>0.76690999999999998</v>
      </c>
      <c r="F288" s="148">
        <v>-2.4249399999999994</v>
      </c>
      <c r="G288" s="148">
        <v>0.13803000000000001</v>
      </c>
      <c r="H288" s="148">
        <v>2.2869100000000002</v>
      </c>
      <c r="I288" s="148"/>
      <c r="J288" s="149"/>
      <c r="K288" s="150">
        <v>0.62429411764705878</v>
      </c>
      <c r="L288" s="148">
        <v>0.72261377555827766</v>
      </c>
      <c r="M288" s="148">
        <v>2.2848770375954017</v>
      </c>
      <c r="N288" s="148">
        <v>-0.13005747667954398</v>
      </c>
      <c r="O288" s="148">
        <v>-2.1548195609158585</v>
      </c>
      <c r="P288" s="148"/>
      <c r="Q288" s="149"/>
      <c r="R288" s="148"/>
    </row>
    <row r="289" spans="1:18" x14ac:dyDescent="0.25">
      <c r="A289" s="142" t="s">
        <v>357</v>
      </c>
      <c r="B289" s="157" t="s">
        <v>362</v>
      </c>
      <c r="C289" s="147" t="s">
        <v>2204</v>
      </c>
      <c r="D289" s="148">
        <v>1.6620499999999996</v>
      </c>
      <c r="E289" s="148">
        <v>-0.35238999999999998</v>
      </c>
      <c r="F289" s="148">
        <v>-5.2816799999999997</v>
      </c>
      <c r="G289" s="148">
        <v>0.47793000000000002</v>
      </c>
      <c r="H289" s="148">
        <v>4.80375</v>
      </c>
      <c r="I289" s="148"/>
      <c r="J289" s="149"/>
      <c r="K289" s="150">
        <v>0.97767530000000002</v>
      </c>
      <c r="L289" s="148">
        <v>-0.21202427700000001</v>
      </c>
      <c r="M289" s="148">
        <v>3.1778120799999998</v>
      </c>
      <c r="N289" s="148">
        <v>-0.28755598199999999</v>
      </c>
      <c r="O289" s="148">
        <v>-2.8902560990000001</v>
      </c>
      <c r="P289" s="148" t="s">
        <v>3490</v>
      </c>
      <c r="Q289" s="149" t="s">
        <v>3490</v>
      </c>
      <c r="R289" s="148"/>
    </row>
    <row r="290" spans="1:18" x14ac:dyDescent="0.25">
      <c r="A290" s="142" t="s">
        <v>357</v>
      </c>
      <c r="B290" s="157" t="s">
        <v>362</v>
      </c>
      <c r="C290" s="147" t="s">
        <v>2206</v>
      </c>
      <c r="D290" s="148">
        <v>2.4534500000000006</v>
      </c>
      <c r="E290" s="148">
        <v>0.15659000000000001</v>
      </c>
      <c r="F290" s="148">
        <v>-6.7270799999999999</v>
      </c>
      <c r="G290" s="148">
        <v>0.57396000000000003</v>
      </c>
      <c r="H290" s="148">
        <v>6.1531200000000004</v>
      </c>
      <c r="I290" s="148"/>
      <c r="J290" s="149"/>
      <c r="K290" s="150">
        <v>1.4432046000000001</v>
      </c>
      <c r="L290" s="148">
        <v>6.3824720299999999E-2</v>
      </c>
      <c r="M290" s="148">
        <v>2.7418879999999999</v>
      </c>
      <c r="N290" s="148">
        <v>-0.233940064</v>
      </c>
      <c r="O290" s="148">
        <v>-2.5079483159999998</v>
      </c>
      <c r="P290" s="148" t="s">
        <v>3490</v>
      </c>
      <c r="Q290" s="149" t="s">
        <v>3490</v>
      </c>
      <c r="R290" s="148"/>
    </row>
    <row r="291" spans="1:18" x14ac:dyDescent="0.25">
      <c r="A291" s="142" t="s">
        <v>357</v>
      </c>
      <c r="B291" s="157" t="s">
        <v>362</v>
      </c>
      <c r="C291" s="147" t="s">
        <v>2208</v>
      </c>
      <c r="D291" s="148">
        <v>0.98450000000000004</v>
      </c>
      <c r="E291" s="148">
        <v>0.19579999999999995</v>
      </c>
      <c r="F291" s="148">
        <v>-3.5318999999999998</v>
      </c>
      <c r="G291" s="148">
        <v>0.66642000000000001</v>
      </c>
      <c r="H291" s="148">
        <v>2.8654799999999998</v>
      </c>
      <c r="I291" s="148"/>
      <c r="J291" s="149"/>
      <c r="K291" s="150">
        <v>0.57911990000000002</v>
      </c>
      <c r="L291" s="148">
        <v>0.1988858614</v>
      </c>
      <c r="M291" s="148">
        <v>3.5874966599999998</v>
      </c>
      <c r="N291" s="148">
        <v>-0.67691178600000002</v>
      </c>
      <c r="O291" s="148">
        <v>-2.910584879</v>
      </c>
      <c r="P291" s="148" t="s">
        <v>3490</v>
      </c>
      <c r="Q291" s="149" t="s">
        <v>3490</v>
      </c>
      <c r="R291" s="148"/>
    </row>
    <row r="292" spans="1:18" x14ac:dyDescent="0.25">
      <c r="A292" s="142" t="s">
        <v>357</v>
      </c>
      <c r="B292" s="157" t="s">
        <v>362</v>
      </c>
      <c r="C292" s="147" t="s">
        <v>2186</v>
      </c>
      <c r="D292" s="148">
        <v>0.62766999999999995</v>
      </c>
      <c r="E292" s="148">
        <v>-0.93845999999999985</v>
      </c>
      <c r="F292" s="148">
        <v>-2.35154</v>
      </c>
      <c r="G292" s="148">
        <v>-1.3990000000000001E-2</v>
      </c>
      <c r="H292" s="148">
        <v>2.3655299999999997</v>
      </c>
      <c r="I292" s="148"/>
      <c r="J292" s="149"/>
      <c r="K292" s="150">
        <v>0.36921764705882348</v>
      </c>
      <c r="L292" s="148">
        <v>-1.4951487246483024</v>
      </c>
      <c r="M292" s="148">
        <v>3.7464591266111174</v>
      </c>
      <c r="N292" s="148">
        <v>2.2288782321920757E-2</v>
      </c>
      <c r="O292" s="148">
        <v>-3.768747908933038</v>
      </c>
      <c r="P292" s="148"/>
      <c r="Q292" s="149"/>
      <c r="R292" s="148"/>
    </row>
    <row r="293" spans="1:18" x14ac:dyDescent="0.25">
      <c r="A293" s="142" t="s">
        <v>357</v>
      </c>
      <c r="B293" s="157" t="s">
        <v>363</v>
      </c>
      <c r="C293" s="147" t="s">
        <v>2228</v>
      </c>
      <c r="D293" s="148">
        <v>1.32778</v>
      </c>
      <c r="E293" s="148">
        <v>0.16807999999999995</v>
      </c>
      <c r="F293" s="148">
        <v>-2.4312</v>
      </c>
      <c r="G293" s="148">
        <v>-0.22229999999999997</v>
      </c>
      <c r="H293" s="148">
        <v>2.6535000000000002</v>
      </c>
      <c r="I293" s="148"/>
      <c r="J293" s="149"/>
      <c r="K293" s="150">
        <v>0.78105000000000002</v>
      </c>
      <c r="L293" s="148">
        <v>0.12659000000000001</v>
      </c>
      <c r="M293" s="148">
        <v>1.8310200000000001</v>
      </c>
      <c r="N293" s="148">
        <v>0.16742000000000001</v>
      </c>
      <c r="O293" s="148">
        <v>-1.99844</v>
      </c>
      <c r="P293" s="148" t="s">
        <v>3490</v>
      </c>
      <c r="Q293" s="149" t="s">
        <v>3490</v>
      </c>
      <c r="R293" s="148"/>
    </row>
    <row r="294" spans="1:18" x14ac:dyDescent="0.25">
      <c r="A294" s="142" t="s">
        <v>357</v>
      </c>
      <c r="B294" s="157" t="s">
        <v>363</v>
      </c>
      <c r="C294" s="147" t="s">
        <v>2230</v>
      </c>
      <c r="D294" s="148">
        <v>1.6911799999999999</v>
      </c>
      <c r="E294" s="148">
        <v>0.38001000000000001</v>
      </c>
      <c r="F294" s="148">
        <v>-2.8875000000000002</v>
      </c>
      <c r="G294" s="148">
        <v>-0.35211999999999993</v>
      </c>
      <c r="H294" s="148">
        <v>3.2396200000000008</v>
      </c>
      <c r="I294" s="148"/>
      <c r="J294" s="149"/>
      <c r="K294" s="150">
        <v>0.99480999999999997</v>
      </c>
      <c r="L294" s="148">
        <v>0.22470000000000001</v>
      </c>
      <c r="M294" s="148">
        <v>1.70739</v>
      </c>
      <c r="N294" s="148">
        <v>0.20821000000000001</v>
      </c>
      <c r="O294" s="148">
        <v>-1.9156</v>
      </c>
      <c r="P294" s="148" t="s">
        <v>3490</v>
      </c>
      <c r="Q294" s="149" t="s">
        <v>3490</v>
      </c>
      <c r="R294" s="148"/>
    </row>
    <row r="295" spans="1:18" x14ac:dyDescent="0.25">
      <c r="A295" s="142" t="s">
        <v>357</v>
      </c>
      <c r="B295" s="157" t="s">
        <v>363</v>
      </c>
      <c r="C295" s="147" t="s">
        <v>2232</v>
      </c>
      <c r="D295" s="148">
        <v>1.9636899999999999</v>
      </c>
      <c r="E295" s="148">
        <v>-0.20847999999999997</v>
      </c>
      <c r="F295" s="148">
        <v>-3.1850000000000001</v>
      </c>
      <c r="G295" s="148">
        <v>-0.41548000000000002</v>
      </c>
      <c r="H295" s="148">
        <v>3.6004800000000001</v>
      </c>
      <c r="I295" s="148"/>
      <c r="J295" s="149"/>
      <c r="K295" s="150">
        <v>1.1551100000000001</v>
      </c>
      <c r="L295" s="148">
        <v>-0.10617</v>
      </c>
      <c r="M295" s="148">
        <v>1.62195</v>
      </c>
      <c r="N295" s="148">
        <v>0.21157999999999999</v>
      </c>
      <c r="O295" s="148">
        <v>-1.8335300000000001</v>
      </c>
      <c r="P295" s="148" t="s">
        <v>3490</v>
      </c>
      <c r="Q295" s="149" t="s">
        <v>3490</v>
      </c>
      <c r="R295" s="148"/>
    </row>
    <row r="296" spans="1:18" x14ac:dyDescent="0.25">
      <c r="A296" s="142" t="s">
        <v>357</v>
      </c>
      <c r="B296" s="157" t="s">
        <v>363</v>
      </c>
      <c r="C296" s="147" t="s">
        <v>2234</v>
      </c>
      <c r="D296" s="148">
        <v>1.81735</v>
      </c>
      <c r="E296" s="148">
        <v>-0.33961000000000002</v>
      </c>
      <c r="F296" s="148">
        <v>-2.8453900000000001</v>
      </c>
      <c r="G296" s="148">
        <v>-0.53631999999999991</v>
      </c>
      <c r="H296" s="148">
        <v>3.3817099999999991</v>
      </c>
      <c r="I296" s="148"/>
      <c r="J296" s="149"/>
      <c r="K296" s="150">
        <v>1.0690299999999999</v>
      </c>
      <c r="L296" s="148">
        <v>-0.18687000000000001</v>
      </c>
      <c r="M296" s="148">
        <v>1.56568</v>
      </c>
      <c r="N296" s="148">
        <v>0.29510999999999998</v>
      </c>
      <c r="O296" s="148">
        <v>-1.8607899999999999</v>
      </c>
      <c r="P296" s="148" t="s">
        <v>3490</v>
      </c>
      <c r="Q296" s="149" t="s">
        <v>3490</v>
      </c>
      <c r="R296" s="148"/>
    </row>
    <row r="297" spans="1:18" x14ac:dyDescent="0.25">
      <c r="A297" s="142" t="s">
        <v>357</v>
      </c>
      <c r="B297" s="157" t="s">
        <v>364</v>
      </c>
      <c r="C297" s="147" t="s">
        <v>2212</v>
      </c>
      <c r="D297" s="148">
        <v>1.4872000000000001</v>
      </c>
      <c r="E297" s="148">
        <v>-0.43203999999999998</v>
      </c>
      <c r="F297" s="148">
        <v>-0.88888000000000011</v>
      </c>
      <c r="G297" s="148">
        <v>-0.74922</v>
      </c>
      <c r="H297" s="148">
        <v>0.40995999999999994</v>
      </c>
      <c r="I297" s="148">
        <v>1.2281400000000002</v>
      </c>
      <c r="J297" s="149"/>
      <c r="K297" s="150">
        <v>0.87482459999999995</v>
      </c>
      <c r="L297" s="148">
        <v>-0.29050500000000001</v>
      </c>
      <c r="M297" s="148">
        <v>0.59768900000000003</v>
      </c>
      <c r="N297" s="148">
        <v>0.50378120000000004</v>
      </c>
      <c r="O297" s="148">
        <v>-0.27565729999999999</v>
      </c>
      <c r="P297" s="148">
        <v>-0.82581289999999996</v>
      </c>
      <c r="Q297" s="149" t="s">
        <v>3490</v>
      </c>
      <c r="R297" s="148"/>
    </row>
    <row r="298" spans="1:18" x14ac:dyDescent="0.25">
      <c r="A298" s="142" t="s">
        <v>357</v>
      </c>
      <c r="B298" s="157" t="s">
        <v>364</v>
      </c>
      <c r="C298" s="147" t="s">
        <v>2216</v>
      </c>
      <c r="D298" s="148">
        <v>2.8153299999999994</v>
      </c>
      <c r="E298" s="148">
        <v>-0.17501</v>
      </c>
      <c r="F298" s="148">
        <v>-2.18398</v>
      </c>
      <c r="G298" s="148">
        <v>-1.0818300000000003</v>
      </c>
      <c r="H298" s="148">
        <v>0.76800000000000002</v>
      </c>
      <c r="I298" s="148">
        <v>2.4978100000000003</v>
      </c>
      <c r="J298" s="149"/>
      <c r="K298" s="150">
        <v>1.6560769</v>
      </c>
      <c r="L298" s="148">
        <v>-6.2163855880305402E-2</v>
      </c>
      <c r="M298" s="148">
        <v>0.77574419999999999</v>
      </c>
      <c r="N298" s="148">
        <v>0.38426339999999998</v>
      </c>
      <c r="O298" s="148">
        <v>-0.27279150000000002</v>
      </c>
      <c r="P298" s="148">
        <v>-0.88721609999999995</v>
      </c>
      <c r="Q298" s="149" t="s">
        <v>3490</v>
      </c>
      <c r="R298" s="148"/>
    </row>
    <row r="299" spans="1:18" x14ac:dyDescent="0.25">
      <c r="A299" s="142" t="s">
        <v>357</v>
      </c>
      <c r="B299" s="157" t="s">
        <v>364</v>
      </c>
      <c r="C299" s="147" t="s">
        <v>2220</v>
      </c>
      <c r="D299" s="148">
        <v>1.3319700000000001</v>
      </c>
      <c r="E299" s="148">
        <v>0.53469999999999995</v>
      </c>
      <c r="F299" s="148">
        <v>-0.71467000000000003</v>
      </c>
      <c r="G299" s="148">
        <v>-0.71296000000000004</v>
      </c>
      <c r="H299" s="148">
        <v>0.47389000000000009</v>
      </c>
      <c r="I299" s="148">
        <v>0.95374000000000014</v>
      </c>
      <c r="J299" s="149"/>
      <c r="K299" s="150">
        <v>0.78351459999999995</v>
      </c>
      <c r="L299" s="148">
        <v>0.40143129999999999</v>
      </c>
      <c r="M299" s="148">
        <v>0.53654679999999999</v>
      </c>
      <c r="N299" s="148">
        <v>0.53526450000000003</v>
      </c>
      <c r="O299" s="148">
        <v>-0.35578320000000002</v>
      </c>
      <c r="P299" s="148">
        <v>-0.71602809999999995</v>
      </c>
      <c r="Q299" s="149" t="s">
        <v>3490</v>
      </c>
      <c r="R299" s="148"/>
    </row>
    <row r="300" spans="1:18" x14ac:dyDescent="0.25">
      <c r="A300" s="142" t="s">
        <v>357</v>
      </c>
      <c r="B300" s="157" t="s">
        <v>364</v>
      </c>
      <c r="C300" s="147" t="s">
        <v>2222</v>
      </c>
      <c r="D300" s="148">
        <v>1.5495300000000001</v>
      </c>
      <c r="E300" s="148">
        <v>-0.11550000000000001</v>
      </c>
      <c r="F300" s="148">
        <v>-1.3896299999999999</v>
      </c>
      <c r="G300" s="148">
        <v>-0.69184000000000001</v>
      </c>
      <c r="H300" s="148">
        <v>0.54779999999999995</v>
      </c>
      <c r="I300" s="148">
        <v>1.5336700000000001</v>
      </c>
      <c r="J300" s="149"/>
      <c r="K300" s="150">
        <v>0.91148830000000003</v>
      </c>
      <c r="L300" s="148">
        <v>-7.4538398189374203E-2</v>
      </c>
      <c r="M300" s="148">
        <v>0.89680539999999997</v>
      </c>
      <c r="N300" s="148">
        <v>0.44648460000000001</v>
      </c>
      <c r="O300" s="148">
        <v>-0.35352430000000001</v>
      </c>
      <c r="P300" s="148">
        <v>-0.98976580000000003</v>
      </c>
      <c r="Q300" s="149" t="s">
        <v>3490</v>
      </c>
      <c r="R300" s="148"/>
    </row>
    <row r="301" spans="1:18" x14ac:dyDescent="0.25">
      <c r="A301" s="142" t="s">
        <v>357</v>
      </c>
      <c r="B301" s="157" t="s">
        <v>364</v>
      </c>
      <c r="C301" s="147" t="s">
        <v>2224</v>
      </c>
      <c r="D301" s="148">
        <v>1.15825</v>
      </c>
      <c r="E301" s="148">
        <v>1.0541700000000001</v>
      </c>
      <c r="F301" s="148">
        <v>-0.60084999999999988</v>
      </c>
      <c r="G301" s="148">
        <v>-0.65920999999999996</v>
      </c>
      <c r="H301" s="148">
        <v>0.36236000000000002</v>
      </c>
      <c r="I301" s="148">
        <v>0.89770000000000005</v>
      </c>
      <c r="J301" s="149"/>
      <c r="K301" s="150">
        <v>0.68132352941176477</v>
      </c>
      <c r="L301" s="148">
        <v>0.91014029786315565</v>
      </c>
      <c r="M301" s="148">
        <v>0.5187567450895747</v>
      </c>
      <c r="N301" s="148">
        <v>0.56914310382041866</v>
      </c>
      <c r="O301" s="148">
        <v>-0.31285128426505504</v>
      </c>
      <c r="P301" s="148">
        <v>-0.77504856464493854</v>
      </c>
      <c r="Q301" s="149"/>
      <c r="R301" s="148"/>
    </row>
    <row r="302" spans="1:18" x14ac:dyDescent="0.25">
      <c r="A302" s="152" t="s">
        <v>357</v>
      </c>
      <c r="B302" s="159" t="s">
        <v>364</v>
      </c>
      <c r="C302" s="153" t="s">
        <v>2226</v>
      </c>
      <c r="D302" s="154">
        <v>0.65754000000000001</v>
      </c>
      <c r="E302" s="154">
        <v>0.33867999999999998</v>
      </c>
      <c r="F302" s="154">
        <v>1.129E-2</v>
      </c>
      <c r="G302" s="154">
        <v>-0.54645999999999995</v>
      </c>
      <c r="H302" s="154">
        <v>8.3659999999999998E-2</v>
      </c>
      <c r="I302" s="154">
        <v>0.45151000000000002</v>
      </c>
      <c r="J302" s="155"/>
      <c r="K302" s="156">
        <v>0.38678823529411765</v>
      </c>
      <c r="L302" s="154">
        <v>0.51507132645922682</v>
      </c>
      <c r="M302" s="154">
        <v>-1.7170058095325E-2</v>
      </c>
      <c r="N302" s="154">
        <v>0.83106731149435764</v>
      </c>
      <c r="O302" s="154">
        <v>-0.12723180338838702</v>
      </c>
      <c r="P302" s="154">
        <v>-0.68666545001064572</v>
      </c>
      <c r="Q302" s="155"/>
      <c r="R302" s="148"/>
    </row>
  </sheetData>
  <mergeCells count="4">
    <mergeCell ref="D4:J4"/>
    <mergeCell ref="K4:Q4"/>
    <mergeCell ref="D6:J6"/>
    <mergeCell ref="K6:Q6"/>
  </mergeCells>
  <hyperlinks>
    <hyperlink ref="A1" location="TOC!A1" display="Table of Contents" xr:uid="{7A829171-6A88-4E56-8BF3-57A644DD1CD1}"/>
  </hyperlinks>
  <pageMargins left="0.7" right="0.7" top="0.75" bottom="0.75" header="0.3" footer="0.3"/>
  <headerFooter>
    <oddFooter>&amp;C_x000D_&amp;1#&amp;"Aptos"&amp;10&amp;K0000FF Restricted Use - À usage restreint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90"/>
  <dimension ref="A1:AB329"/>
  <sheetViews>
    <sheetView workbookViewId="0">
      <pane ySplit="1" topLeftCell="A2" activePane="bottomLeft" state="frozen"/>
      <selection pane="bottomLeft" activeCell="K327" sqref="K327:P327"/>
    </sheetView>
  </sheetViews>
  <sheetFormatPr defaultColWidth="8.7109375" defaultRowHeight="15" x14ac:dyDescent="0.25"/>
  <cols>
    <col min="1" max="1" width="22.42578125" style="14" customWidth="1"/>
    <col min="2" max="2" width="12.140625" style="20" customWidth="1"/>
    <col min="3" max="3" width="22.140625" style="20" customWidth="1"/>
    <col min="4" max="8" width="13" style="20" customWidth="1"/>
    <col min="9" max="10" width="9.140625" style="20" customWidth="1"/>
    <col min="11" max="11" width="8.7109375" style="20" customWidth="1"/>
    <col min="12" max="16384" width="8.7109375" style="20"/>
  </cols>
  <sheetData>
    <row r="1" spans="1:28" x14ac:dyDescent="0.25">
      <c r="A1" s="118" t="s">
        <v>2642</v>
      </c>
      <c r="B1" s="119" t="s">
        <v>317</v>
      </c>
      <c r="C1" s="120" t="s">
        <v>2643</v>
      </c>
      <c r="D1" s="120" t="s">
        <v>2644</v>
      </c>
      <c r="E1" s="120" t="s">
        <v>2645</v>
      </c>
      <c r="F1" s="120" t="s">
        <v>2646</v>
      </c>
      <c r="G1" s="120" t="s">
        <v>2647</v>
      </c>
      <c r="H1" s="120" t="s">
        <v>2648</v>
      </c>
      <c r="I1" s="120" t="s">
        <v>2649</v>
      </c>
      <c r="J1" s="120" t="s">
        <v>2650</v>
      </c>
      <c r="K1" s="120" t="s">
        <v>2651</v>
      </c>
      <c r="L1" s="120" t="s">
        <v>2652</v>
      </c>
      <c r="M1" s="120" t="s">
        <v>2651</v>
      </c>
      <c r="N1" s="120" t="s">
        <v>2652</v>
      </c>
      <c r="O1" s="120" t="s">
        <v>2651</v>
      </c>
      <c r="P1" s="120" t="s">
        <v>2652</v>
      </c>
      <c r="Q1" s="120" t="s">
        <v>2651</v>
      </c>
      <c r="R1" s="120" t="s">
        <v>2652</v>
      </c>
      <c r="S1" s="120" t="s">
        <v>2651</v>
      </c>
      <c r="T1" s="120" t="s">
        <v>2652</v>
      </c>
      <c r="U1" s="120" t="s">
        <v>2651</v>
      </c>
      <c r="V1" s="120" t="s">
        <v>2652</v>
      </c>
      <c r="W1" s="120" t="s">
        <v>2651</v>
      </c>
      <c r="X1" s="120" t="s">
        <v>2652</v>
      </c>
      <c r="Y1" s="120" t="s">
        <v>2651</v>
      </c>
      <c r="Z1" s="120" t="s">
        <v>2652</v>
      </c>
      <c r="AA1" s="120" t="s">
        <v>2651</v>
      </c>
      <c r="AB1" s="120" t="s">
        <v>2652</v>
      </c>
    </row>
    <row r="2" spans="1:28" x14ac:dyDescent="0.25">
      <c r="A2" s="14" t="str">
        <f t="shared" ref="A2:A65" si="0">_xlfn.CONCAT(B2,C2)</f>
        <v>ICTRESST250Q02JA</v>
      </c>
      <c r="B2" s="120" t="s">
        <v>326</v>
      </c>
      <c r="C2" s="120" t="s">
        <v>785</v>
      </c>
      <c r="D2" s="120">
        <v>2.8496700000000001</v>
      </c>
      <c r="E2" s="120">
        <v>-2.3002600000000002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x14ac:dyDescent="0.25">
      <c r="A3" s="14" t="str">
        <f t="shared" si="0"/>
        <v>ICTRESST250Q03JA</v>
      </c>
      <c r="B3" s="120" t="s">
        <v>326</v>
      </c>
      <c r="C3" s="120" t="s">
        <v>787</v>
      </c>
      <c r="D3" s="120">
        <v>1.2694099999999999</v>
      </c>
      <c r="E3" s="120">
        <v>-1.0203</v>
      </c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x14ac:dyDescent="0.25">
      <c r="A4" s="14" t="str">
        <f t="shared" si="0"/>
        <v>ICTRESST250Q04JA</v>
      </c>
      <c r="B4" s="120" t="s">
        <v>326</v>
      </c>
      <c r="C4" s="120" t="s">
        <v>789</v>
      </c>
      <c r="D4" s="120">
        <v>1.8056300000000001</v>
      </c>
      <c r="E4" s="120">
        <v>-3.6455100000000011</v>
      </c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x14ac:dyDescent="0.25">
      <c r="A5" s="14" t="str">
        <f t="shared" si="0"/>
        <v>ICTRESST250Q04JA_down</v>
      </c>
      <c r="B5" s="120" t="s">
        <v>326</v>
      </c>
      <c r="C5" s="120" t="s">
        <v>2653</v>
      </c>
      <c r="D5" s="120">
        <v>1.6401300000000001</v>
      </c>
      <c r="E5" s="120">
        <v>-1.20085</v>
      </c>
      <c r="F5" s="120"/>
      <c r="G5" s="120"/>
      <c r="H5" s="120"/>
      <c r="I5" s="120"/>
      <c r="J5" s="120"/>
      <c r="K5" s="120" t="s">
        <v>715</v>
      </c>
      <c r="L5" s="120" t="s">
        <v>708</v>
      </c>
      <c r="M5" s="120" t="s">
        <v>750</v>
      </c>
      <c r="N5" s="120" t="s">
        <v>626</v>
      </c>
      <c r="O5" s="120"/>
      <c r="P5" s="120"/>
      <c r="Q5" s="120"/>
      <c r="R5" s="120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14" t="str">
        <f t="shared" si="0"/>
        <v>ICTRESST250Q05JA</v>
      </c>
      <c r="B6" s="120" t="s">
        <v>326</v>
      </c>
      <c r="C6" s="120" t="s">
        <v>791</v>
      </c>
      <c r="D6" s="120">
        <v>2.51545</v>
      </c>
      <c r="E6" s="120">
        <v>-3.27502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x14ac:dyDescent="0.25">
      <c r="A7" s="14" t="str">
        <f t="shared" si="0"/>
        <v>ICTRESST250Q25DA</v>
      </c>
      <c r="B7" s="120" t="s">
        <v>326</v>
      </c>
      <c r="C7" s="120" t="s">
        <v>825</v>
      </c>
      <c r="D7" s="120">
        <v>1.3282</v>
      </c>
      <c r="E7" s="120">
        <v>0.30409000000000008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x14ac:dyDescent="0.25">
      <c r="A8" s="14" t="str">
        <f t="shared" si="0"/>
        <v>ICTRESST250Q25DA_up</v>
      </c>
      <c r="B8" s="120" t="s">
        <v>326</v>
      </c>
      <c r="C8" s="120" t="s">
        <v>2654</v>
      </c>
      <c r="D8" s="120">
        <v>2.2384200000000001</v>
      </c>
      <c r="E8" s="120">
        <v>-1.45482</v>
      </c>
      <c r="F8" s="120"/>
      <c r="G8" s="120"/>
      <c r="H8" s="120"/>
      <c r="I8" s="120"/>
      <c r="J8" s="120"/>
      <c r="K8" s="120" t="s">
        <v>871</v>
      </c>
      <c r="L8" s="120" t="s">
        <v>610</v>
      </c>
      <c r="M8" s="120"/>
      <c r="N8" s="120"/>
      <c r="O8" s="120"/>
      <c r="P8" s="120"/>
      <c r="Q8" s="120"/>
      <c r="R8" s="120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x14ac:dyDescent="0.25">
      <c r="A9" s="14" t="str">
        <f t="shared" si="0"/>
        <v>ICTRESST254Q01JA</v>
      </c>
      <c r="B9" s="120" t="s">
        <v>326</v>
      </c>
      <c r="C9" s="120" t="s">
        <v>843</v>
      </c>
      <c r="D9" s="120">
        <v>1.4088799999999999</v>
      </c>
      <c r="E9" s="120">
        <v>3.4720000000000001E-2</v>
      </c>
      <c r="F9" s="120">
        <v>-3.7827799999999989</v>
      </c>
      <c r="G9" s="120">
        <v>1.0145200000000001</v>
      </c>
      <c r="H9" s="120">
        <v>2.7682600000000002</v>
      </c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x14ac:dyDescent="0.25">
      <c r="A10" s="14" t="str">
        <f t="shared" si="0"/>
        <v>ICTRESST254Q02JA</v>
      </c>
      <c r="B10" s="120" t="s">
        <v>326</v>
      </c>
      <c r="C10" s="120" t="s">
        <v>845</v>
      </c>
      <c r="D10" s="120">
        <v>1.359</v>
      </c>
      <c r="E10" s="120">
        <v>1.7572700000000001</v>
      </c>
      <c r="F10" s="120">
        <v>-1.9118299999999999</v>
      </c>
      <c r="G10" s="120">
        <v>0.76700000000000002</v>
      </c>
      <c r="H10" s="120">
        <v>1.14483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x14ac:dyDescent="0.25">
      <c r="A11" s="14" t="str">
        <f t="shared" si="0"/>
        <v>ICTRESST254Q03JA</v>
      </c>
      <c r="B11" s="120" t="s">
        <v>326</v>
      </c>
      <c r="C11" s="120" t="s">
        <v>847</v>
      </c>
      <c r="D11" s="120">
        <v>2.62405</v>
      </c>
      <c r="E11" s="120">
        <v>1.4194800000000001</v>
      </c>
      <c r="F11" s="120">
        <v>-3.1638600000000001</v>
      </c>
      <c r="G11" s="120">
        <v>0.41267999999999999</v>
      </c>
      <c r="H11" s="120">
        <v>2.7511800000000002</v>
      </c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x14ac:dyDescent="0.25">
      <c r="A12" s="14" t="str">
        <f t="shared" si="0"/>
        <v>ICTRESST254Q04JA</v>
      </c>
      <c r="B12" s="120" t="s">
        <v>326</v>
      </c>
      <c r="C12" s="120" t="s">
        <v>849</v>
      </c>
      <c r="D12" s="120">
        <v>1.63706</v>
      </c>
      <c r="E12" s="120">
        <v>1.57446</v>
      </c>
      <c r="F12" s="120">
        <v>-1.88405</v>
      </c>
      <c r="G12" s="120">
        <v>0.59075999999999995</v>
      </c>
      <c r="H12" s="120">
        <v>1.2932900000000001</v>
      </c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x14ac:dyDescent="0.25">
      <c r="A13" s="14" t="str">
        <f t="shared" si="0"/>
        <v>ICTRESST254Q05JA</v>
      </c>
      <c r="B13" s="120" t="s">
        <v>326</v>
      </c>
      <c r="C13" s="120" t="s">
        <v>851</v>
      </c>
      <c r="D13" s="120">
        <v>0.70157999999999998</v>
      </c>
      <c r="E13" s="120">
        <v>1.7789600000000001</v>
      </c>
      <c r="F13" s="120">
        <v>-7.7789999999999984E-2</v>
      </c>
      <c r="G13" s="120">
        <v>0.57330999999999999</v>
      </c>
      <c r="H13" s="120">
        <v>-0.4955199999999999</v>
      </c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x14ac:dyDescent="0.25">
      <c r="A14" s="14" t="str">
        <f t="shared" si="0"/>
        <v>AIUSESCHST438Q01DA</v>
      </c>
      <c r="B14" s="120" t="s">
        <v>367</v>
      </c>
      <c r="C14" s="120" t="s">
        <v>1127</v>
      </c>
      <c r="D14" s="120">
        <v>1.93008</v>
      </c>
      <c r="E14" s="120">
        <v>-0.44262000000000001</v>
      </c>
      <c r="F14" s="120">
        <v>-1.27938</v>
      </c>
      <c r="G14" s="120">
        <v>-0.87156999999999996</v>
      </c>
      <c r="H14" s="120">
        <v>0.20265</v>
      </c>
      <c r="I14" s="120">
        <v>1.9482999999999999</v>
      </c>
      <c r="J14" s="120"/>
      <c r="K14" s="120"/>
      <c r="L14" s="120"/>
      <c r="M14" s="120"/>
      <c r="N14" s="120"/>
      <c r="O14" s="120"/>
      <c r="P14" s="120"/>
      <c r="Q14" s="120"/>
      <c r="R14" s="120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x14ac:dyDescent="0.25">
      <c r="A15" s="14" t="str">
        <f t="shared" si="0"/>
        <v>AIUSESCHST438Q02DA</v>
      </c>
      <c r="B15" s="120" t="s">
        <v>367</v>
      </c>
      <c r="C15" s="120" t="s">
        <v>1129</v>
      </c>
      <c r="D15" s="120">
        <v>2.19204</v>
      </c>
      <c r="E15" s="120">
        <v>-0.66998999999999997</v>
      </c>
      <c r="F15" s="120">
        <v>-1.7332799999999999</v>
      </c>
      <c r="G15" s="120">
        <v>-1.0050300000000001</v>
      </c>
      <c r="H15" s="120">
        <v>0.38273000000000001</v>
      </c>
      <c r="I15" s="120">
        <v>2.3555799999999998</v>
      </c>
      <c r="J15" s="120"/>
      <c r="K15" s="120"/>
      <c r="L15" s="120"/>
      <c r="M15" s="120"/>
      <c r="N15" s="120"/>
      <c r="O15" s="120"/>
      <c r="P15" s="120"/>
      <c r="Q15" s="120"/>
      <c r="R15" s="120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x14ac:dyDescent="0.25">
      <c r="A16" s="14" t="str">
        <f t="shared" si="0"/>
        <v>AIUSESCHST438Q03DA</v>
      </c>
      <c r="B16" s="120" t="s">
        <v>367</v>
      </c>
      <c r="C16" s="120" t="s">
        <v>1131</v>
      </c>
      <c r="D16" s="120">
        <v>1.9877899999999999</v>
      </c>
      <c r="E16" s="120">
        <v>-0.47194000000000003</v>
      </c>
      <c r="F16" s="120">
        <v>-1.36259</v>
      </c>
      <c r="G16" s="120">
        <v>-0.96126</v>
      </c>
      <c r="H16" s="120">
        <v>0.32462999999999997</v>
      </c>
      <c r="I16" s="120">
        <v>1.9992300000000001</v>
      </c>
      <c r="J16" s="120"/>
      <c r="K16" s="120"/>
      <c r="L16" s="120"/>
      <c r="M16" s="120"/>
      <c r="N16" s="120"/>
      <c r="O16" s="120"/>
      <c r="P16" s="120"/>
      <c r="Q16" s="120"/>
      <c r="R16" s="120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x14ac:dyDescent="0.25">
      <c r="A17" s="14" t="str">
        <f t="shared" si="0"/>
        <v>AIUSESCHST438Q04DA</v>
      </c>
      <c r="B17" s="120" t="s">
        <v>367</v>
      </c>
      <c r="C17" s="120" t="s">
        <v>1133</v>
      </c>
      <c r="D17" s="120">
        <v>1.4115899999999999</v>
      </c>
      <c r="E17" s="120">
        <v>-0.92457999999999996</v>
      </c>
      <c r="F17" s="120">
        <v>-0.82589999999999997</v>
      </c>
      <c r="G17" s="120">
        <v>-0.60202</v>
      </c>
      <c r="H17" s="120">
        <v>8.2170000000000007E-2</v>
      </c>
      <c r="I17" s="120">
        <v>1.34575</v>
      </c>
      <c r="J17" s="120"/>
      <c r="K17" s="120"/>
      <c r="L17" s="120"/>
      <c r="M17" s="120"/>
      <c r="N17" s="120"/>
      <c r="O17" s="120"/>
      <c r="P17" s="120"/>
      <c r="Q17" s="120"/>
      <c r="R17" s="120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x14ac:dyDescent="0.25">
      <c r="A18" s="14" t="str">
        <f t="shared" si="0"/>
        <v>BELONGST034Q01TA</v>
      </c>
      <c r="B18" s="120" t="s">
        <v>320</v>
      </c>
      <c r="C18" s="120" t="s">
        <v>960</v>
      </c>
      <c r="D18" s="120">
        <v>2.2508599999999999</v>
      </c>
      <c r="E18" s="120">
        <v>5.5969999999999999E-2</v>
      </c>
      <c r="F18" s="120">
        <v>-1.5272699999999999</v>
      </c>
      <c r="G18" s="120">
        <v>-0.68891000000000002</v>
      </c>
      <c r="H18" s="120">
        <v>2.21618</v>
      </c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x14ac:dyDescent="0.25">
      <c r="A19" s="14" t="str">
        <f t="shared" si="0"/>
        <v>BELONGST034Q02TA</v>
      </c>
      <c r="B19" s="120" t="s">
        <v>320</v>
      </c>
      <c r="C19" s="120" t="s">
        <v>962</v>
      </c>
      <c r="D19" s="120">
        <v>1.05141</v>
      </c>
      <c r="E19" s="120">
        <v>-2.9579999999999999E-2</v>
      </c>
      <c r="F19" s="120">
        <v>-1.2578499999999999</v>
      </c>
      <c r="G19" s="120">
        <v>-0.63302000000000003</v>
      </c>
      <c r="H19" s="120">
        <v>1.8908700000000001</v>
      </c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x14ac:dyDescent="0.25">
      <c r="A20" s="14" t="str">
        <f t="shared" si="0"/>
        <v>BELONGST034Q03TA</v>
      </c>
      <c r="B20" s="120" t="s">
        <v>320</v>
      </c>
      <c r="C20" s="120" t="s">
        <v>964</v>
      </c>
      <c r="D20" s="120">
        <v>0.97516999999999998</v>
      </c>
      <c r="E20" s="120">
        <v>0.12148</v>
      </c>
      <c r="F20" s="120">
        <v>-1.2004699999999999</v>
      </c>
      <c r="G20" s="120">
        <v>-0.62578999999999996</v>
      </c>
      <c r="H20" s="120">
        <v>1.82626</v>
      </c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x14ac:dyDescent="0.25">
      <c r="A21" s="14" t="str">
        <f t="shared" si="0"/>
        <v>BELONGST034Q04TA</v>
      </c>
      <c r="B21" s="120" t="s">
        <v>320</v>
      </c>
      <c r="C21" s="120" t="s">
        <v>966</v>
      </c>
      <c r="D21" s="120">
        <v>2.0909200000000001</v>
      </c>
      <c r="E21" s="120">
        <v>2.0539999999999999E-2</v>
      </c>
      <c r="F21" s="120">
        <v>-1.66995</v>
      </c>
      <c r="G21" s="120">
        <v>-0.61617</v>
      </c>
      <c r="H21" s="120">
        <v>2.2861199999999999</v>
      </c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x14ac:dyDescent="0.25">
      <c r="A22" s="14" t="str">
        <f t="shared" si="0"/>
        <v>BELONGST034Q05TA</v>
      </c>
      <c r="B22" s="120" t="s">
        <v>320</v>
      </c>
      <c r="C22" s="120" t="s">
        <v>968</v>
      </c>
      <c r="D22" s="120">
        <v>1.00315</v>
      </c>
      <c r="E22" s="120">
        <v>5.5969999999999999E-2</v>
      </c>
      <c r="F22" s="120">
        <v>-1.29644</v>
      </c>
      <c r="G22" s="120">
        <v>-0.91556000000000004</v>
      </c>
      <c r="H22" s="120">
        <v>2.2120000000000002</v>
      </c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x14ac:dyDescent="0.25">
      <c r="A23" s="14" t="str">
        <f t="shared" si="0"/>
        <v>BELONGST034Q06TA</v>
      </c>
      <c r="B23" s="120" t="s">
        <v>320</v>
      </c>
      <c r="C23" s="120" t="s">
        <v>970</v>
      </c>
      <c r="D23" s="120">
        <v>2.8284899999999999</v>
      </c>
      <c r="E23" s="120">
        <v>-0.22438</v>
      </c>
      <c r="F23" s="120">
        <v>-1.7379800000000001</v>
      </c>
      <c r="G23" s="120">
        <v>-0.70552000000000004</v>
      </c>
      <c r="H23" s="120">
        <v>2.4434999999999998</v>
      </c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x14ac:dyDescent="0.25">
      <c r="A24" s="14" t="str">
        <f t="shared" si="0"/>
        <v>BULLIEDST038Q04NA</v>
      </c>
      <c r="B24" s="120" t="s">
        <v>321</v>
      </c>
      <c r="C24" s="120" t="s">
        <v>941</v>
      </c>
      <c r="D24" s="120">
        <v>1.8697299999999999</v>
      </c>
      <c r="E24" s="120">
        <v>-0.56916</v>
      </c>
      <c r="F24" s="120">
        <v>-1.4322900000000001</v>
      </c>
      <c r="G24" s="120">
        <v>0.27522000000000002</v>
      </c>
      <c r="H24" s="120">
        <v>1.15707</v>
      </c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x14ac:dyDescent="0.25">
      <c r="A25" s="14" t="str">
        <f t="shared" si="0"/>
        <v>BULLIEDST038Q05NA</v>
      </c>
      <c r="B25" s="120" t="s">
        <v>321</v>
      </c>
      <c r="C25" s="120" t="s">
        <v>943</v>
      </c>
      <c r="D25" s="120">
        <v>1.7172799999999999</v>
      </c>
      <c r="E25" s="120">
        <v>0.48736000000000002</v>
      </c>
      <c r="F25" s="120">
        <v>-0.66610000000000003</v>
      </c>
      <c r="G25" s="120">
        <v>-0.33814</v>
      </c>
      <c r="H25" s="120">
        <v>1.00424</v>
      </c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x14ac:dyDescent="0.25">
      <c r="A26" s="14" t="str">
        <f t="shared" si="0"/>
        <v>BULLIEDST038Q07NA</v>
      </c>
      <c r="B26" s="120" t="s">
        <v>321</v>
      </c>
      <c r="C26" s="120" t="s">
        <v>945</v>
      </c>
      <c r="D26" s="120">
        <v>1.6807099999999999</v>
      </c>
      <c r="E26" s="120">
        <v>0.34358</v>
      </c>
      <c r="F26" s="120">
        <v>-0.20150000000000001</v>
      </c>
      <c r="G26" s="120">
        <v>0.15870999999999999</v>
      </c>
      <c r="H26" s="120">
        <v>4.2790000000000002E-2</v>
      </c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x14ac:dyDescent="0.25">
      <c r="A27" s="14" t="str">
        <f t="shared" si="0"/>
        <v>BULLIEDST038Q08NA</v>
      </c>
      <c r="B27" s="120" t="s">
        <v>321</v>
      </c>
      <c r="C27" s="120" t="s">
        <v>947</v>
      </c>
      <c r="D27" s="120">
        <v>1.2232799999999999</v>
      </c>
      <c r="E27" s="120">
        <v>-1.017E-2</v>
      </c>
      <c r="F27" s="120">
        <v>-0.39015</v>
      </c>
      <c r="G27" s="120">
        <v>0.27972999999999998</v>
      </c>
      <c r="H27" s="120">
        <v>0.11042</v>
      </c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spans="1:28" x14ac:dyDescent="0.25">
      <c r="A28" s="14" t="str">
        <f t="shared" si="0"/>
        <v>BULLIEDST038Q12DA</v>
      </c>
      <c r="B28" s="120" t="s">
        <v>321</v>
      </c>
      <c r="C28" s="120" t="s">
        <v>949</v>
      </c>
      <c r="D28" s="120">
        <v>1.41821</v>
      </c>
      <c r="E28" s="120">
        <v>0.59338999999999997</v>
      </c>
      <c r="F28" s="120">
        <v>0.19645000000000001</v>
      </c>
      <c r="G28" s="120">
        <v>9.5310000000000006E-2</v>
      </c>
      <c r="H28" s="120">
        <v>-0.29176000000000002</v>
      </c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x14ac:dyDescent="0.25">
      <c r="A29" s="14" t="str">
        <f t="shared" si="0"/>
        <v>COGABILST216Q01HA</v>
      </c>
      <c r="B29" s="120" t="s">
        <v>368</v>
      </c>
      <c r="C29" s="120" t="s">
        <v>1135</v>
      </c>
      <c r="D29" s="120">
        <v>1.6335900000000001</v>
      </c>
      <c r="E29" s="120">
        <v>-1.1694500000000001</v>
      </c>
      <c r="F29" s="120">
        <v>-2.1738599999999999</v>
      </c>
      <c r="G29" s="120">
        <v>-1.2865200000000001</v>
      </c>
      <c r="H29" s="120">
        <v>0.98617999999999995</v>
      </c>
      <c r="I29" s="120">
        <v>2.4741900000000001</v>
      </c>
      <c r="J29" s="120"/>
      <c r="K29" s="120"/>
      <c r="L29" s="120"/>
      <c r="M29" s="120"/>
      <c r="N29" s="120"/>
      <c r="O29" s="120"/>
      <c r="P29" s="120"/>
      <c r="Q29" s="120"/>
      <c r="R29" s="120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x14ac:dyDescent="0.25">
      <c r="A30" s="14" t="str">
        <f t="shared" si="0"/>
        <v>COGABILST216Q03HA</v>
      </c>
      <c r="B30" s="120" t="s">
        <v>368</v>
      </c>
      <c r="C30" s="120" t="s">
        <v>1137</v>
      </c>
      <c r="D30" s="120">
        <v>2.3119800000000001</v>
      </c>
      <c r="E30" s="120">
        <v>-1.5241100000000001</v>
      </c>
      <c r="F30" s="120">
        <v>-2.9174799999999999</v>
      </c>
      <c r="G30" s="120">
        <v>-1.2508999999999999</v>
      </c>
      <c r="H30" s="120">
        <v>0.84489000000000003</v>
      </c>
      <c r="I30" s="120">
        <v>3.3234900000000001</v>
      </c>
      <c r="J30" s="120"/>
      <c r="K30" s="120"/>
      <c r="L30" s="120"/>
      <c r="M30" s="120"/>
      <c r="N30" s="120"/>
      <c r="O30" s="120"/>
      <c r="P30" s="120"/>
      <c r="Q30" s="120"/>
      <c r="R30" s="120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x14ac:dyDescent="0.25">
      <c r="A31" s="14" t="str">
        <f t="shared" si="0"/>
        <v>COGABILST216Q04HA</v>
      </c>
      <c r="B31" s="120" t="s">
        <v>368</v>
      </c>
      <c r="C31" s="120" t="s">
        <v>1139</v>
      </c>
      <c r="D31" s="120">
        <v>1.3007200000000001</v>
      </c>
      <c r="E31" s="120">
        <v>-0.87973000000000001</v>
      </c>
      <c r="F31" s="120">
        <v>-1.9164399999999999</v>
      </c>
      <c r="G31" s="120">
        <v>-0.84757000000000005</v>
      </c>
      <c r="H31" s="120">
        <v>0.75122</v>
      </c>
      <c r="I31" s="120">
        <v>2.0127799999999998</v>
      </c>
      <c r="J31" s="120"/>
      <c r="K31" s="120"/>
      <c r="L31" s="120"/>
      <c r="M31" s="120"/>
      <c r="N31" s="120"/>
      <c r="O31" s="120"/>
      <c r="P31" s="120"/>
      <c r="Q31" s="120"/>
      <c r="R31" s="120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x14ac:dyDescent="0.25">
      <c r="A32" s="14" t="str">
        <f t="shared" si="0"/>
        <v>COGABILST216Q05HA</v>
      </c>
      <c r="B32" s="120" t="s">
        <v>368</v>
      </c>
      <c r="C32" s="120" t="s">
        <v>1141</v>
      </c>
      <c r="D32" s="120">
        <v>1.5626</v>
      </c>
      <c r="E32" s="120">
        <v>-1.18042</v>
      </c>
      <c r="F32" s="120">
        <v>-1.99363</v>
      </c>
      <c r="G32" s="120">
        <v>-1.0479499999999999</v>
      </c>
      <c r="H32" s="120">
        <v>0.71352000000000004</v>
      </c>
      <c r="I32" s="120">
        <v>2.3280699999999999</v>
      </c>
      <c r="J32" s="120"/>
      <c r="K32" s="120"/>
      <c r="L32" s="120"/>
      <c r="M32" s="120"/>
      <c r="N32" s="120"/>
      <c r="O32" s="120"/>
      <c r="P32" s="120"/>
      <c r="Q32" s="120"/>
      <c r="R32" s="120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x14ac:dyDescent="0.25">
      <c r="A33" s="14" t="str">
        <f t="shared" si="0"/>
        <v>COGACSCST469Q06DA</v>
      </c>
      <c r="B33" s="120" t="s">
        <v>369</v>
      </c>
      <c r="C33" s="120" t="s">
        <v>1077</v>
      </c>
      <c r="D33" s="120">
        <v>0.98138999999999998</v>
      </c>
      <c r="E33" s="120">
        <v>1.174E-2</v>
      </c>
      <c r="F33" s="120">
        <v>-0.90476000000000001</v>
      </c>
      <c r="G33" s="120">
        <v>-0.40360000000000001</v>
      </c>
      <c r="H33" s="120">
        <v>0.52908999999999995</v>
      </c>
      <c r="I33" s="120">
        <v>0.77925999999999995</v>
      </c>
      <c r="J33" s="120"/>
      <c r="K33" s="120"/>
      <c r="L33" s="120"/>
      <c r="M33" s="120"/>
      <c r="N33" s="120"/>
      <c r="O33" s="120"/>
      <c r="P33" s="120"/>
      <c r="Q33" s="120"/>
      <c r="R33" s="120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x14ac:dyDescent="0.25">
      <c r="A34" s="14" t="str">
        <f t="shared" si="0"/>
        <v>COGACSCST469Q08DA</v>
      </c>
      <c r="B34" s="120" t="s">
        <v>369</v>
      </c>
      <c r="C34" s="120" t="s">
        <v>1079</v>
      </c>
      <c r="D34" s="120">
        <v>1.1115900000000001</v>
      </c>
      <c r="E34" s="120">
        <v>-0.61778999999999995</v>
      </c>
      <c r="F34" s="120">
        <v>-1.0369299999999999</v>
      </c>
      <c r="G34" s="120">
        <v>-0.35770999999999997</v>
      </c>
      <c r="H34" s="120">
        <v>0.38935999999999998</v>
      </c>
      <c r="I34" s="120">
        <v>1.00529</v>
      </c>
      <c r="J34" s="120"/>
      <c r="K34" s="120"/>
      <c r="L34" s="120"/>
      <c r="M34" s="120"/>
      <c r="N34" s="120"/>
      <c r="O34" s="120"/>
      <c r="P34" s="120"/>
      <c r="Q34" s="120"/>
      <c r="R34" s="120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x14ac:dyDescent="0.25">
      <c r="A35" s="14" t="str">
        <f t="shared" si="0"/>
        <v>COGACSCST469Q09DA</v>
      </c>
      <c r="B35" s="120" t="s">
        <v>369</v>
      </c>
      <c r="C35" s="120" t="s">
        <v>1081</v>
      </c>
      <c r="D35" s="120">
        <v>1.3585</v>
      </c>
      <c r="E35" s="120">
        <v>-0.66281000000000001</v>
      </c>
      <c r="F35" s="120">
        <v>-1.24407</v>
      </c>
      <c r="G35" s="120">
        <v>-0.51485000000000003</v>
      </c>
      <c r="H35" s="120">
        <v>0.50107999999999997</v>
      </c>
      <c r="I35" s="120">
        <v>1.2578400000000001</v>
      </c>
      <c r="J35" s="120"/>
      <c r="K35" s="120"/>
      <c r="L35" s="120"/>
      <c r="M35" s="120"/>
      <c r="N35" s="120"/>
      <c r="O35" s="120"/>
      <c r="P35" s="120"/>
      <c r="Q35" s="120"/>
      <c r="R35" s="120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x14ac:dyDescent="0.25">
      <c r="A36" s="14" t="str">
        <f t="shared" si="0"/>
        <v>COGACSCST469Q10DA</v>
      </c>
      <c r="B36" s="120" t="s">
        <v>369</v>
      </c>
      <c r="C36" s="120" t="s">
        <v>1083</v>
      </c>
      <c r="D36" s="120">
        <v>1.5229600000000001</v>
      </c>
      <c r="E36" s="120">
        <v>-0.55461000000000005</v>
      </c>
      <c r="F36" s="120">
        <v>-1.5250900000000001</v>
      </c>
      <c r="G36" s="120">
        <v>-0.56386999999999998</v>
      </c>
      <c r="H36" s="120">
        <v>0.51234000000000002</v>
      </c>
      <c r="I36" s="120">
        <v>1.57663</v>
      </c>
      <c r="J36" s="120"/>
      <c r="K36" s="120"/>
      <c r="L36" s="120"/>
      <c r="M36" s="120"/>
      <c r="N36" s="120"/>
      <c r="O36" s="120"/>
      <c r="P36" s="120"/>
      <c r="Q36" s="120"/>
      <c r="R36" s="120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x14ac:dyDescent="0.25">
      <c r="A37" s="14" t="str">
        <f t="shared" si="0"/>
        <v>COGACSCST469Q11DA</v>
      </c>
      <c r="B37" s="120" t="s">
        <v>369</v>
      </c>
      <c r="C37" s="120" t="s">
        <v>1085</v>
      </c>
      <c r="D37" s="120">
        <v>1.34335</v>
      </c>
      <c r="E37" s="120">
        <v>-0.29137999999999997</v>
      </c>
      <c r="F37" s="120">
        <v>-1.21166</v>
      </c>
      <c r="G37" s="120">
        <v>-0.47848000000000002</v>
      </c>
      <c r="H37" s="120">
        <v>0.47538999999999998</v>
      </c>
      <c r="I37" s="120">
        <v>1.21475</v>
      </c>
      <c r="J37" s="120"/>
      <c r="K37" s="120"/>
      <c r="L37" s="120"/>
      <c r="M37" s="120"/>
      <c r="N37" s="120"/>
      <c r="O37" s="120"/>
      <c r="P37" s="120"/>
      <c r="Q37" s="120"/>
      <c r="R37" s="120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x14ac:dyDescent="0.25">
      <c r="A38" s="14" t="str">
        <f t="shared" si="0"/>
        <v>COLLENEFFST499Q02DA</v>
      </c>
      <c r="B38" s="120" t="s">
        <v>370</v>
      </c>
      <c r="C38" s="120" t="s">
        <v>972</v>
      </c>
      <c r="D38" s="120">
        <v>2.1207400000000001</v>
      </c>
      <c r="E38" s="120">
        <v>-1.26715</v>
      </c>
      <c r="F38" s="120">
        <v>-1.8811899999999999</v>
      </c>
      <c r="G38" s="120">
        <v>-1.26803</v>
      </c>
      <c r="H38" s="120">
        <v>3.1492200000000001</v>
      </c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x14ac:dyDescent="0.25">
      <c r="A39" s="14" t="str">
        <f t="shared" si="0"/>
        <v>COLLENEFFST499Q04DA</v>
      </c>
      <c r="B39" s="120" t="s">
        <v>370</v>
      </c>
      <c r="C39" s="120" t="s">
        <v>974</v>
      </c>
      <c r="D39" s="120">
        <v>3.07816</v>
      </c>
      <c r="E39" s="120">
        <v>-2.2830499999999998</v>
      </c>
      <c r="F39" s="120">
        <v>-3.2233000000000001</v>
      </c>
      <c r="G39" s="120">
        <v>-1.2603899999999999</v>
      </c>
      <c r="H39" s="120">
        <v>4.4836900000000002</v>
      </c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x14ac:dyDescent="0.25">
      <c r="A40" s="14" t="str">
        <f t="shared" si="0"/>
        <v>COLLENEFFST499Q05DA</v>
      </c>
      <c r="B40" s="120" t="s">
        <v>370</v>
      </c>
      <c r="C40" s="120" t="s">
        <v>976</v>
      </c>
      <c r="D40" s="120">
        <v>2.2736800000000001</v>
      </c>
      <c r="E40" s="120">
        <v>-1.2736499999999999</v>
      </c>
      <c r="F40" s="120">
        <v>-2.65347</v>
      </c>
      <c r="G40" s="120">
        <v>-0.83613000000000004</v>
      </c>
      <c r="H40" s="120">
        <v>3.4895999999999998</v>
      </c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x14ac:dyDescent="0.25">
      <c r="A41" s="14" t="str">
        <f t="shared" si="0"/>
        <v>COLLENEFFST499Q06DA</v>
      </c>
      <c r="B41" s="120" t="s">
        <v>370</v>
      </c>
      <c r="C41" s="120" t="s">
        <v>978</v>
      </c>
      <c r="D41" s="120">
        <v>1.8944300000000001</v>
      </c>
      <c r="E41" s="120">
        <v>-1.23692</v>
      </c>
      <c r="F41" s="120">
        <v>-2.00013</v>
      </c>
      <c r="G41" s="120">
        <v>-0.93884999999999996</v>
      </c>
      <c r="H41" s="120">
        <v>2.9389799999999999</v>
      </c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x14ac:dyDescent="0.25">
      <c r="A42" s="14" t="str">
        <f t="shared" si="0"/>
        <v>CURIOST301Q01JA</v>
      </c>
      <c r="B42" s="120" t="s">
        <v>371</v>
      </c>
      <c r="C42" s="120" t="s">
        <v>1049</v>
      </c>
      <c r="D42" s="120">
        <v>2.43452</v>
      </c>
      <c r="E42" s="120">
        <v>-2.11347</v>
      </c>
      <c r="F42" s="120">
        <v>-1.77382</v>
      </c>
      <c r="G42" s="120">
        <v>-1.39266</v>
      </c>
      <c r="H42" s="120">
        <v>-0.31459999999999999</v>
      </c>
      <c r="I42" s="120">
        <v>3.48108</v>
      </c>
      <c r="J42" s="120"/>
      <c r="K42" s="120"/>
      <c r="L42" s="120"/>
      <c r="M42" s="120"/>
      <c r="N42" s="120"/>
      <c r="O42" s="120"/>
      <c r="P42" s="120"/>
      <c r="Q42" s="120"/>
      <c r="R42" s="120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x14ac:dyDescent="0.25">
      <c r="A43" s="14" t="str">
        <f t="shared" si="0"/>
        <v>CURIOST301Q04JA</v>
      </c>
      <c r="B43" s="120" t="s">
        <v>371</v>
      </c>
      <c r="C43" s="120" t="s">
        <v>1051</v>
      </c>
      <c r="D43" s="120">
        <v>3.2882699999999998</v>
      </c>
      <c r="E43" s="120">
        <v>-3.2198799999999999</v>
      </c>
      <c r="F43" s="120">
        <v>-3.3730199999999999</v>
      </c>
      <c r="G43" s="120">
        <v>-1.63852</v>
      </c>
      <c r="H43" s="120">
        <v>7.5209999999999999E-2</v>
      </c>
      <c r="I43" s="120">
        <v>4.9363299999999999</v>
      </c>
      <c r="J43" s="120"/>
      <c r="K43" s="120"/>
      <c r="L43" s="120"/>
      <c r="M43" s="120"/>
      <c r="N43" s="120"/>
      <c r="O43" s="120"/>
      <c r="P43" s="120"/>
      <c r="Q43" s="120"/>
      <c r="R43" s="120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x14ac:dyDescent="0.25">
      <c r="A44" s="14" t="str">
        <f t="shared" si="0"/>
        <v>CURIOST301Q06JA</v>
      </c>
      <c r="B44" s="120" t="s">
        <v>371</v>
      </c>
      <c r="C44" s="120" t="s">
        <v>1053</v>
      </c>
      <c r="D44" s="120">
        <v>1.5161</v>
      </c>
      <c r="E44" s="120">
        <v>-1.1824399999999999</v>
      </c>
      <c r="F44" s="120">
        <v>-1.8717999999999999</v>
      </c>
      <c r="G44" s="120">
        <v>-1.1380600000000001</v>
      </c>
      <c r="H44" s="120">
        <v>0.47567999999999999</v>
      </c>
      <c r="I44" s="120">
        <v>2.5341800000000001</v>
      </c>
      <c r="J44" s="120"/>
      <c r="K44" s="120"/>
      <c r="L44" s="120"/>
      <c r="M44" s="120"/>
      <c r="N44" s="120"/>
      <c r="O44" s="120"/>
      <c r="P44" s="120"/>
      <c r="Q44" s="120"/>
      <c r="R44" s="120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x14ac:dyDescent="0.25">
      <c r="A45" s="14" t="str">
        <f t="shared" si="0"/>
        <v>CURIOST301Q10JA</v>
      </c>
      <c r="B45" s="120" t="s">
        <v>371</v>
      </c>
      <c r="C45" s="120" t="s">
        <v>1055</v>
      </c>
      <c r="D45" s="120">
        <v>1.3347</v>
      </c>
      <c r="E45" s="120">
        <v>-1.4288000000000001</v>
      </c>
      <c r="F45" s="120">
        <v>-0.91661999999999999</v>
      </c>
      <c r="G45" s="120">
        <v>-1.3279000000000001</v>
      </c>
      <c r="H45" s="120">
        <v>-7.7719999999999997E-2</v>
      </c>
      <c r="I45" s="120">
        <v>2.3222399999999999</v>
      </c>
      <c r="J45" s="120"/>
      <c r="K45" s="120"/>
      <c r="L45" s="120"/>
      <c r="M45" s="120"/>
      <c r="N45" s="120"/>
      <c r="O45" s="120"/>
      <c r="P45" s="120"/>
      <c r="Q45" s="120"/>
      <c r="R45" s="120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x14ac:dyDescent="0.25">
      <c r="A46" s="14" t="str">
        <f t="shared" si="0"/>
        <v>DISCLISCIST097Q01TA</v>
      </c>
      <c r="B46" s="120" t="s">
        <v>322</v>
      </c>
      <c r="C46" s="120" t="s">
        <v>1095</v>
      </c>
      <c r="D46" s="120">
        <v>1.61165</v>
      </c>
      <c r="E46" s="120">
        <v>0.30668000000000001</v>
      </c>
      <c r="F46" s="120">
        <v>-2.0195400000000001</v>
      </c>
      <c r="G46" s="120">
        <v>-0.83382000000000001</v>
      </c>
      <c r="H46" s="120">
        <v>2.8533599999999999</v>
      </c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x14ac:dyDescent="0.25">
      <c r="A47" s="14" t="str">
        <f t="shared" si="0"/>
        <v>DISCLISCIST097Q02TA</v>
      </c>
      <c r="B47" s="120" t="s">
        <v>322</v>
      </c>
      <c r="C47" s="120" t="s">
        <v>1097</v>
      </c>
      <c r="D47" s="120">
        <v>2.2053400000000001</v>
      </c>
      <c r="E47" s="120">
        <v>0.42798999999999998</v>
      </c>
      <c r="F47" s="120">
        <v>-2.7055099999999999</v>
      </c>
      <c r="G47" s="120">
        <v>-0.77156000000000002</v>
      </c>
      <c r="H47" s="120">
        <v>3.4770699999999999</v>
      </c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x14ac:dyDescent="0.25">
      <c r="A48" s="14" t="str">
        <f t="shared" si="0"/>
        <v>DISCLISCIST097Q03TA</v>
      </c>
      <c r="B48" s="120" t="s">
        <v>322</v>
      </c>
      <c r="C48" s="120" t="s">
        <v>1099</v>
      </c>
      <c r="D48" s="120">
        <v>1.9517500000000001</v>
      </c>
      <c r="E48" s="120">
        <v>-1.7330000000000002E-2</v>
      </c>
      <c r="F48" s="120">
        <v>-2.0901900000000002</v>
      </c>
      <c r="G48" s="120">
        <v>-0.61795999999999995</v>
      </c>
      <c r="H48" s="120">
        <v>2.7081499999999998</v>
      </c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x14ac:dyDescent="0.25">
      <c r="A49" s="14" t="str">
        <f t="shared" si="0"/>
        <v>DISCLISCIST097Q04TA</v>
      </c>
      <c r="B49" s="120" t="s">
        <v>322</v>
      </c>
      <c r="C49" s="120" t="s">
        <v>1101</v>
      </c>
      <c r="D49" s="120">
        <v>1.3523000000000001</v>
      </c>
      <c r="E49" s="120">
        <v>-0.45721000000000001</v>
      </c>
      <c r="F49" s="120">
        <v>-1.46326</v>
      </c>
      <c r="G49" s="120">
        <v>-0.65573000000000004</v>
      </c>
      <c r="H49" s="120">
        <v>2.1189900000000002</v>
      </c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x14ac:dyDescent="0.25">
      <c r="A50" s="14" t="str">
        <f t="shared" si="0"/>
        <v>DISCLISCIST097Q05TA</v>
      </c>
      <c r="B50" s="120" t="s">
        <v>322</v>
      </c>
      <c r="C50" s="120" t="s">
        <v>1103</v>
      </c>
      <c r="D50" s="120">
        <v>1.3789400000000001</v>
      </c>
      <c r="E50" s="120">
        <v>-0.26014999999999999</v>
      </c>
      <c r="F50" s="120">
        <v>-1.37324</v>
      </c>
      <c r="G50" s="120">
        <v>-0.52234000000000003</v>
      </c>
      <c r="H50" s="120">
        <v>1.89558</v>
      </c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x14ac:dyDescent="0.25">
      <c r="A51" s="14" t="str">
        <f t="shared" si="0"/>
        <v>DISCLISCIST097Q06DA</v>
      </c>
      <c r="B51" s="120" t="s">
        <v>322</v>
      </c>
      <c r="C51" s="120" t="s">
        <v>1105</v>
      </c>
      <c r="D51" s="120">
        <v>0.63807999999999998</v>
      </c>
      <c r="E51" s="120">
        <v>-0.18770999999999999</v>
      </c>
      <c r="F51" s="120">
        <v>-0.31140000000000001</v>
      </c>
      <c r="G51" s="120">
        <v>-0.26355000000000001</v>
      </c>
      <c r="H51" s="120">
        <v>0.57494999999999996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x14ac:dyDescent="0.25">
      <c r="A52" s="14" t="str">
        <f t="shared" si="0"/>
        <v>EFFSCIEST129Q03TA</v>
      </c>
      <c r="B52" s="120" t="s">
        <v>372</v>
      </c>
      <c r="C52" s="120" t="s">
        <v>997</v>
      </c>
      <c r="D52" s="120">
        <v>1.0741099999999999</v>
      </c>
      <c r="E52" s="120">
        <v>-0.96892999999999996</v>
      </c>
      <c r="F52" s="120">
        <v>-1.0787</v>
      </c>
      <c r="G52" s="120">
        <v>-0.36021999999999998</v>
      </c>
      <c r="H52" s="120">
        <v>1.4389099999999999</v>
      </c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x14ac:dyDescent="0.25">
      <c r="A53" s="14" t="str">
        <f t="shared" si="0"/>
        <v>EFFSCIEST129Q05TA</v>
      </c>
      <c r="B53" s="120" t="s">
        <v>372</v>
      </c>
      <c r="C53" s="120" t="s">
        <v>999</v>
      </c>
      <c r="D53" s="120">
        <v>1.75973</v>
      </c>
      <c r="E53" s="120">
        <v>-1.8927099999999999</v>
      </c>
      <c r="F53" s="120">
        <v>-1.82605</v>
      </c>
      <c r="G53" s="120">
        <v>-0.39118999999999998</v>
      </c>
      <c r="H53" s="120">
        <v>2.2172399999999999</v>
      </c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x14ac:dyDescent="0.25">
      <c r="A54" s="14" t="str">
        <f t="shared" si="0"/>
        <v>EFFSCIEST129Q08DA</v>
      </c>
      <c r="B54" s="120" t="s">
        <v>372</v>
      </c>
      <c r="C54" s="120" t="s">
        <v>1001</v>
      </c>
      <c r="D54" s="120">
        <v>2.0030299999999999</v>
      </c>
      <c r="E54" s="120">
        <v>-2.25271</v>
      </c>
      <c r="F54" s="120">
        <v>-2.0596399999999999</v>
      </c>
      <c r="G54" s="120">
        <v>-0.28155000000000002</v>
      </c>
      <c r="H54" s="120">
        <v>2.3411900000000001</v>
      </c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x14ac:dyDescent="0.25">
      <c r="A55" s="14" t="str">
        <f t="shared" si="0"/>
        <v>EFFSCIEST129Q11DA</v>
      </c>
      <c r="B55" s="120" t="s">
        <v>372</v>
      </c>
      <c r="C55" s="120" t="s">
        <v>1003</v>
      </c>
      <c r="D55" s="120">
        <v>1.70564</v>
      </c>
      <c r="E55" s="120">
        <v>-1.5319700000000001</v>
      </c>
      <c r="F55" s="120">
        <v>-1.94394</v>
      </c>
      <c r="G55" s="120">
        <v>-0.20014000000000001</v>
      </c>
      <c r="H55" s="120">
        <v>2.1440899999999998</v>
      </c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x14ac:dyDescent="0.25">
      <c r="A56" s="14" t="str">
        <f t="shared" si="0"/>
        <v>EFFSCIEST129Q12DA</v>
      </c>
      <c r="B56" s="120" t="s">
        <v>372</v>
      </c>
      <c r="C56" s="120" t="s">
        <v>1005</v>
      </c>
      <c r="D56" s="120">
        <v>1.6906399999999999</v>
      </c>
      <c r="E56" s="120">
        <v>-1.5239799999999999</v>
      </c>
      <c r="F56" s="120">
        <v>-1.9578800000000001</v>
      </c>
      <c r="G56" s="120">
        <v>-0.22534000000000001</v>
      </c>
      <c r="H56" s="120">
        <v>2.1832199999999999</v>
      </c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x14ac:dyDescent="0.25">
      <c r="A57" s="14" t="str">
        <f t="shared" si="0"/>
        <v>EFFSCIEST129Q14DA</v>
      </c>
      <c r="B57" s="120" t="s">
        <v>372</v>
      </c>
      <c r="C57" s="120" t="s">
        <v>1007</v>
      </c>
      <c r="D57" s="120">
        <v>1.50265</v>
      </c>
      <c r="E57" s="120">
        <v>-1.42645</v>
      </c>
      <c r="F57" s="120">
        <v>-1.3641399999999999</v>
      </c>
      <c r="G57" s="120">
        <v>-0.21510000000000001</v>
      </c>
      <c r="H57" s="120">
        <v>1.57924</v>
      </c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x14ac:dyDescent="0.25">
      <c r="A58" s="14" t="str">
        <f t="shared" si="0"/>
        <v>ENGSCIPRST515Q02DA</v>
      </c>
      <c r="B58" s="120" t="s">
        <v>373</v>
      </c>
      <c r="C58" s="120" t="s">
        <v>1065</v>
      </c>
      <c r="D58" s="120">
        <v>1.41822</v>
      </c>
      <c r="E58" s="120">
        <v>0.17715</v>
      </c>
      <c r="F58" s="120">
        <v>-1.02616</v>
      </c>
      <c r="G58" s="120">
        <v>0.38246999999999998</v>
      </c>
      <c r="H58" s="120">
        <v>0.64368999999999998</v>
      </c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x14ac:dyDescent="0.25">
      <c r="A59" s="14" t="str">
        <f t="shared" si="0"/>
        <v>ENGSCIPRST515Q04DA</v>
      </c>
      <c r="B59" s="120" t="s">
        <v>373</v>
      </c>
      <c r="C59" s="120" t="s">
        <v>1067</v>
      </c>
      <c r="D59" s="120">
        <v>2.0275500000000002</v>
      </c>
      <c r="E59" s="120">
        <v>-3.6679999999999997E-2</v>
      </c>
      <c r="F59" s="120">
        <v>-2.5472000000000001</v>
      </c>
      <c r="G59" s="120">
        <v>0.24915000000000001</v>
      </c>
      <c r="H59" s="120">
        <v>2.2980499999999999</v>
      </c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x14ac:dyDescent="0.25">
      <c r="A60" s="14" t="str">
        <f t="shared" si="0"/>
        <v>ENGSCIPRST515Q05DA</v>
      </c>
      <c r="B60" s="120" t="s">
        <v>373</v>
      </c>
      <c r="C60" s="120" t="s">
        <v>1069</v>
      </c>
      <c r="D60" s="120">
        <v>2.0981999999999998</v>
      </c>
      <c r="E60" s="120">
        <v>-0.60155000000000003</v>
      </c>
      <c r="F60" s="120">
        <v>-2.58853</v>
      </c>
      <c r="G60" s="120">
        <v>0.16017000000000001</v>
      </c>
      <c r="H60" s="120">
        <v>2.4283600000000001</v>
      </c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x14ac:dyDescent="0.25">
      <c r="A61" s="14" t="str">
        <f t="shared" si="0"/>
        <v>ENGSCIPRST515Q08DA</v>
      </c>
      <c r="B61" s="120" t="s">
        <v>373</v>
      </c>
      <c r="C61" s="120" t="s">
        <v>1071</v>
      </c>
      <c r="D61" s="120">
        <v>2.5716199999999998</v>
      </c>
      <c r="E61" s="120">
        <v>-0.24056</v>
      </c>
      <c r="F61" s="120">
        <v>-2.68126</v>
      </c>
      <c r="G61" s="120">
        <v>0.14421</v>
      </c>
      <c r="H61" s="120">
        <v>2.5370499999999998</v>
      </c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x14ac:dyDescent="0.25">
      <c r="A62" s="14" t="str">
        <f t="shared" si="0"/>
        <v>ENGSCIPRST515Q09DA</v>
      </c>
      <c r="B62" s="120" t="s">
        <v>373</v>
      </c>
      <c r="C62" s="120" t="s">
        <v>1073</v>
      </c>
      <c r="D62" s="120">
        <v>2.7571099999999999</v>
      </c>
      <c r="E62" s="120">
        <v>-0.33956999999999998</v>
      </c>
      <c r="F62" s="120">
        <v>-2.8508200000000001</v>
      </c>
      <c r="G62" s="120">
        <v>0.15853999999999999</v>
      </c>
      <c r="H62" s="120">
        <v>2.6922799999999998</v>
      </c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x14ac:dyDescent="0.25">
      <c r="A63" s="14" t="str">
        <f t="shared" si="0"/>
        <v>ENGSCIPRST515Q11DA</v>
      </c>
      <c r="B63" s="120" t="s">
        <v>373</v>
      </c>
      <c r="C63" s="120" t="s">
        <v>1075</v>
      </c>
      <c r="D63" s="120">
        <v>1.9982800000000001</v>
      </c>
      <c r="E63" s="120">
        <v>-6.13E-3</v>
      </c>
      <c r="F63" s="120">
        <v>-2.0734400000000002</v>
      </c>
      <c r="G63" s="120">
        <v>0.1656</v>
      </c>
      <c r="H63" s="120">
        <v>1.90784</v>
      </c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x14ac:dyDescent="0.25">
      <c r="A64" s="14" t="str">
        <f t="shared" si="0"/>
        <v>ENPROBSST435Q01DA</v>
      </c>
      <c r="B64" s="120" t="s">
        <v>374</v>
      </c>
      <c r="C64" s="120" t="s">
        <v>1143</v>
      </c>
      <c r="D64" s="120">
        <v>1.3490200000000001</v>
      </c>
      <c r="E64" s="120">
        <v>-1.2765500000000001</v>
      </c>
      <c r="F64" s="120">
        <v>-1.29471</v>
      </c>
      <c r="G64" s="120">
        <v>-1.1560900000000001</v>
      </c>
      <c r="H64" s="120">
        <v>2.4508000000000001</v>
      </c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x14ac:dyDescent="0.25">
      <c r="A65" s="14" t="str">
        <f t="shared" si="0"/>
        <v>ENPROBSST435Q03DA</v>
      </c>
      <c r="B65" s="120" t="s">
        <v>374</v>
      </c>
      <c r="C65" s="120" t="s">
        <v>1145</v>
      </c>
      <c r="D65" s="120">
        <v>2.8734500000000001</v>
      </c>
      <c r="E65" s="120">
        <v>-1.52434</v>
      </c>
      <c r="F65" s="120">
        <v>-3.8127800000000001</v>
      </c>
      <c r="G65" s="120">
        <v>-0.31772</v>
      </c>
      <c r="H65" s="120">
        <v>4.1304999999999996</v>
      </c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x14ac:dyDescent="0.25">
      <c r="A66" s="14" t="str">
        <f t="shared" ref="A66:A129" si="1">_xlfn.CONCAT(B66,C66)</f>
        <v>ENPROBSST435Q04DA</v>
      </c>
      <c r="B66" s="120" t="s">
        <v>374</v>
      </c>
      <c r="C66" s="120" t="s">
        <v>1147</v>
      </c>
      <c r="D66" s="120">
        <v>1.9606300000000001</v>
      </c>
      <c r="E66" s="120">
        <v>-0.54171999999999998</v>
      </c>
      <c r="F66" s="120">
        <v>-2.75047</v>
      </c>
      <c r="G66" s="120">
        <v>-4.231E-2</v>
      </c>
      <c r="H66" s="120">
        <v>2.79278</v>
      </c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x14ac:dyDescent="0.25">
      <c r="A67" s="14" t="str">
        <f t="shared" si="1"/>
        <v>ENPROBSST435Q05DA</v>
      </c>
      <c r="B67" s="120" t="s">
        <v>374</v>
      </c>
      <c r="C67" s="120" t="s">
        <v>1149</v>
      </c>
      <c r="D67" s="120">
        <v>1.45502</v>
      </c>
      <c r="E67" s="120">
        <v>-0.98016000000000003</v>
      </c>
      <c r="F67" s="120">
        <v>-1.95448</v>
      </c>
      <c r="G67" s="120">
        <v>-0.59470999999999996</v>
      </c>
      <c r="H67" s="120">
        <v>2.5491999999999999</v>
      </c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x14ac:dyDescent="0.25">
      <c r="A68" s="14" t="str">
        <f t="shared" si="1"/>
        <v>ENVAPARTST495Q03DA</v>
      </c>
      <c r="B68" s="120" t="s">
        <v>375</v>
      </c>
      <c r="C68" s="120" t="s">
        <v>1039</v>
      </c>
      <c r="D68" s="120">
        <v>1.0922000000000001</v>
      </c>
      <c r="E68" s="120">
        <v>1.6039000000000001</v>
      </c>
      <c r="F68" s="120">
        <v>-0.26517000000000002</v>
      </c>
      <c r="G68" s="120">
        <v>-0.47649999999999998</v>
      </c>
      <c r="H68" s="120">
        <v>0.74167000000000005</v>
      </c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x14ac:dyDescent="0.25">
      <c r="A69" s="14" t="str">
        <f t="shared" si="1"/>
        <v>ENVAPARTST495Q05DA</v>
      </c>
      <c r="B69" s="120" t="s">
        <v>375</v>
      </c>
      <c r="C69" s="120" t="s">
        <v>1041</v>
      </c>
      <c r="D69" s="120">
        <v>1.36815</v>
      </c>
      <c r="E69" s="120">
        <v>1.8153999999999999</v>
      </c>
      <c r="F69" s="120">
        <v>-0.50488999999999995</v>
      </c>
      <c r="G69" s="120">
        <v>-0.65049999999999997</v>
      </c>
      <c r="H69" s="120">
        <v>1.1553899999999999</v>
      </c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x14ac:dyDescent="0.25">
      <c r="A70" s="14" t="str">
        <f t="shared" si="1"/>
        <v>ENVAPARTST495Q09DA</v>
      </c>
      <c r="B70" s="120" t="s">
        <v>375</v>
      </c>
      <c r="C70" s="120" t="s">
        <v>1043</v>
      </c>
      <c r="D70" s="120">
        <v>1.0558099999999999</v>
      </c>
      <c r="E70" s="120">
        <v>0.70104</v>
      </c>
      <c r="F70" s="120">
        <v>-0.38407999999999998</v>
      </c>
      <c r="G70" s="120">
        <v>-0.71769000000000005</v>
      </c>
      <c r="H70" s="120">
        <v>1.1017699999999999</v>
      </c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x14ac:dyDescent="0.25">
      <c r="A71" s="14" t="str">
        <f t="shared" si="1"/>
        <v>ENVAPARTST495Q13DA</v>
      </c>
      <c r="B71" s="120" t="s">
        <v>375</v>
      </c>
      <c r="C71" s="120" t="s">
        <v>1045</v>
      </c>
      <c r="D71" s="120">
        <v>1.4117200000000001</v>
      </c>
      <c r="E71" s="120">
        <v>1.13435</v>
      </c>
      <c r="F71" s="120">
        <v>-0.49757000000000001</v>
      </c>
      <c r="G71" s="120">
        <v>-0.66554999999999997</v>
      </c>
      <c r="H71" s="120">
        <v>1.1631199999999999</v>
      </c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x14ac:dyDescent="0.25">
      <c r="A72" s="14" t="str">
        <f t="shared" si="1"/>
        <v>ENVAPARTST495Q15DA</v>
      </c>
      <c r="B72" s="120" t="s">
        <v>375</v>
      </c>
      <c r="C72" s="120" t="s">
        <v>1047</v>
      </c>
      <c r="D72" s="120">
        <v>1.1005499999999999</v>
      </c>
      <c r="E72" s="120">
        <v>0.52200000000000002</v>
      </c>
      <c r="F72" s="120">
        <v>-0.49337999999999999</v>
      </c>
      <c r="G72" s="120">
        <v>-0.51439000000000001</v>
      </c>
      <c r="H72" s="120">
        <v>1.0077700000000001</v>
      </c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x14ac:dyDescent="0.25">
      <c r="A73" s="14" t="str">
        <f t="shared" si="1"/>
        <v>ENVAWAREST092Q01TA</v>
      </c>
      <c r="B73" s="120" t="s">
        <v>323</v>
      </c>
      <c r="C73" s="120" t="s">
        <v>1027</v>
      </c>
      <c r="D73" s="120">
        <v>1.2835799999999999</v>
      </c>
      <c r="E73" s="120">
        <v>0.36260999999999999</v>
      </c>
      <c r="F73" s="120">
        <v>-1.5627800000000001</v>
      </c>
      <c r="G73" s="120">
        <v>-4.2139999999999997E-2</v>
      </c>
      <c r="H73" s="120">
        <v>1.6049199999999999</v>
      </c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x14ac:dyDescent="0.25">
      <c r="A74" s="14" t="str">
        <f t="shared" si="1"/>
        <v>ENVAWAREST092Q04TA</v>
      </c>
      <c r="B74" s="120" t="s">
        <v>323</v>
      </c>
      <c r="C74" s="120" t="s">
        <v>1029</v>
      </c>
      <c r="D74" s="120">
        <v>1.26939</v>
      </c>
      <c r="E74" s="120">
        <v>0.52051000000000003</v>
      </c>
      <c r="F74" s="120">
        <v>-1.9861899999999999</v>
      </c>
      <c r="G74" s="120">
        <v>0.10496999999999999</v>
      </c>
      <c r="H74" s="120">
        <v>1.8812199999999999</v>
      </c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x14ac:dyDescent="0.25">
      <c r="A75" s="14" t="str">
        <f t="shared" si="1"/>
        <v>ENVAWAREST092Q05TA</v>
      </c>
      <c r="B75" s="120" t="s">
        <v>323</v>
      </c>
      <c r="C75" s="120" t="s">
        <v>1031</v>
      </c>
      <c r="D75" s="120">
        <v>1.60103</v>
      </c>
      <c r="E75" s="120">
        <v>-0.24789</v>
      </c>
      <c r="F75" s="120">
        <v>-1.5420400000000001</v>
      </c>
      <c r="G75" s="120">
        <v>-0.15711</v>
      </c>
      <c r="H75" s="120">
        <v>1.6991499999999999</v>
      </c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x14ac:dyDescent="0.25">
      <c r="A76" s="14" t="str">
        <f t="shared" si="1"/>
        <v>ENVAWAREST092Q08NA</v>
      </c>
      <c r="B76" s="120" t="s">
        <v>323</v>
      </c>
      <c r="C76" s="120" t="s">
        <v>1033</v>
      </c>
      <c r="D76" s="120">
        <v>2.5051700000000001</v>
      </c>
      <c r="E76" s="120">
        <v>-0.64161999999999997</v>
      </c>
      <c r="F76" s="120">
        <v>-2.6438799999999998</v>
      </c>
      <c r="G76" s="120">
        <v>-0.20116999999999999</v>
      </c>
      <c r="H76" s="120">
        <v>2.8450500000000001</v>
      </c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x14ac:dyDescent="0.25">
      <c r="A77" s="14" t="str">
        <f t="shared" si="1"/>
        <v>ENVAWAREST092Q09NA</v>
      </c>
      <c r="B77" s="120" t="s">
        <v>323</v>
      </c>
      <c r="C77" s="120" t="s">
        <v>1035</v>
      </c>
      <c r="D77" s="120">
        <v>1.58222</v>
      </c>
      <c r="E77" s="120">
        <v>-0.22228999999999999</v>
      </c>
      <c r="F77" s="120">
        <v>-1.6685300000000001</v>
      </c>
      <c r="G77" s="120">
        <v>-0.17376</v>
      </c>
      <c r="H77" s="120">
        <v>1.84229</v>
      </c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x14ac:dyDescent="0.25">
      <c r="A78" s="14" t="str">
        <f t="shared" si="1"/>
        <v>ENVAWAREST092Q14DA</v>
      </c>
      <c r="B78" s="120" t="s">
        <v>323</v>
      </c>
      <c r="C78" s="120" t="s">
        <v>1037</v>
      </c>
      <c r="D78" s="120">
        <v>2.0642200000000002</v>
      </c>
      <c r="E78" s="120">
        <v>-0.72711000000000003</v>
      </c>
      <c r="F78" s="120">
        <v>-2.1548400000000001</v>
      </c>
      <c r="G78" s="120">
        <v>-0.20608000000000001</v>
      </c>
      <c r="H78" s="120">
        <v>2.3609300000000002</v>
      </c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x14ac:dyDescent="0.25">
      <c r="A79" s="14" t="str">
        <f t="shared" si="1"/>
        <v>ENVCAPCHST500Q03DA</v>
      </c>
      <c r="B79" s="120" t="s">
        <v>376</v>
      </c>
      <c r="C79" s="120" t="s">
        <v>1019</v>
      </c>
      <c r="D79" s="120">
        <v>1.68466</v>
      </c>
      <c r="E79" s="120">
        <v>-0.95982000000000001</v>
      </c>
      <c r="F79" s="120">
        <v>-1.87734</v>
      </c>
      <c r="G79" s="120">
        <v>-1.1258600000000001</v>
      </c>
      <c r="H79" s="120">
        <v>3.0032000000000001</v>
      </c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x14ac:dyDescent="0.25">
      <c r="A80" s="14" t="str">
        <f t="shared" si="1"/>
        <v>ENVCAPCHST500Q05DA</v>
      </c>
      <c r="B80" s="120" t="s">
        <v>376</v>
      </c>
      <c r="C80" s="120" t="s">
        <v>1021</v>
      </c>
      <c r="D80" s="120">
        <v>2.5286300000000002</v>
      </c>
      <c r="E80" s="120">
        <v>-2.2152500000000002</v>
      </c>
      <c r="F80" s="120">
        <v>-2.67021</v>
      </c>
      <c r="G80" s="120">
        <v>-1.34182</v>
      </c>
      <c r="H80" s="120">
        <v>4.0120300000000002</v>
      </c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x14ac:dyDescent="0.25">
      <c r="A81" s="14" t="str">
        <f t="shared" si="1"/>
        <v>ENVCAPCHST500Q06DA</v>
      </c>
      <c r="B81" s="120" t="s">
        <v>376</v>
      </c>
      <c r="C81" s="120" t="s">
        <v>1023</v>
      </c>
      <c r="D81" s="120">
        <v>2.0909499999999999</v>
      </c>
      <c r="E81" s="120">
        <v>-2.1920700000000002</v>
      </c>
      <c r="F81" s="120">
        <v>-1.74763</v>
      </c>
      <c r="G81" s="120">
        <v>-1.24112</v>
      </c>
      <c r="H81" s="120">
        <v>2.98875</v>
      </c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x14ac:dyDescent="0.25">
      <c r="A82" s="14" t="str">
        <f t="shared" si="1"/>
        <v>ENVCAPCHST500Q09DA</v>
      </c>
      <c r="B82" s="120" t="s">
        <v>376</v>
      </c>
      <c r="C82" s="120" t="s">
        <v>1025</v>
      </c>
      <c r="D82" s="120">
        <v>1.6065199999999999</v>
      </c>
      <c r="E82" s="120">
        <v>-1.5096000000000001</v>
      </c>
      <c r="F82" s="120">
        <v>-1.46712</v>
      </c>
      <c r="G82" s="120">
        <v>-0.98760000000000003</v>
      </c>
      <c r="H82" s="120">
        <v>2.45472</v>
      </c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x14ac:dyDescent="0.25">
      <c r="A83" s="14" t="str">
        <f t="shared" si="1"/>
        <v>FAMSUPST300Q01JA</v>
      </c>
      <c r="B83" s="120" t="s">
        <v>324</v>
      </c>
      <c r="C83" s="120" t="s">
        <v>1117</v>
      </c>
      <c r="D83" s="120">
        <v>1.2418400000000001</v>
      </c>
      <c r="E83" s="120">
        <v>9.1500000000000001E-3</v>
      </c>
      <c r="F83" s="120">
        <v>-0.55100000000000005</v>
      </c>
      <c r="G83" s="120">
        <v>-0.73695999999999995</v>
      </c>
      <c r="H83" s="120">
        <v>0.13309000000000001</v>
      </c>
      <c r="I83" s="120">
        <v>1.1548700000000001</v>
      </c>
      <c r="J83" s="120"/>
      <c r="K83" s="120"/>
      <c r="L83" s="120"/>
      <c r="M83" s="120"/>
      <c r="N83" s="120"/>
      <c r="O83" s="120"/>
      <c r="P83" s="120"/>
      <c r="Q83" s="120"/>
      <c r="R83" s="120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x14ac:dyDescent="0.25">
      <c r="A84" s="14" t="str">
        <f t="shared" si="1"/>
        <v>FAMSUPST300Q05JA</v>
      </c>
      <c r="B84" s="120" t="s">
        <v>324</v>
      </c>
      <c r="C84" s="120" t="s">
        <v>1119</v>
      </c>
      <c r="D84" s="120">
        <v>1.92258</v>
      </c>
      <c r="E84" s="120">
        <v>0.28877000000000003</v>
      </c>
      <c r="F84" s="120">
        <v>-0.99322999999999995</v>
      </c>
      <c r="G84" s="120">
        <v>-0.93772</v>
      </c>
      <c r="H84" s="120">
        <v>0.28544000000000003</v>
      </c>
      <c r="I84" s="120">
        <v>1.64551</v>
      </c>
      <c r="J84" s="120"/>
      <c r="K84" s="120"/>
      <c r="L84" s="120"/>
      <c r="M84" s="120"/>
      <c r="N84" s="120"/>
      <c r="O84" s="120"/>
      <c r="P84" s="120"/>
      <c r="Q84" s="120"/>
      <c r="R84" s="120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x14ac:dyDescent="0.25">
      <c r="A85" s="14" t="str">
        <f t="shared" si="1"/>
        <v>FAMSUPST300Q08JA</v>
      </c>
      <c r="B85" s="120" t="s">
        <v>324</v>
      </c>
      <c r="C85" s="120" t="s">
        <v>1121</v>
      </c>
      <c r="D85" s="120">
        <v>2.1100699999999999</v>
      </c>
      <c r="E85" s="120">
        <v>-7.9259999999999997E-2</v>
      </c>
      <c r="F85" s="120">
        <v>-1.0922499999999999</v>
      </c>
      <c r="G85" s="120">
        <v>-0.93157999999999996</v>
      </c>
      <c r="H85" s="120">
        <v>0.29353000000000001</v>
      </c>
      <c r="I85" s="120">
        <v>1.7302999999999999</v>
      </c>
      <c r="J85" s="120"/>
      <c r="K85" s="120"/>
      <c r="L85" s="120"/>
      <c r="M85" s="120"/>
      <c r="N85" s="120"/>
      <c r="O85" s="120"/>
      <c r="P85" s="120"/>
      <c r="Q85" s="120"/>
      <c r="R85" s="120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x14ac:dyDescent="0.25">
      <c r="A86" s="14" t="str">
        <f t="shared" si="1"/>
        <v>FAMSUPST300Q09JA</v>
      </c>
      <c r="B86" s="120" t="s">
        <v>324</v>
      </c>
      <c r="C86" s="120" t="s">
        <v>1123</v>
      </c>
      <c r="D86" s="120">
        <v>1.57986</v>
      </c>
      <c r="E86" s="120">
        <v>-0.14205999999999999</v>
      </c>
      <c r="F86" s="120">
        <v>-1.1770700000000001</v>
      </c>
      <c r="G86" s="120">
        <v>-0.86311000000000004</v>
      </c>
      <c r="H86" s="120">
        <v>0.54693000000000003</v>
      </c>
      <c r="I86" s="120">
        <v>1.49325</v>
      </c>
      <c r="J86" s="120"/>
      <c r="K86" s="120"/>
      <c r="L86" s="120"/>
      <c r="M86" s="120"/>
      <c r="N86" s="120"/>
      <c r="O86" s="120"/>
      <c r="P86" s="120"/>
      <c r="Q86" s="120"/>
      <c r="R86" s="120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x14ac:dyDescent="0.25">
      <c r="A87" s="14" t="str">
        <f t="shared" si="1"/>
        <v>FAMSUPST300Q10JA</v>
      </c>
      <c r="B87" s="120" t="s">
        <v>324</v>
      </c>
      <c r="C87" s="120" t="s">
        <v>1125</v>
      </c>
      <c r="D87" s="120">
        <v>1.55657</v>
      </c>
      <c r="E87" s="120">
        <v>-0.31090000000000001</v>
      </c>
      <c r="F87" s="120">
        <v>-0.18262999999999999</v>
      </c>
      <c r="G87" s="120">
        <v>-0.63505999999999996</v>
      </c>
      <c r="H87" s="120">
        <v>9.0450000000000003E-2</v>
      </c>
      <c r="I87" s="120">
        <v>0.72724</v>
      </c>
      <c r="J87" s="120"/>
      <c r="K87" s="120"/>
      <c r="L87" s="120"/>
      <c r="M87" s="120"/>
      <c r="N87" s="120"/>
      <c r="O87" s="120"/>
      <c r="P87" s="120"/>
      <c r="Q87" s="120"/>
      <c r="R87" s="120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x14ac:dyDescent="0.25">
      <c r="A88" s="14" t="str">
        <f t="shared" si="1"/>
        <v>FEELSAFEST265Q01JA</v>
      </c>
      <c r="B88" s="120" t="s">
        <v>325</v>
      </c>
      <c r="C88" s="120" t="s">
        <v>952</v>
      </c>
      <c r="D88" s="120">
        <v>2.3955600000000001</v>
      </c>
      <c r="E88" s="120">
        <v>0.17044999999999999</v>
      </c>
      <c r="F88" s="120">
        <v>-3.60215</v>
      </c>
      <c r="G88" s="120">
        <v>-1.4633700000000001</v>
      </c>
      <c r="H88" s="120">
        <v>5.0655200000000002</v>
      </c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x14ac:dyDescent="0.25">
      <c r="A89" s="14" t="str">
        <f t="shared" si="1"/>
        <v>FEELSAFEST265Q02JA</v>
      </c>
      <c r="B89" s="120" t="s">
        <v>325</v>
      </c>
      <c r="C89" s="120" t="s">
        <v>954</v>
      </c>
      <c r="D89" s="120">
        <v>2.0436299999999998</v>
      </c>
      <c r="E89" s="120">
        <v>3.338E-2</v>
      </c>
      <c r="F89" s="120">
        <v>-3.1688200000000002</v>
      </c>
      <c r="G89" s="120">
        <v>-1.2823599999999999</v>
      </c>
      <c r="H89" s="120">
        <v>4.4511799999999999</v>
      </c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x14ac:dyDescent="0.25">
      <c r="A90" s="14" t="str">
        <f t="shared" si="1"/>
        <v>FEELSAFEST265Q03JA</v>
      </c>
      <c r="B90" s="120" t="s">
        <v>325</v>
      </c>
      <c r="C90" s="120" t="s">
        <v>956</v>
      </c>
      <c r="D90" s="120">
        <v>1.30894</v>
      </c>
      <c r="E90" s="120">
        <v>-0.27123999999999998</v>
      </c>
      <c r="F90" s="120">
        <v>-1.81073</v>
      </c>
      <c r="G90" s="120">
        <v>-1.47631</v>
      </c>
      <c r="H90" s="120">
        <v>3.2870400000000002</v>
      </c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x14ac:dyDescent="0.25">
      <c r="A91" s="14" t="str">
        <f t="shared" si="1"/>
        <v>FEELSAFEST265Q04JA</v>
      </c>
      <c r="B91" s="120" t="s">
        <v>325</v>
      </c>
      <c r="C91" s="120" t="s">
        <v>958</v>
      </c>
      <c r="D91" s="120">
        <v>1.0518700000000001</v>
      </c>
      <c r="E91" s="120">
        <v>6.7409999999999998E-2</v>
      </c>
      <c r="F91" s="120">
        <v>-1.62792</v>
      </c>
      <c r="G91" s="120">
        <v>-1.0870899999999999</v>
      </c>
      <c r="H91" s="120">
        <v>2.7150099999999999</v>
      </c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x14ac:dyDescent="0.25">
      <c r="A92" s="14" t="str">
        <f t="shared" si="1"/>
        <v>GOALSETST432Q02DA</v>
      </c>
      <c r="B92" s="120" t="s">
        <v>377</v>
      </c>
      <c r="C92" s="120" t="s">
        <v>1151</v>
      </c>
      <c r="D92" s="120">
        <v>1.6356599999999999</v>
      </c>
      <c r="E92" s="120">
        <v>-0.63487000000000005</v>
      </c>
      <c r="F92" s="120">
        <v>-2.2298900000000001</v>
      </c>
      <c r="G92" s="120">
        <v>0.29396</v>
      </c>
      <c r="H92" s="120">
        <v>1.9359299999999999</v>
      </c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x14ac:dyDescent="0.25">
      <c r="A93" s="14" t="str">
        <f t="shared" si="1"/>
        <v>GOALSETST432Q03DA</v>
      </c>
      <c r="B93" s="120" t="s">
        <v>377</v>
      </c>
      <c r="C93" s="120" t="s">
        <v>1153</v>
      </c>
      <c r="D93" s="120">
        <v>1.89777</v>
      </c>
      <c r="E93" s="120">
        <v>-0.46148</v>
      </c>
      <c r="F93" s="120">
        <v>-2.5610900000000001</v>
      </c>
      <c r="G93" s="120">
        <v>0.18579999999999999</v>
      </c>
      <c r="H93" s="120">
        <v>2.3752900000000001</v>
      </c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x14ac:dyDescent="0.25">
      <c r="A94" s="14" t="str">
        <f t="shared" si="1"/>
        <v>GOALSETST432Q04DA</v>
      </c>
      <c r="B94" s="120" t="s">
        <v>377</v>
      </c>
      <c r="C94" s="120" t="s">
        <v>1155</v>
      </c>
      <c r="D94" s="120">
        <v>1.9942800000000001</v>
      </c>
      <c r="E94" s="120">
        <v>-1.14893</v>
      </c>
      <c r="F94" s="120">
        <v>-2.62954</v>
      </c>
      <c r="G94" s="120">
        <v>0.13555</v>
      </c>
      <c r="H94" s="120">
        <v>2.4939900000000002</v>
      </c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x14ac:dyDescent="0.25">
      <c r="A95" s="14" t="str">
        <f t="shared" si="1"/>
        <v>GOALSETST432Q06DA</v>
      </c>
      <c r="B95" s="120" t="s">
        <v>377</v>
      </c>
      <c r="C95" s="120" t="s">
        <v>1157</v>
      </c>
      <c r="D95" s="120">
        <v>1.49302</v>
      </c>
      <c r="E95" s="120">
        <v>-0.81981999999999999</v>
      </c>
      <c r="F95" s="120">
        <v>-2.1843499999999998</v>
      </c>
      <c r="G95" s="120">
        <v>0.24001</v>
      </c>
      <c r="H95" s="120">
        <v>1.94434</v>
      </c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x14ac:dyDescent="0.25">
      <c r="A96" s="14" t="str">
        <f t="shared" si="1"/>
        <v>JOYSCIEST094Q01NA</v>
      </c>
      <c r="B96" s="120" t="s">
        <v>327</v>
      </c>
      <c r="C96" s="120" t="s">
        <v>980</v>
      </c>
      <c r="D96" s="120">
        <v>1.51834</v>
      </c>
      <c r="E96" s="120">
        <v>-5.6680000000000001E-2</v>
      </c>
      <c r="F96" s="120">
        <v>-3.02725</v>
      </c>
      <c r="G96" s="120">
        <v>-0.67718</v>
      </c>
      <c r="H96" s="120">
        <v>3.7044299999999999</v>
      </c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x14ac:dyDescent="0.25">
      <c r="A97" s="14" t="str">
        <f t="shared" si="1"/>
        <v>JOYSCIEST094Q03NA</v>
      </c>
      <c r="B97" s="120" t="s">
        <v>327</v>
      </c>
      <c r="C97" s="120" t="s">
        <v>982</v>
      </c>
      <c r="D97" s="120">
        <v>1.41896</v>
      </c>
      <c r="E97" s="120">
        <v>0.56771000000000005</v>
      </c>
      <c r="F97" s="120">
        <v>-3.3008600000000001</v>
      </c>
      <c r="G97" s="120">
        <v>-0.20146</v>
      </c>
      <c r="H97" s="120">
        <v>3.5023200000000001</v>
      </c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x14ac:dyDescent="0.25">
      <c r="A98" s="14" t="str">
        <f t="shared" si="1"/>
        <v>JOYSCIEST094Q04NA</v>
      </c>
      <c r="B98" s="120" t="s">
        <v>327</v>
      </c>
      <c r="C98" s="120" t="s">
        <v>984</v>
      </c>
      <c r="D98" s="120">
        <v>1.94886</v>
      </c>
      <c r="E98" s="120">
        <v>-0.56723999999999997</v>
      </c>
      <c r="F98" s="120">
        <v>-3.6970499999999999</v>
      </c>
      <c r="G98" s="120">
        <v>-0.75839999999999996</v>
      </c>
      <c r="H98" s="120">
        <v>4.4554499999999999</v>
      </c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x14ac:dyDescent="0.25">
      <c r="A99" s="14" t="str">
        <f t="shared" si="1"/>
        <v>JOYSCIEST094Q05NA</v>
      </c>
      <c r="B99" s="120" t="s">
        <v>327</v>
      </c>
      <c r="C99" s="120" t="s">
        <v>986</v>
      </c>
      <c r="D99" s="120">
        <v>1.9668699999999999</v>
      </c>
      <c r="E99" s="120">
        <v>-0.33979999999999999</v>
      </c>
      <c r="F99" s="120">
        <v>-3.7393100000000001</v>
      </c>
      <c r="G99" s="120">
        <v>-0.57696000000000003</v>
      </c>
      <c r="H99" s="120">
        <v>4.3162700000000003</v>
      </c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x14ac:dyDescent="0.25">
      <c r="A100" s="14" t="str">
        <f t="shared" si="1"/>
        <v>OPENVLRNST501Q03DA</v>
      </c>
      <c r="B100" s="120" t="s">
        <v>379</v>
      </c>
      <c r="C100" s="120" t="s">
        <v>988</v>
      </c>
      <c r="D100" s="120">
        <v>1.2291000000000001</v>
      </c>
      <c r="E100" s="120">
        <v>0.49758999999999998</v>
      </c>
      <c r="F100" s="120">
        <v>-1.2026699999999999</v>
      </c>
      <c r="G100" s="120">
        <v>-0.51083999999999996</v>
      </c>
      <c r="H100" s="120">
        <v>1.7135100000000001</v>
      </c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x14ac:dyDescent="0.25">
      <c r="A101" s="14" t="str">
        <f t="shared" si="1"/>
        <v>OPENVLRNST501Q05DA</v>
      </c>
      <c r="B101" s="120" t="s">
        <v>379</v>
      </c>
      <c r="C101" s="120" t="s">
        <v>990</v>
      </c>
      <c r="D101" s="120">
        <v>2.5998100000000002</v>
      </c>
      <c r="E101" s="120">
        <v>4.0349999999999997E-2</v>
      </c>
      <c r="F101" s="120">
        <v>-2.9142399999999999</v>
      </c>
      <c r="G101" s="120">
        <v>-0.84935000000000005</v>
      </c>
      <c r="H101" s="120">
        <v>3.7635800000000001</v>
      </c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x14ac:dyDescent="0.25">
      <c r="A102" s="14" t="str">
        <f t="shared" si="1"/>
        <v>OPENVLRNST501Q06DA</v>
      </c>
      <c r="B102" s="120" t="s">
        <v>379</v>
      </c>
      <c r="C102" s="120" t="s">
        <v>992</v>
      </c>
      <c r="D102" s="120">
        <v>2.79474</v>
      </c>
      <c r="E102" s="120">
        <v>-0.27951999999999999</v>
      </c>
      <c r="F102" s="120">
        <v>-2.9677099999999998</v>
      </c>
      <c r="G102" s="120">
        <v>-1.0004200000000001</v>
      </c>
      <c r="H102" s="120">
        <v>3.9681299999999999</v>
      </c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x14ac:dyDescent="0.25">
      <c r="A103" s="14" t="str">
        <f t="shared" si="1"/>
        <v>OPENVLRNST501Q07DA</v>
      </c>
      <c r="B103" s="120" t="s">
        <v>379</v>
      </c>
      <c r="C103" s="120" t="s">
        <v>994</v>
      </c>
      <c r="D103" s="120">
        <v>1.4319299999999999</v>
      </c>
      <c r="E103" s="120">
        <v>-5.2920000000000002E-2</v>
      </c>
      <c r="F103" s="120">
        <v>-1.59812</v>
      </c>
      <c r="G103" s="120">
        <v>-0.67888000000000004</v>
      </c>
      <c r="H103" s="120">
        <v>2.2770000000000001</v>
      </c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x14ac:dyDescent="0.25">
      <c r="A104" s="14" t="str">
        <f t="shared" si="1"/>
        <v>PERSEVST307Q01JA</v>
      </c>
      <c r="B104" s="120" t="s">
        <v>380</v>
      </c>
      <c r="C104" s="120" t="s">
        <v>1057</v>
      </c>
      <c r="D104" s="120">
        <v>2.2345100000000002</v>
      </c>
      <c r="E104" s="120">
        <v>-1.6757500000000001</v>
      </c>
      <c r="F104" s="120">
        <v>-2.1284100000000001</v>
      </c>
      <c r="G104" s="120">
        <v>-1.4606399999999999</v>
      </c>
      <c r="H104" s="120">
        <v>2.1610000000000001E-2</v>
      </c>
      <c r="I104" s="120">
        <v>3.5674399999999999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x14ac:dyDescent="0.25">
      <c r="A105" s="14" t="str">
        <f t="shared" si="1"/>
        <v>PERSEVST307Q02JA</v>
      </c>
      <c r="B105" s="120" t="s">
        <v>380</v>
      </c>
      <c r="C105" s="120" t="s">
        <v>1059</v>
      </c>
      <c r="D105" s="120">
        <v>2.0617700000000001</v>
      </c>
      <c r="E105" s="120">
        <v>-1.73838</v>
      </c>
      <c r="F105" s="120">
        <v>-2.5494599999999998</v>
      </c>
      <c r="G105" s="120">
        <v>-1.0912599999999999</v>
      </c>
      <c r="H105" s="120">
        <v>0.12212000000000001</v>
      </c>
      <c r="I105" s="120">
        <v>3.5186000000000002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x14ac:dyDescent="0.25">
      <c r="A106" s="14" t="str">
        <f t="shared" si="1"/>
        <v>PERSEVST307Q03JA</v>
      </c>
      <c r="B106" s="120" t="s">
        <v>380</v>
      </c>
      <c r="C106" s="120" t="s">
        <v>1061</v>
      </c>
      <c r="D106" s="120">
        <v>1.7030000000000001</v>
      </c>
      <c r="E106" s="120">
        <v>-1.1462699999999999</v>
      </c>
      <c r="F106" s="120">
        <v>-2.2757999999999998</v>
      </c>
      <c r="G106" s="120">
        <v>-1.0246599999999999</v>
      </c>
      <c r="H106" s="120">
        <v>0.23624000000000001</v>
      </c>
      <c r="I106" s="120">
        <v>3.0642200000000002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x14ac:dyDescent="0.25">
      <c r="A107" s="14" t="str">
        <f t="shared" si="1"/>
        <v>PERSEVST307Q09JA</v>
      </c>
      <c r="B107" s="120" t="s">
        <v>380</v>
      </c>
      <c r="C107" s="120" t="s">
        <v>1063</v>
      </c>
      <c r="D107" s="120">
        <v>1.31942</v>
      </c>
      <c r="E107" s="120">
        <v>-1.21008</v>
      </c>
      <c r="F107" s="120">
        <v>-1.3857600000000001</v>
      </c>
      <c r="G107" s="120">
        <v>-1.0008900000000001</v>
      </c>
      <c r="H107" s="120">
        <v>2.6040000000000001E-2</v>
      </c>
      <c r="I107" s="120">
        <v>2.3606099999999999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x14ac:dyDescent="0.25">
      <c r="A108" s="14" t="str">
        <f t="shared" si="1"/>
        <v>SCIECOLLRST468Q08DA</v>
      </c>
      <c r="B108" s="120" t="s">
        <v>381</v>
      </c>
      <c r="C108" s="120" t="s">
        <v>1087</v>
      </c>
      <c r="D108" s="120">
        <v>1.65035</v>
      </c>
      <c r="E108" s="120">
        <v>-0.31833</v>
      </c>
      <c r="F108" s="120">
        <v>-1.59212</v>
      </c>
      <c r="G108" s="120">
        <v>-0.54730000000000001</v>
      </c>
      <c r="H108" s="120">
        <v>0.61270000000000002</v>
      </c>
      <c r="I108" s="120">
        <v>1.5267200000000001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x14ac:dyDescent="0.25">
      <c r="A109" s="14" t="str">
        <f t="shared" si="1"/>
        <v>SCIECOLLRST468Q09DA</v>
      </c>
      <c r="B109" s="120" t="s">
        <v>381</v>
      </c>
      <c r="C109" s="120" t="s">
        <v>1089</v>
      </c>
      <c r="D109" s="120">
        <v>1.27041</v>
      </c>
      <c r="E109" s="120">
        <v>9.7879999999999995E-2</v>
      </c>
      <c r="F109" s="120">
        <v>-1.1173299999999999</v>
      </c>
      <c r="G109" s="120">
        <v>-0.46145999999999998</v>
      </c>
      <c r="H109" s="120">
        <v>0.52385000000000004</v>
      </c>
      <c r="I109" s="120">
        <v>1.05494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x14ac:dyDescent="0.25">
      <c r="A110" s="14" t="str">
        <f t="shared" si="1"/>
        <v>SCIECOLLRST468Q10DA</v>
      </c>
      <c r="B110" s="120" t="s">
        <v>381</v>
      </c>
      <c r="C110" s="120" t="s">
        <v>1091</v>
      </c>
      <c r="D110" s="120">
        <v>1.2162200000000001</v>
      </c>
      <c r="E110" s="120">
        <v>-0.11471000000000001</v>
      </c>
      <c r="F110" s="120">
        <v>-1.2584900000000001</v>
      </c>
      <c r="G110" s="120">
        <v>-0.47184999999999999</v>
      </c>
      <c r="H110" s="120">
        <v>0.56101000000000001</v>
      </c>
      <c r="I110" s="120">
        <v>1.16933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x14ac:dyDescent="0.25">
      <c r="A111" s="14" t="str">
        <f t="shared" si="1"/>
        <v>SCIECOLLRST468Q11DA</v>
      </c>
      <c r="B111" s="120" t="s">
        <v>381</v>
      </c>
      <c r="C111" s="120" t="s">
        <v>1093</v>
      </c>
      <c r="D111" s="120">
        <v>1.0017499999999999</v>
      </c>
      <c r="E111" s="120">
        <v>-0.34247</v>
      </c>
      <c r="F111" s="120">
        <v>-1.20296</v>
      </c>
      <c r="G111" s="120">
        <v>-0.35382000000000002</v>
      </c>
      <c r="H111" s="120">
        <v>0.42120999999999997</v>
      </c>
      <c r="I111" s="120">
        <v>1.1355599999999999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x14ac:dyDescent="0.25">
      <c r="A112" s="14" t="str">
        <f t="shared" si="1"/>
        <v>SELFREGST433Q01DA</v>
      </c>
      <c r="B112" s="120" t="s">
        <v>382</v>
      </c>
      <c r="C112" s="120" t="s">
        <v>1159</v>
      </c>
      <c r="D112" s="33">
        <v>1.2379800000000001</v>
      </c>
      <c r="E112" s="33">
        <v>-1.2918499999999999</v>
      </c>
      <c r="F112" s="33">
        <v>-1.0400700000000001</v>
      </c>
      <c r="G112" s="33">
        <v>-1.1953199999999999</v>
      </c>
      <c r="H112" s="33">
        <v>2.2353900000000002</v>
      </c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x14ac:dyDescent="0.25">
      <c r="A113" s="14" t="str">
        <f t="shared" si="1"/>
        <v>SELFREGST433Q02DA</v>
      </c>
      <c r="B113" s="120" t="s">
        <v>382</v>
      </c>
      <c r="C113" s="120" t="s">
        <v>1161</v>
      </c>
      <c r="D113" s="33">
        <v>2.4800499999999999</v>
      </c>
      <c r="E113" s="33">
        <v>-2.2073</v>
      </c>
      <c r="F113" s="33">
        <v>-2.7861099999999999</v>
      </c>
      <c r="G113" s="33">
        <v>-0.96067999999999998</v>
      </c>
      <c r="H113" s="33">
        <v>3.7467899999999998</v>
      </c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x14ac:dyDescent="0.25">
      <c r="A114" s="14" t="str">
        <f t="shared" si="1"/>
        <v>SELFREGST433Q04DA</v>
      </c>
      <c r="B114" s="120" t="s">
        <v>382</v>
      </c>
      <c r="C114" s="120" t="s">
        <v>1163</v>
      </c>
      <c r="D114" s="33">
        <v>3.1234299999999999</v>
      </c>
      <c r="E114" s="33">
        <v>-2.7556699999999998</v>
      </c>
      <c r="F114" s="33">
        <v>-3.5033500000000002</v>
      </c>
      <c r="G114" s="33">
        <v>-1.0174000000000001</v>
      </c>
      <c r="H114" s="33">
        <v>4.5207499999999996</v>
      </c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x14ac:dyDescent="0.25">
      <c r="A115" s="14" t="str">
        <f t="shared" si="1"/>
        <v>SELFREGST433Q06DA</v>
      </c>
      <c r="B115" s="120" t="s">
        <v>382</v>
      </c>
      <c r="C115" s="120" t="s">
        <v>1165</v>
      </c>
      <c r="D115" s="33">
        <v>0.89754999999999996</v>
      </c>
      <c r="E115" s="33">
        <v>-1.0268900000000001</v>
      </c>
      <c r="F115" s="33">
        <v>-1.04115</v>
      </c>
      <c r="G115" s="33">
        <v>-0.76936000000000004</v>
      </c>
      <c r="H115" s="33">
        <v>1.8105100000000001</v>
      </c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x14ac:dyDescent="0.25">
      <c r="A116" s="14" t="str">
        <f t="shared" si="1"/>
        <v>STBELSCIEST131Q04NA</v>
      </c>
      <c r="B116" s="120" t="s">
        <v>383</v>
      </c>
      <c r="C116" s="120" t="s">
        <v>1009</v>
      </c>
      <c r="D116" s="33">
        <v>2.1725500000000002</v>
      </c>
      <c r="E116" s="121">
        <v>-1.47435</v>
      </c>
      <c r="F116" s="121">
        <v>-1.4663999999999999</v>
      </c>
      <c r="G116" s="121">
        <v>-1.5544</v>
      </c>
      <c r="H116" s="121">
        <v>3.0207899999999999</v>
      </c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x14ac:dyDescent="0.25">
      <c r="A117" s="14" t="str">
        <f t="shared" si="1"/>
        <v>STBELSCIEST131Q10DA</v>
      </c>
      <c r="B117" s="120" t="s">
        <v>383</v>
      </c>
      <c r="C117" s="120" t="s">
        <v>1011</v>
      </c>
      <c r="D117" s="33">
        <v>2.48996</v>
      </c>
      <c r="E117" s="121">
        <v>-1.99919</v>
      </c>
      <c r="F117" s="121">
        <v>-2.33744</v>
      </c>
      <c r="G117" s="121">
        <v>-1.1938500000000001</v>
      </c>
      <c r="H117" s="121">
        <v>3.5312899999999998</v>
      </c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x14ac:dyDescent="0.25">
      <c r="A118" s="14" t="str">
        <f t="shared" si="1"/>
        <v>STBELSCIEST131Q12DA</v>
      </c>
      <c r="B118" s="120" t="s">
        <v>383</v>
      </c>
      <c r="C118" s="120" t="s">
        <v>1013</v>
      </c>
      <c r="D118" s="33">
        <v>2.4958200000000001</v>
      </c>
      <c r="E118" s="121">
        <v>-2.0809899999999999</v>
      </c>
      <c r="F118" s="121">
        <v>-2.1821600000000001</v>
      </c>
      <c r="G118" s="121">
        <v>-1.0856399999999999</v>
      </c>
      <c r="H118" s="121">
        <v>3.2677999999999998</v>
      </c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x14ac:dyDescent="0.25">
      <c r="A119" s="14" t="str">
        <f t="shared" si="1"/>
        <v>STBELSCIEST131Q05DA</v>
      </c>
      <c r="B119" s="120" t="s">
        <v>383</v>
      </c>
      <c r="C119" s="120" t="s">
        <v>1015</v>
      </c>
      <c r="D119" s="33">
        <v>1.1570499999999999</v>
      </c>
      <c r="E119" s="121">
        <v>-0.98399999999999999</v>
      </c>
      <c r="F119" s="121">
        <v>-1.07576</v>
      </c>
      <c r="G119" s="121">
        <v>-0.76602000000000003</v>
      </c>
      <c r="H119" s="121">
        <v>1.8417699999999999</v>
      </c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x14ac:dyDescent="0.25">
      <c r="A120" s="14" t="str">
        <f t="shared" si="1"/>
        <v>STBELSCIEST131Q13DA</v>
      </c>
      <c r="B120" s="120" t="s">
        <v>383</v>
      </c>
      <c r="C120" s="120" t="s">
        <v>1017</v>
      </c>
      <c r="D120" s="33">
        <v>1.95445</v>
      </c>
      <c r="E120" s="121">
        <v>-1.6223799999999999</v>
      </c>
      <c r="F120" s="121">
        <v>-1.7252700000000001</v>
      </c>
      <c r="G120" s="121">
        <v>-1.0309200000000001</v>
      </c>
      <c r="H120" s="121">
        <v>2.7562000000000002</v>
      </c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x14ac:dyDescent="0.25">
      <c r="A121" s="14" t="str">
        <f t="shared" si="1"/>
        <v>TEACHSUPST100Q01TA</v>
      </c>
      <c r="B121" s="120" t="s">
        <v>328</v>
      </c>
      <c r="C121" s="120" t="s">
        <v>1107</v>
      </c>
      <c r="D121" s="120">
        <v>1.3146100000000001</v>
      </c>
      <c r="E121" s="120">
        <v>-9.8600000000000007E-3</v>
      </c>
      <c r="F121" s="120">
        <v>-1.65845</v>
      </c>
      <c r="G121" s="120">
        <v>0.11204</v>
      </c>
      <c r="H121" s="120">
        <v>1.5464100000000001</v>
      </c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 spans="1:28" x14ac:dyDescent="0.25">
      <c r="A122" s="14" t="str">
        <f t="shared" si="1"/>
        <v>TEACHSUPST100Q02TA</v>
      </c>
      <c r="B122" s="120" t="s">
        <v>328</v>
      </c>
      <c r="C122" s="120" t="s">
        <v>1109</v>
      </c>
      <c r="D122" s="120">
        <v>1.8696600000000001</v>
      </c>
      <c r="E122" s="120">
        <v>-6.6040000000000001E-2</v>
      </c>
      <c r="F122" s="120">
        <v>-2.3400099999999999</v>
      </c>
      <c r="G122" s="120">
        <v>9.0469999999999995E-2</v>
      </c>
      <c r="H122" s="120">
        <v>2.2495400000000001</v>
      </c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 x14ac:dyDescent="0.25">
      <c r="A123" s="14" t="str">
        <f t="shared" si="1"/>
        <v>TEACHSUPST100Q03TA</v>
      </c>
      <c r="B123" s="120" t="s">
        <v>328</v>
      </c>
      <c r="C123" s="120" t="s">
        <v>1111</v>
      </c>
      <c r="D123" s="120">
        <v>2.24648</v>
      </c>
      <c r="E123" s="120">
        <v>-2.334E-2</v>
      </c>
      <c r="F123" s="120">
        <v>-2.4730599999999998</v>
      </c>
      <c r="G123" s="120">
        <v>4.7469999999999998E-2</v>
      </c>
      <c r="H123" s="120">
        <v>2.4255900000000001</v>
      </c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 x14ac:dyDescent="0.25">
      <c r="A124" s="14" t="str">
        <f t="shared" si="1"/>
        <v>TEACHSUPST100Q04TA</v>
      </c>
      <c r="B124" s="120" t="s">
        <v>328</v>
      </c>
      <c r="C124" s="120" t="s">
        <v>1113</v>
      </c>
      <c r="D124" s="120">
        <v>1.7256</v>
      </c>
      <c r="E124" s="120">
        <v>7.6560000000000003E-2</v>
      </c>
      <c r="F124" s="120">
        <v>-1.95095</v>
      </c>
      <c r="G124" s="120">
        <v>0.13486999999999999</v>
      </c>
      <c r="H124" s="120">
        <v>1.8160799999999999</v>
      </c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 x14ac:dyDescent="0.25">
      <c r="A125" s="14" t="str">
        <f t="shared" si="1"/>
        <v>TEACHSUPST100Q05TA</v>
      </c>
      <c r="B125" s="120" t="s">
        <v>328</v>
      </c>
      <c r="C125" s="120" t="s">
        <v>1115</v>
      </c>
      <c r="D125" s="120">
        <v>1.34365</v>
      </c>
      <c r="E125" s="120">
        <v>2.2669999999999999E-2</v>
      </c>
      <c r="F125" s="120">
        <v>-1.6525799999999999</v>
      </c>
      <c r="G125" s="120">
        <v>0.14005000000000001</v>
      </c>
      <c r="H125" s="120">
        <v>1.5125299999999999</v>
      </c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 x14ac:dyDescent="0.25">
      <c r="A126" s="14" t="str">
        <f t="shared" si="1"/>
        <v>HOMEPOSST250Q01JA_R</v>
      </c>
      <c r="B126" s="120" t="s">
        <v>378</v>
      </c>
      <c r="C126" s="120" t="s">
        <v>2655</v>
      </c>
      <c r="D126" s="120">
        <v>0.61661999999999995</v>
      </c>
      <c r="E126" s="120">
        <v>-2.3352900000000001</v>
      </c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 x14ac:dyDescent="0.25">
      <c r="A127" s="14" t="str">
        <f t="shared" si="1"/>
        <v>HOMEPOSST250Q01JA_R_DOWN1</v>
      </c>
      <c r="B127" s="120" t="s">
        <v>378</v>
      </c>
      <c r="C127" s="120" t="s">
        <v>2656</v>
      </c>
      <c r="D127" s="120">
        <v>0.33531</v>
      </c>
      <c r="E127" s="120">
        <v>-0.53451000000000004</v>
      </c>
      <c r="F127" s="120"/>
      <c r="G127" s="120"/>
      <c r="H127" s="120"/>
      <c r="I127" s="120"/>
      <c r="J127" s="120"/>
      <c r="K127" s="123" t="s">
        <v>713</v>
      </c>
      <c r="L127" s="123" t="s">
        <v>637</v>
      </c>
      <c r="M127" s="33"/>
      <c r="N127" s="120"/>
      <c r="O127" s="120"/>
      <c r="P127" s="120"/>
      <c r="Q127" s="120"/>
      <c r="R127" s="120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 x14ac:dyDescent="0.25">
      <c r="A128" s="14" t="str">
        <f t="shared" si="1"/>
        <v>HOMEPOSST250Q01JA_R_DOWN2</v>
      </c>
      <c r="B128" s="120" t="s">
        <v>378</v>
      </c>
      <c r="C128" s="120" t="s">
        <v>2657</v>
      </c>
      <c r="D128" s="120">
        <v>0.53302000000000005</v>
      </c>
      <c r="E128" s="120">
        <v>-0.87856000000000001</v>
      </c>
      <c r="F128" s="120"/>
      <c r="G128" s="120"/>
      <c r="H128" s="120"/>
      <c r="I128" s="120"/>
      <c r="J128" s="120"/>
      <c r="K128" s="123" t="s">
        <v>2658</v>
      </c>
      <c r="L128" s="123" t="s">
        <v>697</v>
      </c>
      <c r="M128" s="123" t="s">
        <v>730</v>
      </c>
      <c r="N128" s="123" t="s">
        <v>621</v>
      </c>
      <c r="O128" s="123" t="s">
        <v>2658</v>
      </c>
      <c r="P128" s="123" t="s">
        <v>698</v>
      </c>
      <c r="Q128" s="123" t="s">
        <v>713</v>
      </c>
      <c r="R128" s="123" t="s">
        <v>636</v>
      </c>
      <c r="S128" s="123" t="s">
        <v>741</v>
      </c>
      <c r="T128" s="123" t="s">
        <v>680</v>
      </c>
      <c r="U128" s="33"/>
      <c r="V128" s="33"/>
      <c r="W128" s="33"/>
      <c r="X128" s="33"/>
      <c r="Y128" s="33"/>
      <c r="Z128" s="33"/>
      <c r="AA128" s="33"/>
      <c r="AB128" s="33"/>
    </row>
    <row r="129" spans="1:28" x14ac:dyDescent="0.25">
      <c r="A129" s="14" t="str">
        <f t="shared" si="1"/>
        <v>HOMEPOSST250Q02JA_R</v>
      </c>
      <c r="B129" s="120" t="s">
        <v>378</v>
      </c>
      <c r="C129" s="120" t="s">
        <v>2659</v>
      </c>
      <c r="D129" s="120">
        <v>1.4285399999999999</v>
      </c>
      <c r="E129" s="120">
        <v>-3.5450300000000001</v>
      </c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 x14ac:dyDescent="0.25">
      <c r="A130" s="14" t="str">
        <f t="shared" ref="A130:A192" si="2">_xlfn.CONCAT(B130,C130)</f>
        <v>HOMEPOSST250Q02JA_R_DOWN2</v>
      </c>
      <c r="B130" s="120" t="s">
        <v>378</v>
      </c>
      <c r="C130" s="120" t="s">
        <v>2660</v>
      </c>
      <c r="D130" s="120">
        <v>1.8136699999999999</v>
      </c>
      <c r="E130" s="120">
        <v>-2.5625900000000001</v>
      </c>
      <c r="F130" s="120"/>
      <c r="G130" s="120"/>
      <c r="H130" s="120"/>
      <c r="I130" s="120"/>
      <c r="J130" s="120"/>
      <c r="K130" s="123" t="s">
        <v>2661</v>
      </c>
      <c r="L130" s="123" t="s">
        <v>579</v>
      </c>
      <c r="M130" s="120"/>
      <c r="N130" s="120"/>
      <c r="O130" s="120"/>
      <c r="P130" s="120"/>
      <c r="Q130" s="120"/>
      <c r="R130" s="120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 x14ac:dyDescent="0.25">
      <c r="A131" s="14" t="str">
        <f t="shared" si="2"/>
        <v>HOMEPOSST250Q02JA_R_UP1</v>
      </c>
      <c r="B131" s="120" t="s">
        <v>378</v>
      </c>
      <c r="C131" s="120" t="s">
        <v>2662</v>
      </c>
      <c r="D131" s="120">
        <v>0.71099999999999997</v>
      </c>
      <c r="E131" s="120">
        <v>-3.6589</v>
      </c>
      <c r="F131" s="120"/>
      <c r="G131" s="120"/>
      <c r="H131" s="120"/>
      <c r="I131" s="120"/>
      <c r="J131" s="120"/>
      <c r="K131" s="123" t="s">
        <v>722</v>
      </c>
      <c r="L131" s="123" t="s">
        <v>598</v>
      </c>
      <c r="M131" s="120"/>
      <c r="N131" s="120"/>
      <c r="O131" s="120"/>
      <c r="P131" s="120"/>
      <c r="Q131" s="120"/>
      <c r="R131" s="120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 x14ac:dyDescent="0.25">
      <c r="A132" s="14" t="str">
        <f t="shared" si="2"/>
        <v>HOMEPOSST250Q03JA_R</v>
      </c>
      <c r="B132" s="120" t="s">
        <v>378</v>
      </c>
      <c r="C132" s="120" t="s">
        <v>2663</v>
      </c>
      <c r="D132" s="120">
        <v>0.72987000000000002</v>
      </c>
      <c r="E132" s="120">
        <v>-1.9890300000000001</v>
      </c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 x14ac:dyDescent="0.25">
      <c r="A133" s="14" t="str">
        <f t="shared" si="2"/>
        <v>HOMEPOSST250Q03JA_R_DOWN2</v>
      </c>
      <c r="B133" s="120" t="s">
        <v>378</v>
      </c>
      <c r="C133" s="120" t="s">
        <v>2664</v>
      </c>
      <c r="D133" s="120">
        <v>1.3262100000000001</v>
      </c>
      <c r="E133" s="120">
        <v>-1.98709</v>
      </c>
      <c r="F133" s="120"/>
      <c r="G133" s="120"/>
      <c r="H133" s="120"/>
      <c r="I133" s="120"/>
      <c r="J133" s="120"/>
      <c r="K133" s="123" t="s">
        <v>2665</v>
      </c>
      <c r="L133" s="123" t="s">
        <v>653</v>
      </c>
      <c r="M133" s="120"/>
      <c r="N133" s="120"/>
      <c r="O133" s="120"/>
      <c r="P133" s="120"/>
      <c r="Q133" s="120"/>
      <c r="R133" s="120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 x14ac:dyDescent="0.25">
      <c r="A134" s="14" t="str">
        <f t="shared" si="2"/>
        <v>HOMEPOSST250Q03JA_R_UP2</v>
      </c>
      <c r="B134" s="120" t="s">
        <v>378</v>
      </c>
      <c r="C134" s="120" t="s">
        <v>2666</v>
      </c>
      <c r="D134" s="120">
        <v>0.33260000000000001</v>
      </c>
      <c r="E134" s="120">
        <v>-2.4759199999999999</v>
      </c>
      <c r="F134" s="120"/>
      <c r="G134" s="120"/>
      <c r="H134" s="120"/>
      <c r="I134" s="120"/>
      <c r="J134" s="120"/>
      <c r="K134" s="123" t="s">
        <v>894</v>
      </c>
      <c r="L134" s="123" t="s">
        <v>703</v>
      </c>
      <c r="M134" s="120"/>
      <c r="N134" s="120"/>
      <c r="O134" s="120"/>
      <c r="P134" s="120"/>
      <c r="Q134" s="120"/>
      <c r="R134" s="120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 x14ac:dyDescent="0.25">
      <c r="A135" s="14" t="str">
        <f t="shared" si="2"/>
        <v>HOMEPOSST250Q04JA_R</v>
      </c>
      <c r="B135" s="120" t="s">
        <v>378</v>
      </c>
      <c r="C135" s="120" t="s">
        <v>2667</v>
      </c>
      <c r="D135" s="120">
        <v>0.83435000000000004</v>
      </c>
      <c r="E135" s="120">
        <v>-4.3236999999999997</v>
      </c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 spans="1:28" x14ac:dyDescent="0.25">
      <c r="A136" s="14" t="str">
        <f t="shared" si="2"/>
        <v>HOMEPOSST250Q04JA_R_DOWN1</v>
      </c>
      <c r="B136" s="120" t="s">
        <v>378</v>
      </c>
      <c r="C136" s="120" t="s">
        <v>2668</v>
      </c>
      <c r="D136" s="120">
        <v>0.92191000000000001</v>
      </c>
      <c r="E136" s="120">
        <v>-2.4391600000000002</v>
      </c>
      <c r="F136" s="120"/>
      <c r="G136" s="120"/>
      <c r="H136" s="120"/>
      <c r="I136" s="120"/>
      <c r="J136" s="120"/>
      <c r="K136" s="123" t="s">
        <v>869</v>
      </c>
      <c r="L136" s="123" t="s">
        <v>596</v>
      </c>
      <c r="M136" s="123" t="s">
        <v>715</v>
      </c>
      <c r="N136" s="123" t="s">
        <v>708</v>
      </c>
      <c r="O136" s="123" t="s">
        <v>750</v>
      </c>
      <c r="P136" s="123" t="s">
        <v>626</v>
      </c>
      <c r="Q136" s="120"/>
      <c r="R136" s="120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 spans="1:28" x14ac:dyDescent="0.25">
      <c r="A137" s="14" t="str">
        <f t="shared" si="2"/>
        <v>HOMEPOSST250Q04JA_R_DOWN2</v>
      </c>
      <c r="B137" s="120" t="s">
        <v>378</v>
      </c>
      <c r="C137" s="120" t="s">
        <v>2669</v>
      </c>
      <c r="D137" s="120">
        <v>0.83359000000000005</v>
      </c>
      <c r="E137" s="120">
        <v>-2.7800099999999999</v>
      </c>
      <c r="F137" s="120"/>
      <c r="G137" s="120"/>
      <c r="H137" s="120"/>
      <c r="I137" s="120"/>
      <c r="J137" s="120"/>
      <c r="K137" s="123" t="s">
        <v>714</v>
      </c>
      <c r="L137" s="123" t="s">
        <v>676</v>
      </c>
      <c r="M137" s="123" t="s">
        <v>714</v>
      </c>
      <c r="N137" s="123" t="s">
        <v>676</v>
      </c>
      <c r="O137" s="120"/>
      <c r="P137" s="120"/>
      <c r="Q137" s="120"/>
      <c r="R137" s="120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 spans="1:28" x14ac:dyDescent="0.25">
      <c r="A138" s="14" t="str">
        <f t="shared" si="2"/>
        <v>HOMEPOSST250Q05JA_R</v>
      </c>
      <c r="B138" s="120" t="s">
        <v>378</v>
      </c>
      <c r="C138" s="120" t="s">
        <v>2670</v>
      </c>
      <c r="D138" s="120">
        <v>1.26</v>
      </c>
      <c r="E138" s="120">
        <v>-4.4979699999999996</v>
      </c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 spans="1:28" x14ac:dyDescent="0.25">
      <c r="A139" s="14" t="str">
        <f t="shared" si="2"/>
        <v>HOMEPOSST250Q05JA_R_DOWN2</v>
      </c>
      <c r="B139" s="120" t="s">
        <v>378</v>
      </c>
      <c r="C139" s="120" t="s">
        <v>2671</v>
      </c>
      <c r="D139" s="120">
        <v>0.95965999999999996</v>
      </c>
      <c r="E139" s="120">
        <v>-2.1990500000000002</v>
      </c>
      <c r="F139" s="120"/>
      <c r="G139" s="120"/>
      <c r="H139" s="120"/>
      <c r="I139" s="120"/>
      <c r="J139" s="120"/>
      <c r="K139" s="123" t="s">
        <v>750</v>
      </c>
      <c r="L139" s="123" t="s">
        <v>626</v>
      </c>
      <c r="M139" s="120"/>
      <c r="N139" s="120"/>
      <c r="O139" s="120"/>
      <c r="P139" s="120"/>
      <c r="Q139" s="120"/>
      <c r="R139" s="120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 spans="1:28" x14ac:dyDescent="0.25">
      <c r="A140" s="14" t="str">
        <f t="shared" si="2"/>
        <v>HOMEPOSST250Q05JA_R_UP2</v>
      </c>
      <c r="B140" s="120" t="s">
        <v>378</v>
      </c>
      <c r="C140" s="120" t="s">
        <v>2672</v>
      </c>
      <c r="D140" s="120">
        <v>0.93859999999999999</v>
      </c>
      <c r="E140" s="120">
        <v>-5.1447099999999999</v>
      </c>
      <c r="F140" s="120"/>
      <c r="G140" s="120"/>
      <c r="H140" s="120"/>
      <c r="I140" s="120"/>
      <c r="J140" s="120"/>
      <c r="K140" s="123" t="s">
        <v>748</v>
      </c>
      <c r="L140" s="123" t="s">
        <v>577</v>
      </c>
      <c r="M140" s="120"/>
      <c r="N140" s="120"/>
      <c r="O140" s="120"/>
      <c r="P140" s="120"/>
      <c r="Q140" s="120"/>
      <c r="R140" s="120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 spans="1:28" x14ac:dyDescent="0.25">
      <c r="A141" s="14" t="str">
        <f t="shared" si="2"/>
        <v>HOMEPOSST250Q08DA_R</v>
      </c>
      <c r="B141" s="120" t="s">
        <v>378</v>
      </c>
      <c r="C141" s="120" t="s">
        <v>2673</v>
      </c>
      <c r="D141" s="120">
        <v>0.90124000000000004</v>
      </c>
      <c r="E141" s="120">
        <v>-4.6666100000000004</v>
      </c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 spans="1:28" x14ac:dyDescent="0.25">
      <c r="A142" s="14" t="str">
        <f t="shared" si="2"/>
        <v>HOMEPOSST250Q09DA_R</v>
      </c>
      <c r="B142" s="120" t="s">
        <v>378</v>
      </c>
      <c r="C142" s="120" t="s">
        <v>2674</v>
      </c>
      <c r="D142" s="120">
        <v>0.95186000000000004</v>
      </c>
      <c r="E142" s="120">
        <v>-4.0778800000000004</v>
      </c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 spans="1:28" x14ac:dyDescent="0.25">
      <c r="A143" s="14" t="str">
        <f t="shared" si="2"/>
        <v>HOMEPOSST250Q09DA_R_DOWN1</v>
      </c>
      <c r="B143" s="120" t="s">
        <v>378</v>
      </c>
      <c r="C143" s="120" t="s">
        <v>2675</v>
      </c>
      <c r="D143" s="120">
        <v>0.39226</v>
      </c>
      <c r="E143" s="120">
        <v>-0.88161999999999996</v>
      </c>
      <c r="F143" s="120"/>
      <c r="G143" s="120"/>
      <c r="H143" s="120"/>
      <c r="I143" s="120"/>
      <c r="J143" s="120"/>
      <c r="K143" s="123" t="s">
        <v>876</v>
      </c>
      <c r="L143" s="123" t="s">
        <v>650</v>
      </c>
      <c r="M143" s="140"/>
      <c r="N143" s="140"/>
      <c r="O143" s="120"/>
      <c r="P143" s="120"/>
      <c r="Q143" s="120"/>
      <c r="R143" s="120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 spans="1:28" x14ac:dyDescent="0.25">
      <c r="A144" s="14" t="str">
        <f t="shared" si="2"/>
        <v>HOMEPOSST250Q09DA_R_DOWN2</v>
      </c>
      <c r="B144" s="120" t="s">
        <v>378</v>
      </c>
      <c r="C144" s="120" t="s">
        <v>2676</v>
      </c>
      <c r="D144" s="120">
        <v>0.45983000000000002</v>
      </c>
      <c r="E144" s="120">
        <v>-1.27627</v>
      </c>
      <c r="F144" s="120"/>
      <c r="G144" s="120"/>
      <c r="H144" s="120"/>
      <c r="I144" s="120"/>
      <c r="J144" s="120"/>
      <c r="K144" s="123" t="s">
        <v>750</v>
      </c>
      <c r="L144" s="123" t="s">
        <v>626</v>
      </c>
      <c r="M144" s="120"/>
      <c r="N144" s="120"/>
      <c r="O144" s="120"/>
      <c r="P144" s="120"/>
      <c r="Q144" s="120"/>
      <c r="R144" s="120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 spans="1:28" x14ac:dyDescent="0.25">
      <c r="A145" s="14" t="str">
        <f t="shared" si="2"/>
        <v>HOMEPOSST250Q10DA_R</v>
      </c>
      <c r="B145" s="120" t="s">
        <v>378</v>
      </c>
      <c r="C145" s="120" t="s">
        <v>2677</v>
      </c>
      <c r="D145" s="120">
        <v>0.88109000000000004</v>
      </c>
      <c r="E145" s="120">
        <v>-1.53295</v>
      </c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 spans="1:28" x14ac:dyDescent="0.25">
      <c r="A146" s="14" t="str">
        <f t="shared" si="2"/>
        <v>HOMEPOSST250Q11DA_R</v>
      </c>
      <c r="B146" s="120" t="s">
        <v>378</v>
      </c>
      <c r="C146" s="120" t="s">
        <v>2678</v>
      </c>
      <c r="D146" s="120">
        <v>0.63941999999999999</v>
      </c>
      <c r="E146" s="120">
        <v>-2.16873</v>
      </c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 x14ac:dyDescent="0.25">
      <c r="A147" s="14" t="str">
        <f t="shared" si="2"/>
        <v>HOMEPOSST250Q12DA_R</v>
      </c>
      <c r="B147" s="120" t="s">
        <v>378</v>
      </c>
      <c r="C147" s="120" t="s">
        <v>2679</v>
      </c>
      <c r="D147" s="120">
        <v>1.24013</v>
      </c>
      <c r="E147" s="120">
        <v>-5.5560299999999998</v>
      </c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 spans="1:28" x14ac:dyDescent="0.25">
      <c r="A148" s="14" t="str">
        <f t="shared" si="2"/>
        <v>HOMEPOSST250Q13DA_R</v>
      </c>
      <c r="B148" s="120" t="s">
        <v>378</v>
      </c>
      <c r="C148" s="120" t="s">
        <v>2680</v>
      </c>
      <c r="D148" s="120">
        <v>0.80356000000000005</v>
      </c>
      <c r="E148" s="120">
        <v>-3.9281999999999999</v>
      </c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28" x14ac:dyDescent="0.25">
      <c r="A149" s="14" t="str">
        <f t="shared" si="2"/>
        <v>HOMEPOSST250Q13DA_R_DOWN1</v>
      </c>
      <c r="B149" s="120" t="s">
        <v>378</v>
      </c>
      <c r="C149" s="120" t="s">
        <v>2681</v>
      </c>
      <c r="D149" s="120">
        <v>1.0250300000000001</v>
      </c>
      <c r="E149" s="120">
        <v>-2.3639000000000001</v>
      </c>
      <c r="F149" s="120"/>
      <c r="G149" s="120"/>
      <c r="H149" s="120"/>
      <c r="I149" s="120"/>
      <c r="J149" s="120"/>
      <c r="K149" s="123" t="s">
        <v>712</v>
      </c>
      <c r="L149" s="123" t="s">
        <v>631</v>
      </c>
      <c r="M149" s="123" t="s">
        <v>712</v>
      </c>
      <c r="N149" s="123" t="s">
        <v>629</v>
      </c>
      <c r="O149" s="120"/>
      <c r="P149" s="120"/>
      <c r="Q149" s="120"/>
      <c r="R149" s="120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 x14ac:dyDescent="0.25">
      <c r="A150" s="14" t="str">
        <f t="shared" si="2"/>
        <v>HOMEPOSST250Q13DA_R_DOWN2</v>
      </c>
      <c r="B150" s="120" t="s">
        <v>378</v>
      </c>
      <c r="C150" s="120" t="s">
        <v>2682</v>
      </c>
      <c r="D150" s="120">
        <v>1.0930800000000001</v>
      </c>
      <c r="E150" s="120">
        <v>-2.1619799999999998</v>
      </c>
      <c r="F150" s="120"/>
      <c r="G150" s="120"/>
      <c r="H150" s="120"/>
      <c r="I150" s="120"/>
      <c r="J150" s="120"/>
      <c r="K150" s="123" t="s">
        <v>887</v>
      </c>
      <c r="L150" s="123" t="s">
        <v>677</v>
      </c>
      <c r="M150" s="120"/>
      <c r="N150" s="120"/>
      <c r="O150" s="120"/>
      <c r="P150" s="120"/>
      <c r="Q150" s="120"/>
      <c r="R150" s="120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 spans="1:28" x14ac:dyDescent="0.25">
      <c r="A151" s="14" t="str">
        <f t="shared" si="2"/>
        <v>HOMEPOSST250Q14DA_R</v>
      </c>
      <c r="B151" s="120" t="s">
        <v>378</v>
      </c>
      <c r="C151" s="120" t="s">
        <v>2683</v>
      </c>
      <c r="D151" s="120">
        <v>0.86151999999999995</v>
      </c>
      <c r="E151" s="120">
        <v>-3.98529</v>
      </c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 spans="1:28" x14ac:dyDescent="0.25">
      <c r="A152" s="14" t="str">
        <f t="shared" si="2"/>
        <v>HOMEPOSST250Q14DA_R_DOWN1</v>
      </c>
      <c r="B152" s="120" t="s">
        <v>378</v>
      </c>
      <c r="C152" s="120" t="s">
        <v>2684</v>
      </c>
      <c r="D152" s="120">
        <v>1.1525000000000001</v>
      </c>
      <c r="E152" s="120">
        <v>-1.74783</v>
      </c>
      <c r="F152" s="120"/>
      <c r="G152" s="120"/>
      <c r="H152" s="120"/>
      <c r="I152" s="120"/>
      <c r="J152" s="120"/>
      <c r="K152" s="123" t="s">
        <v>748</v>
      </c>
      <c r="L152" s="123" t="s">
        <v>577</v>
      </c>
      <c r="M152" s="123" t="s">
        <v>2685</v>
      </c>
      <c r="N152" s="123" t="s">
        <v>667</v>
      </c>
      <c r="O152" s="120"/>
      <c r="P152" s="120"/>
      <c r="Q152" s="120"/>
      <c r="R152" s="120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 spans="1:28" x14ac:dyDescent="0.25">
      <c r="A153" s="14" t="str">
        <f t="shared" si="2"/>
        <v>HOMEPOSST250Q14DA_R_DOWN2</v>
      </c>
      <c r="B153" s="120" t="s">
        <v>378</v>
      </c>
      <c r="C153" s="120" t="s">
        <v>2686</v>
      </c>
      <c r="D153" s="120">
        <v>1.2587600000000001</v>
      </c>
      <c r="E153" s="120">
        <v>-2.0873599999999999</v>
      </c>
      <c r="F153" s="120"/>
      <c r="G153" s="120"/>
      <c r="H153" s="120"/>
      <c r="I153" s="120"/>
      <c r="J153" s="120"/>
      <c r="K153" s="123" t="s">
        <v>894</v>
      </c>
      <c r="L153" s="123" t="s">
        <v>703</v>
      </c>
      <c r="M153" s="123" t="s">
        <v>871</v>
      </c>
      <c r="N153" s="123" t="s">
        <v>610</v>
      </c>
      <c r="O153" s="140"/>
      <c r="P153" s="140"/>
      <c r="Q153" s="120"/>
      <c r="R153" s="120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 spans="1:28" x14ac:dyDescent="0.25">
      <c r="A154" s="14" t="str">
        <f t="shared" si="2"/>
        <v>HOMEPOSST250Q14DA_R_UP1</v>
      </c>
      <c r="B154" s="120" t="s">
        <v>378</v>
      </c>
      <c r="C154" s="120" t="s">
        <v>2687</v>
      </c>
      <c r="D154" s="120">
        <v>0.81266000000000005</v>
      </c>
      <c r="E154" s="120">
        <v>-5.2150699999999999</v>
      </c>
      <c r="F154" s="120"/>
      <c r="G154" s="120"/>
      <c r="H154" s="120"/>
      <c r="I154" s="120"/>
      <c r="J154" s="120"/>
      <c r="K154" s="123" t="s">
        <v>880</v>
      </c>
      <c r="L154" s="123" t="s">
        <v>660</v>
      </c>
      <c r="M154" s="120"/>
      <c r="N154" s="120"/>
      <c r="O154" s="120"/>
      <c r="P154" s="120"/>
      <c r="Q154" s="120"/>
      <c r="R154" s="120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 spans="1:28" x14ac:dyDescent="0.25">
      <c r="A155" s="14" t="str">
        <f t="shared" si="2"/>
        <v>HOMEPOSST250Q15DA_R</v>
      </c>
      <c r="B155" s="120" t="s">
        <v>378</v>
      </c>
      <c r="C155" s="120" t="s">
        <v>2688</v>
      </c>
      <c r="D155" s="120">
        <v>1.4324699999999999</v>
      </c>
      <c r="E155" s="120">
        <v>-5.9948100000000002</v>
      </c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 spans="1:28" x14ac:dyDescent="0.25">
      <c r="A156" s="14" t="str">
        <f t="shared" si="2"/>
        <v>HOMEPOSST250Q15DA_R_DOWN1</v>
      </c>
      <c r="B156" s="120" t="s">
        <v>378</v>
      </c>
      <c r="C156" s="120" t="s">
        <v>2689</v>
      </c>
      <c r="D156" s="120">
        <v>0.67542000000000002</v>
      </c>
      <c r="E156" s="120">
        <v>-1.9946999999999999</v>
      </c>
      <c r="F156" s="120"/>
      <c r="G156" s="120"/>
      <c r="H156" s="120"/>
      <c r="I156" s="120"/>
      <c r="J156" s="120"/>
      <c r="K156" s="123" t="s">
        <v>892</v>
      </c>
      <c r="L156" s="123" t="s">
        <v>695</v>
      </c>
      <c r="M156" s="120"/>
      <c r="N156" s="120"/>
      <c r="O156" s="120"/>
      <c r="P156" s="120"/>
      <c r="Q156" s="120"/>
      <c r="R156" s="120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 spans="1:28" x14ac:dyDescent="0.25">
      <c r="A157" s="14" t="str">
        <f t="shared" si="2"/>
        <v>HOMEPOSST250Q16DA_R</v>
      </c>
      <c r="B157" s="120" t="s">
        <v>378</v>
      </c>
      <c r="C157" s="120" t="s">
        <v>2690</v>
      </c>
      <c r="D157" s="120">
        <v>0.81738999999999995</v>
      </c>
      <c r="E157" s="120">
        <v>-3.0874600000000001</v>
      </c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 spans="1:28" x14ac:dyDescent="0.25">
      <c r="A158" s="14" t="str">
        <f t="shared" si="2"/>
        <v>HOMEPOSST250Q16DA_R_DOWN1</v>
      </c>
      <c r="B158" s="120" t="s">
        <v>378</v>
      </c>
      <c r="C158" s="120" t="s">
        <v>2691</v>
      </c>
      <c r="D158" s="120">
        <v>0.79996999999999996</v>
      </c>
      <c r="E158" s="120">
        <v>-1.5324599999999999</v>
      </c>
      <c r="F158" s="120"/>
      <c r="G158" s="120"/>
      <c r="H158" s="120"/>
      <c r="I158" s="120"/>
      <c r="J158" s="120"/>
      <c r="K158" s="123" t="s">
        <v>734</v>
      </c>
      <c r="L158" s="123" t="s">
        <v>632</v>
      </c>
      <c r="M158" s="120"/>
      <c r="N158" s="120"/>
      <c r="O158" s="120"/>
      <c r="P158" s="120"/>
      <c r="Q158" s="120"/>
      <c r="R158" s="120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 x14ac:dyDescent="0.25">
      <c r="A159" s="14" t="str">
        <f t="shared" si="2"/>
        <v>HOMEPOSST250Q16DA_R_DOWN2</v>
      </c>
      <c r="B159" s="120" t="s">
        <v>378</v>
      </c>
      <c r="C159" s="120" t="s">
        <v>2692</v>
      </c>
      <c r="D159" s="120">
        <v>0.39645999999999998</v>
      </c>
      <c r="E159" s="120">
        <v>-0.98636999999999997</v>
      </c>
      <c r="F159" s="120"/>
      <c r="G159" s="120"/>
      <c r="H159" s="120"/>
      <c r="I159" s="120"/>
      <c r="J159" s="120"/>
      <c r="K159" s="123" t="s">
        <v>713</v>
      </c>
      <c r="L159" s="123" t="s">
        <v>637</v>
      </c>
      <c r="M159" s="120"/>
      <c r="N159" s="120"/>
      <c r="O159" s="120"/>
      <c r="P159" s="120"/>
      <c r="Q159" s="120"/>
      <c r="R159" s="120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 spans="1:28" x14ac:dyDescent="0.25">
      <c r="A160" s="14" t="str">
        <f t="shared" si="2"/>
        <v>HOMEPOSST250Q18DA_R</v>
      </c>
      <c r="B160" s="120" t="s">
        <v>378</v>
      </c>
      <c r="C160" s="120" t="s">
        <v>2693</v>
      </c>
      <c r="D160" s="120">
        <v>1.2718100000000001</v>
      </c>
      <c r="E160" s="120">
        <v>-3.74335</v>
      </c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 spans="1:28" x14ac:dyDescent="0.25">
      <c r="A161" s="14" t="str">
        <f t="shared" si="2"/>
        <v>HOMEPOSST250Q18DA_R_DOWN1</v>
      </c>
      <c r="B161" s="120" t="s">
        <v>378</v>
      </c>
      <c r="C161" s="120" t="s">
        <v>2694</v>
      </c>
      <c r="D161" s="120">
        <v>1.2304900000000001</v>
      </c>
      <c r="E161" s="120">
        <v>-1.3965000000000001</v>
      </c>
      <c r="F161" s="120"/>
      <c r="G161" s="120"/>
      <c r="H161" s="120"/>
      <c r="I161" s="120"/>
      <c r="J161" s="120"/>
      <c r="K161" s="123" t="s">
        <v>722</v>
      </c>
      <c r="L161" s="123" t="s">
        <v>598</v>
      </c>
      <c r="M161" s="120"/>
      <c r="N161" s="120"/>
      <c r="O161" s="120"/>
      <c r="P161" s="120"/>
      <c r="Q161" s="120"/>
      <c r="R161" s="120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 spans="1:28" x14ac:dyDescent="0.25">
      <c r="A162" s="14" t="str">
        <f t="shared" si="2"/>
        <v>HOMEPOSST250Q18DA_R_DOWN2</v>
      </c>
      <c r="B162" s="120" t="s">
        <v>378</v>
      </c>
      <c r="C162" s="120" t="s">
        <v>2695</v>
      </c>
      <c r="D162" s="120">
        <v>1.0322800000000001</v>
      </c>
      <c r="E162" s="120">
        <v>-1.82264</v>
      </c>
      <c r="F162" s="120"/>
      <c r="G162" s="120"/>
      <c r="H162" s="120"/>
      <c r="I162" s="120"/>
      <c r="J162" s="120"/>
      <c r="K162" s="123" t="s">
        <v>865</v>
      </c>
      <c r="L162" s="123" t="s">
        <v>585</v>
      </c>
      <c r="M162" s="120"/>
      <c r="N162" s="120"/>
      <c r="O162" s="120"/>
      <c r="P162" s="120"/>
      <c r="Q162" s="120"/>
      <c r="R162" s="120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 spans="1:28" x14ac:dyDescent="0.25">
      <c r="A163" s="14" t="str">
        <f t="shared" si="2"/>
        <v>HOMEPOSST250Q18DA_R_UP1</v>
      </c>
      <c r="B163" s="120" t="s">
        <v>378</v>
      </c>
      <c r="C163" s="120" t="s">
        <v>2696</v>
      </c>
      <c r="D163" s="120">
        <v>1.2567200000000001</v>
      </c>
      <c r="E163" s="120">
        <v>-5.4312899999999997</v>
      </c>
      <c r="F163" s="120"/>
      <c r="G163" s="120"/>
      <c r="H163" s="120"/>
      <c r="I163" s="120"/>
      <c r="J163" s="120"/>
      <c r="K163" s="123" t="s">
        <v>869</v>
      </c>
      <c r="L163" s="123" t="s">
        <v>596</v>
      </c>
      <c r="M163" s="120"/>
      <c r="N163" s="120"/>
      <c r="O163" s="120"/>
      <c r="P163" s="120"/>
      <c r="Q163" s="120"/>
      <c r="R163" s="120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 spans="1:28" x14ac:dyDescent="0.25">
      <c r="A164" s="14" t="str">
        <f t="shared" si="2"/>
        <v>HOMEPOSST250Q18DA_R_UP2</v>
      </c>
      <c r="B164" s="120" t="s">
        <v>378</v>
      </c>
      <c r="C164" s="120" t="s">
        <v>2697</v>
      </c>
      <c r="D164" s="120">
        <v>2.0089800000000002</v>
      </c>
      <c r="E164" s="120">
        <v>-8.0541199999999993</v>
      </c>
      <c r="F164" s="120"/>
      <c r="G164" s="120"/>
      <c r="H164" s="120"/>
      <c r="I164" s="120"/>
      <c r="J164" s="120"/>
      <c r="K164" s="123" t="s">
        <v>869</v>
      </c>
      <c r="L164" s="123" t="s">
        <v>595</v>
      </c>
      <c r="M164" s="120"/>
      <c r="N164" s="120"/>
      <c r="O164" s="120"/>
      <c r="P164" s="120"/>
      <c r="Q164" s="120"/>
      <c r="R164" s="120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 spans="1:28" x14ac:dyDescent="0.25">
      <c r="A165" s="14" t="str">
        <f t="shared" si="2"/>
        <v>HOMEPOSST250Q19DA_R</v>
      </c>
      <c r="B165" s="120" t="s">
        <v>378</v>
      </c>
      <c r="C165" s="120" t="s">
        <v>2698</v>
      </c>
      <c r="D165" s="120">
        <v>0.65046999999999999</v>
      </c>
      <c r="E165" s="120">
        <v>0.14695</v>
      </c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 spans="1:28" x14ac:dyDescent="0.25">
      <c r="A166" s="14" t="str">
        <f t="shared" si="2"/>
        <v>HOMEPOSST250Q19DA_R_DOWN1</v>
      </c>
      <c r="B166" s="120" t="s">
        <v>378</v>
      </c>
      <c r="C166" s="120" t="s">
        <v>2699</v>
      </c>
      <c r="D166" s="120">
        <v>0.92325000000000002</v>
      </c>
      <c r="E166" s="120">
        <v>1.1208199999999999</v>
      </c>
      <c r="F166" s="120"/>
      <c r="G166" s="120"/>
      <c r="H166" s="120"/>
      <c r="I166" s="120"/>
      <c r="J166" s="120"/>
      <c r="K166" s="123" t="s">
        <v>733</v>
      </c>
      <c r="L166" s="123" t="s">
        <v>627</v>
      </c>
      <c r="M166" s="120"/>
      <c r="N166" s="120"/>
      <c r="O166" s="120"/>
      <c r="P166" s="120"/>
      <c r="Q166" s="120"/>
      <c r="R166" s="120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 spans="1:28" x14ac:dyDescent="0.25">
      <c r="A167" s="14" t="str">
        <f t="shared" si="2"/>
        <v>HOMEPOSST250Q19DA_R_UP1</v>
      </c>
      <c r="B167" s="120" t="s">
        <v>378</v>
      </c>
      <c r="C167" s="120" t="s">
        <v>2700</v>
      </c>
      <c r="D167" s="120">
        <v>0.39561000000000002</v>
      </c>
      <c r="E167" s="120">
        <v>-2.1337600000000001</v>
      </c>
      <c r="F167" s="120"/>
      <c r="G167" s="120"/>
      <c r="H167" s="120"/>
      <c r="I167" s="120"/>
      <c r="J167" s="120"/>
      <c r="K167" s="123" t="s">
        <v>732</v>
      </c>
      <c r="L167" s="123" t="s">
        <v>624</v>
      </c>
      <c r="M167" s="123" t="s">
        <v>732</v>
      </c>
      <c r="N167" s="123" t="s">
        <v>625</v>
      </c>
      <c r="O167" s="123" t="s">
        <v>2658</v>
      </c>
      <c r="P167" s="123" t="s">
        <v>697</v>
      </c>
      <c r="Q167" s="123" t="s">
        <v>873</v>
      </c>
      <c r="R167" s="123" t="s">
        <v>623</v>
      </c>
      <c r="S167" s="123" t="s">
        <v>2701</v>
      </c>
      <c r="T167" s="123" t="s">
        <v>2702</v>
      </c>
      <c r="U167" s="123" t="s">
        <v>713</v>
      </c>
      <c r="V167" s="123" t="s">
        <v>637</v>
      </c>
      <c r="W167" s="123" t="s">
        <v>895</v>
      </c>
      <c r="X167" s="123" t="s">
        <v>707</v>
      </c>
      <c r="Y167" s="123" t="s">
        <v>2661</v>
      </c>
      <c r="Z167" s="123" t="s">
        <v>579</v>
      </c>
      <c r="AA167" s="123" t="s">
        <v>879</v>
      </c>
      <c r="AB167" s="123" t="s">
        <v>657</v>
      </c>
    </row>
    <row r="168" spans="1:28" x14ac:dyDescent="0.25">
      <c r="A168" s="14" t="str">
        <f t="shared" si="2"/>
        <v>HOMEPOSST250Q19DA_R_UP2</v>
      </c>
      <c r="B168" s="120" t="s">
        <v>378</v>
      </c>
      <c r="C168" s="120" t="s">
        <v>2703</v>
      </c>
      <c r="D168" s="120">
        <v>0.35098000000000001</v>
      </c>
      <c r="E168" s="120">
        <v>-1.0121199999999999</v>
      </c>
      <c r="F168" s="120"/>
      <c r="G168" s="120"/>
      <c r="H168" s="120"/>
      <c r="I168" s="120"/>
      <c r="J168" s="120"/>
      <c r="K168" s="123" t="s">
        <v>714</v>
      </c>
      <c r="L168" s="123" t="s">
        <v>676</v>
      </c>
      <c r="M168" s="123" t="s">
        <v>713</v>
      </c>
      <c r="N168" s="123" t="s">
        <v>636</v>
      </c>
      <c r="O168" s="123" t="s">
        <v>714</v>
      </c>
      <c r="P168" s="123" t="s">
        <v>676</v>
      </c>
      <c r="Q168" s="123" t="s">
        <v>875</v>
      </c>
      <c r="R168" s="123" t="s">
        <v>646</v>
      </c>
      <c r="S168" s="123" t="s">
        <v>882</v>
      </c>
      <c r="T168" s="123" t="s">
        <v>664</v>
      </c>
      <c r="U168" s="123" t="s">
        <v>713</v>
      </c>
      <c r="V168" s="123" t="s">
        <v>636</v>
      </c>
      <c r="W168" s="123" t="s">
        <v>714</v>
      </c>
      <c r="X168" s="123" t="s">
        <v>676</v>
      </c>
      <c r="Y168" s="123" t="s">
        <v>875</v>
      </c>
      <c r="Z168" s="123" t="s">
        <v>646</v>
      </c>
      <c r="AA168" s="33"/>
      <c r="AB168" s="33"/>
    </row>
    <row r="169" spans="1:28" x14ac:dyDescent="0.25">
      <c r="A169" s="14" t="str">
        <f t="shared" si="2"/>
        <v>HOMEPOSST250Q20DA_R</v>
      </c>
      <c r="B169" s="120" t="s">
        <v>378</v>
      </c>
      <c r="C169" s="120" t="s">
        <v>2704</v>
      </c>
      <c r="D169" s="120">
        <v>0.64283999999999997</v>
      </c>
      <c r="E169" s="120">
        <v>-2.4102600000000001</v>
      </c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 spans="1:28" x14ac:dyDescent="0.25">
      <c r="A170" s="14" t="str">
        <f t="shared" si="2"/>
        <v>HOMEPOSST250Q20DA_R_DOWN2</v>
      </c>
      <c r="B170" s="120" t="s">
        <v>378</v>
      </c>
      <c r="C170" s="120" t="s">
        <v>2705</v>
      </c>
      <c r="D170" s="120">
        <v>0.57830000000000004</v>
      </c>
      <c r="E170" s="120">
        <v>-0.96692999999999996</v>
      </c>
      <c r="F170" s="120"/>
      <c r="G170" s="120"/>
      <c r="H170" s="120"/>
      <c r="I170" s="120"/>
      <c r="J170" s="120"/>
      <c r="K170" s="123" t="s">
        <v>863</v>
      </c>
      <c r="L170" s="123" t="s">
        <v>578</v>
      </c>
      <c r="M170" s="120"/>
      <c r="N170" s="120"/>
      <c r="O170" s="120"/>
      <c r="P170" s="120"/>
      <c r="Q170" s="120"/>
      <c r="R170" s="120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 spans="1:28" x14ac:dyDescent="0.25">
      <c r="A171" s="14" t="str">
        <f t="shared" si="2"/>
        <v>HOMEPOSST250Q21DA_R</v>
      </c>
      <c r="B171" s="120" t="s">
        <v>378</v>
      </c>
      <c r="C171" s="120" t="s">
        <v>2706</v>
      </c>
      <c r="D171" s="120">
        <v>0.71487000000000001</v>
      </c>
      <c r="E171" s="120">
        <v>0.67457999999999996</v>
      </c>
      <c r="F171" s="120"/>
      <c r="G171" s="120"/>
      <c r="H171" s="120"/>
      <c r="I171" s="120"/>
      <c r="J171" s="120"/>
      <c r="K171" s="33"/>
      <c r="L171" s="33"/>
      <c r="M171" s="120"/>
      <c r="N171" s="120"/>
      <c r="O171" s="120"/>
      <c r="P171" s="120"/>
      <c r="Q171" s="120"/>
      <c r="R171" s="120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x14ac:dyDescent="0.25">
      <c r="A172" s="14" t="str">
        <f t="shared" si="2"/>
        <v>HOMEPOSST250Q21DA_R_DOWN2</v>
      </c>
      <c r="B172" s="120" t="s">
        <v>378</v>
      </c>
      <c r="C172" s="120" t="s">
        <v>2707</v>
      </c>
      <c r="D172" s="120">
        <v>0.65061000000000002</v>
      </c>
      <c r="E172" s="120">
        <v>2.25895</v>
      </c>
      <c r="F172" s="120"/>
      <c r="G172" s="120"/>
      <c r="H172" s="120"/>
      <c r="I172" s="120"/>
      <c r="J172" s="120"/>
      <c r="K172" s="123" t="s">
        <v>863</v>
      </c>
      <c r="L172" s="123" t="s">
        <v>578</v>
      </c>
      <c r="M172" s="123" t="s">
        <v>874</v>
      </c>
      <c r="N172" s="123" t="s">
        <v>641</v>
      </c>
      <c r="O172" s="120"/>
      <c r="P172" s="120"/>
      <c r="Q172" s="120"/>
      <c r="R172" s="120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28" x14ac:dyDescent="0.25">
      <c r="A173" s="14" t="str">
        <f t="shared" si="2"/>
        <v>HOMEPOSST250Q21DA_R_UP1</v>
      </c>
      <c r="B173" s="120" t="s">
        <v>378</v>
      </c>
      <c r="C173" s="120" t="s">
        <v>2708</v>
      </c>
      <c r="D173" s="120">
        <v>0.66703999999999997</v>
      </c>
      <c r="E173" s="120">
        <v>-1.5108999999999999</v>
      </c>
      <c r="F173" s="120"/>
      <c r="G173" s="120"/>
      <c r="H173" s="120"/>
      <c r="I173" s="120"/>
      <c r="J173" s="120"/>
      <c r="K173" s="123" t="s">
        <v>712</v>
      </c>
      <c r="L173" s="123" t="s">
        <v>631</v>
      </c>
      <c r="M173" s="123" t="s">
        <v>734</v>
      </c>
      <c r="N173" s="123" t="s">
        <v>632</v>
      </c>
      <c r="O173" s="120"/>
      <c r="P173" s="120"/>
      <c r="Q173" s="120"/>
      <c r="R173" s="120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 spans="1:28" x14ac:dyDescent="0.25">
      <c r="A174" s="14" t="str">
        <f t="shared" si="2"/>
        <v>HOMEPOSST250Q21DA_R_UP2</v>
      </c>
      <c r="B174" s="120" t="s">
        <v>378</v>
      </c>
      <c r="C174" s="120" t="s">
        <v>2709</v>
      </c>
      <c r="D174" s="120">
        <v>0.76834000000000002</v>
      </c>
      <c r="E174" s="120">
        <v>-0.23768</v>
      </c>
      <c r="F174" s="120"/>
      <c r="G174" s="120"/>
      <c r="H174" s="120"/>
      <c r="I174" s="120"/>
      <c r="J174" s="120"/>
      <c r="K174" s="123" t="s">
        <v>2658</v>
      </c>
      <c r="L174" s="123" t="s">
        <v>697</v>
      </c>
      <c r="M174" s="123" t="s">
        <v>864</v>
      </c>
      <c r="N174" s="123" t="s">
        <v>584</v>
      </c>
      <c r="O174" s="120"/>
      <c r="P174" s="120"/>
      <c r="Q174" s="120"/>
      <c r="R174" s="120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 spans="1:28" x14ac:dyDescent="0.25">
      <c r="A175" s="14" t="str">
        <f t="shared" si="2"/>
        <v>HOMEPOSST250Q22DA_R</v>
      </c>
      <c r="B175" s="120" t="s">
        <v>378</v>
      </c>
      <c r="C175" s="120" t="s">
        <v>2710</v>
      </c>
      <c r="D175" s="120">
        <v>0.71606000000000003</v>
      </c>
      <c r="E175" s="120">
        <v>-0.39379999999999998</v>
      </c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 spans="1:28" x14ac:dyDescent="0.25">
      <c r="A176" s="14" t="str">
        <f t="shared" si="2"/>
        <v>HOMEPOSST250Q22DA_R_DOWN1</v>
      </c>
      <c r="B176" s="120" t="s">
        <v>378</v>
      </c>
      <c r="C176" s="120" t="s">
        <v>2711</v>
      </c>
      <c r="D176" s="120">
        <v>0.92198000000000002</v>
      </c>
      <c r="E176" s="120">
        <v>0.87680999999999998</v>
      </c>
      <c r="F176" s="120"/>
      <c r="G176" s="120"/>
      <c r="H176" s="120"/>
      <c r="I176" s="120"/>
      <c r="J176" s="120"/>
      <c r="K176" s="123" t="s">
        <v>744</v>
      </c>
      <c r="L176" s="123" t="s">
        <v>691</v>
      </c>
      <c r="M176" s="120"/>
      <c r="N176" s="120"/>
      <c r="O176" s="120"/>
      <c r="P176" s="120"/>
      <c r="Q176" s="120"/>
      <c r="R176" s="120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 spans="1:28" x14ac:dyDescent="0.25">
      <c r="A177" s="14" t="str">
        <f t="shared" si="2"/>
        <v>HOMEPOSST250Q22DA_R_DOWN2</v>
      </c>
      <c r="B177" s="120" t="s">
        <v>378</v>
      </c>
      <c r="C177" s="120" t="s">
        <v>2712</v>
      </c>
      <c r="D177" s="120">
        <v>0.80925000000000002</v>
      </c>
      <c r="E177" s="120">
        <v>0.61763000000000001</v>
      </c>
      <c r="F177" s="120"/>
      <c r="G177" s="120"/>
      <c r="H177" s="120"/>
      <c r="I177" s="120"/>
      <c r="J177" s="120"/>
      <c r="K177" s="123" t="s">
        <v>890</v>
      </c>
      <c r="L177" s="123" t="s">
        <v>684</v>
      </c>
      <c r="M177" s="123" t="s">
        <v>890</v>
      </c>
      <c r="N177" s="123" t="s">
        <v>686</v>
      </c>
      <c r="O177" s="123" t="s">
        <v>890</v>
      </c>
      <c r="P177" s="123" t="s">
        <v>684</v>
      </c>
      <c r="Q177" s="123" t="s">
        <v>717</v>
      </c>
      <c r="R177" s="123" t="s">
        <v>571</v>
      </c>
      <c r="S177" s="123" t="s">
        <v>744</v>
      </c>
      <c r="T177" s="123" t="s">
        <v>690</v>
      </c>
      <c r="U177" s="33"/>
      <c r="V177" s="33"/>
      <c r="W177" s="33"/>
      <c r="X177" s="33"/>
      <c r="Y177" s="33"/>
      <c r="Z177" s="33"/>
      <c r="AA177" s="33"/>
      <c r="AB177" s="33"/>
    </row>
    <row r="178" spans="1:28" x14ac:dyDescent="0.25">
      <c r="A178" s="14" t="str">
        <f t="shared" si="2"/>
        <v>HOMEPOSST250Q22DA_R_UP1</v>
      </c>
      <c r="B178" s="120" t="s">
        <v>378</v>
      </c>
      <c r="C178" s="120" t="s">
        <v>2713</v>
      </c>
      <c r="D178" s="120">
        <v>0.58226</v>
      </c>
      <c r="E178" s="120">
        <v>-1.2769200000000001</v>
      </c>
      <c r="F178" s="120"/>
      <c r="G178" s="120"/>
      <c r="H178" s="120"/>
      <c r="I178" s="120"/>
      <c r="J178" s="120"/>
      <c r="K178" s="123" t="s">
        <v>738</v>
      </c>
      <c r="L178" s="123" t="s">
        <v>647</v>
      </c>
      <c r="M178" s="120"/>
      <c r="N178" s="120"/>
      <c r="O178" s="120"/>
      <c r="P178" s="120"/>
      <c r="Q178" s="120"/>
      <c r="R178" s="120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 spans="1:28" x14ac:dyDescent="0.25">
      <c r="A179" s="14" t="str">
        <f t="shared" si="2"/>
        <v>HOMEPOSST250Q22DA_R_UP2</v>
      </c>
      <c r="B179" s="120" t="s">
        <v>378</v>
      </c>
      <c r="C179" s="120" t="s">
        <v>2714</v>
      </c>
      <c r="D179" s="120">
        <v>0.81923000000000001</v>
      </c>
      <c r="E179" s="120">
        <v>-1.6456900000000001</v>
      </c>
      <c r="F179" s="120"/>
      <c r="G179" s="120"/>
      <c r="H179" s="120"/>
      <c r="I179" s="120"/>
      <c r="J179" s="120"/>
      <c r="K179" s="123" t="s">
        <v>712</v>
      </c>
      <c r="L179" s="123" t="s">
        <v>631</v>
      </c>
      <c r="M179" s="123" t="s">
        <v>2715</v>
      </c>
      <c r="N179" s="123" t="s">
        <v>628</v>
      </c>
      <c r="O179" s="123" t="s">
        <v>736</v>
      </c>
      <c r="P179" s="123" t="s">
        <v>639</v>
      </c>
      <c r="Q179" s="120"/>
      <c r="R179" s="120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 spans="1:28" x14ac:dyDescent="0.25">
      <c r="A180" s="14" t="str">
        <f t="shared" si="2"/>
        <v>HOMEPOSST250Q23DA_R</v>
      </c>
      <c r="B180" s="120" t="s">
        <v>378</v>
      </c>
      <c r="C180" s="120" t="s">
        <v>2716</v>
      </c>
      <c r="D180" s="120">
        <v>0.90022999999999997</v>
      </c>
      <c r="E180" s="120">
        <v>-3.02013</v>
      </c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 spans="1:28" x14ac:dyDescent="0.25">
      <c r="A181" s="14" t="str">
        <f t="shared" si="2"/>
        <v>HOMEPOSST250Q24DA_R</v>
      </c>
      <c r="B181" s="120" t="s">
        <v>378</v>
      </c>
      <c r="C181" s="120" t="s">
        <v>2717</v>
      </c>
      <c r="D181" s="120">
        <v>1.1671899999999999</v>
      </c>
      <c r="E181" s="120">
        <v>-2.0337399999999999</v>
      </c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 spans="1:28" x14ac:dyDescent="0.25">
      <c r="A182" s="14" t="str">
        <f t="shared" si="2"/>
        <v>HOMEPOSST250Q24DA_R_DOWN1</v>
      </c>
      <c r="B182" s="120" t="s">
        <v>378</v>
      </c>
      <c r="C182" s="120" t="s">
        <v>2718</v>
      </c>
      <c r="D182" s="120">
        <v>0.65651000000000004</v>
      </c>
      <c r="E182" s="120">
        <v>0.52805000000000002</v>
      </c>
      <c r="F182" s="120"/>
      <c r="G182" s="120"/>
      <c r="H182" s="120"/>
      <c r="I182" s="120"/>
      <c r="J182" s="120"/>
      <c r="K182" s="123" t="s">
        <v>865</v>
      </c>
      <c r="L182" s="123" t="s">
        <v>585</v>
      </c>
      <c r="M182" s="123" t="s">
        <v>2719</v>
      </c>
      <c r="N182" s="123" t="s">
        <v>693</v>
      </c>
      <c r="O182" s="120"/>
      <c r="P182" s="120"/>
      <c r="Q182" s="120"/>
      <c r="R182" s="120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 spans="1:28" x14ac:dyDescent="0.25">
      <c r="A183" s="14" t="str">
        <f t="shared" si="2"/>
        <v>HOMEPOSST250Q24DA_R_UP1</v>
      </c>
      <c r="B183" s="120" t="s">
        <v>378</v>
      </c>
      <c r="C183" s="120" t="s">
        <v>2720</v>
      </c>
      <c r="D183" s="120">
        <v>1.2871300000000001</v>
      </c>
      <c r="E183" s="120">
        <v>-5.5994599999999997</v>
      </c>
      <c r="F183" s="120"/>
      <c r="G183" s="120"/>
      <c r="H183" s="120"/>
      <c r="I183" s="120"/>
      <c r="J183" s="120"/>
      <c r="K183" s="123" t="s">
        <v>892</v>
      </c>
      <c r="L183" s="123" t="s">
        <v>695</v>
      </c>
      <c r="M183" s="120"/>
      <c r="N183" s="120"/>
      <c r="O183" s="120"/>
      <c r="P183" s="120"/>
      <c r="Q183" s="120"/>
      <c r="R183" s="120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 spans="1:28" x14ac:dyDescent="0.25">
      <c r="A184" s="14" t="str">
        <f t="shared" si="2"/>
        <v>HOMEPOSST250Q25DA_R</v>
      </c>
      <c r="B184" s="120" t="s">
        <v>378</v>
      </c>
      <c r="C184" s="120" t="s">
        <v>2721</v>
      </c>
      <c r="D184" s="120">
        <v>0.72660000000000002</v>
      </c>
      <c r="E184" s="120">
        <v>-0.47765000000000002</v>
      </c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 spans="1:28" x14ac:dyDescent="0.25">
      <c r="A185" s="14" t="str">
        <f t="shared" si="2"/>
        <v>HOMEPOSST250Q25DA_R_UP1</v>
      </c>
      <c r="B185" s="120" t="s">
        <v>378</v>
      </c>
      <c r="C185" s="120" t="s">
        <v>2722</v>
      </c>
      <c r="D185" s="120">
        <v>1.0351399999999999</v>
      </c>
      <c r="E185" s="120">
        <v>-2.5930499999999999</v>
      </c>
      <c r="F185" s="120"/>
      <c r="G185" s="120"/>
      <c r="H185" s="120"/>
      <c r="I185" s="120"/>
      <c r="J185" s="120"/>
      <c r="K185" s="123" t="s">
        <v>871</v>
      </c>
      <c r="L185" s="123" t="s">
        <v>611</v>
      </c>
      <c r="M185" s="123" t="s">
        <v>875</v>
      </c>
      <c r="N185" s="123" t="s">
        <v>646</v>
      </c>
      <c r="O185" s="123" t="s">
        <v>871</v>
      </c>
      <c r="P185" s="123" t="s">
        <v>610</v>
      </c>
      <c r="Q185" s="120"/>
      <c r="R185" s="120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 spans="1:28" x14ac:dyDescent="0.25">
      <c r="A186" s="14" t="str">
        <f t="shared" si="2"/>
        <v>HOMEPOSST250Q25DA_R_UP2</v>
      </c>
      <c r="B186" s="120" t="s">
        <v>378</v>
      </c>
      <c r="C186" s="120" t="s">
        <v>2723</v>
      </c>
      <c r="D186" s="120">
        <v>0.93581000000000003</v>
      </c>
      <c r="E186" s="120">
        <v>-1.9101399999999999</v>
      </c>
      <c r="F186" s="120"/>
      <c r="G186" s="120"/>
      <c r="H186" s="120"/>
      <c r="I186" s="120"/>
      <c r="J186" s="120"/>
      <c r="K186" s="123" t="s">
        <v>875</v>
      </c>
      <c r="L186" s="123" t="s">
        <v>644</v>
      </c>
      <c r="M186" s="123" t="s">
        <v>890</v>
      </c>
      <c r="N186" s="123" t="s">
        <v>685</v>
      </c>
      <c r="O186" s="123" t="s">
        <v>2658</v>
      </c>
      <c r="P186" s="123" t="s">
        <v>697</v>
      </c>
      <c r="Q186" s="123" t="s">
        <v>883</v>
      </c>
      <c r="R186" s="123" t="s">
        <v>665</v>
      </c>
      <c r="S186" s="123" t="s">
        <v>875</v>
      </c>
      <c r="T186" s="123" t="s">
        <v>644</v>
      </c>
      <c r="U186" s="33"/>
      <c r="V186" s="33"/>
      <c r="W186" s="33"/>
      <c r="X186" s="33"/>
      <c r="Y186" s="33"/>
      <c r="Z186" s="33"/>
      <c r="AA186" s="33"/>
      <c r="AB186" s="33"/>
    </row>
    <row r="187" spans="1:28" x14ac:dyDescent="0.25">
      <c r="A187" s="14" t="str">
        <f t="shared" si="2"/>
        <v>HOMEPOSST250Q26DA_R</v>
      </c>
      <c r="B187" s="120" t="s">
        <v>378</v>
      </c>
      <c r="C187" s="120" t="s">
        <v>2724</v>
      </c>
      <c r="D187" s="120">
        <v>0.97211999999999998</v>
      </c>
      <c r="E187" s="120">
        <v>-2.7842899999999999</v>
      </c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 spans="1:28" x14ac:dyDescent="0.25">
      <c r="A188" s="14" t="str">
        <f t="shared" si="2"/>
        <v>HOMEPOSST250Q26DA_R_DOWN2</v>
      </c>
      <c r="B188" s="120" t="s">
        <v>378</v>
      </c>
      <c r="C188" s="120" t="s">
        <v>2725</v>
      </c>
      <c r="D188" s="120">
        <v>0.95464000000000004</v>
      </c>
      <c r="E188" s="120">
        <v>-1.6071299999999999</v>
      </c>
      <c r="F188" s="120"/>
      <c r="G188" s="120"/>
      <c r="H188" s="120"/>
      <c r="I188" s="120"/>
      <c r="J188" s="120"/>
      <c r="K188" s="123" t="s">
        <v>2726</v>
      </c>
      <c r="L188" s="123" t="s">
        <v>617</v>
      </c>
      <c r="M188" s="123" t="s">
        <v>2701</v>
      </c>
      <c r="N188" s="123" t="s">
        <v>2702</v>
      </c>
      <c r="O188" s="120"/>
      <c r="P188" s="120"/>
      <c r="Q188" s="120"/>
      <c r="R188" s="120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 spans="1:28" x14ac:dyDescent="0.25">
      <c r="A189" s="14" t="str">
        <f t="shared" si="2"/>
        <v>HOMEPOSST250Q26DA_R_UP2</v>
      </c>
      <c r="B189" s="120" t="s">
        <v>378</v>
      </c>
      <c r="C189" s="120" t="s">
        <v>2727</v>
      </c>
      <c r="D189" s="120">
        <v>1.0083299999999999</v>
      </c>
      <c r="E189" s="120">
        <v>-4.1606100000000001</v>
      </c>
      <c r="F189" s="120"/>
      <c r="G189" s="120"/>
      <c r="H189" s="120"/>
      <c r="I189" s="120"/>
      <c r="J189" s="120"/>
      <c r="K189" s="123" t="s">
        <v>879</v>
      </c>
      <c r="L189" s="123" t="s">
        <v>657</v>
      </c>
      <c r="M189" s="120"/>
      <c r="N189" s="120"/>
      <c r="O189" s="120"/>
      <c r="P189" s="120"/>
      <c r="Q189" s="120"/>
      <c r="R189" s="120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 spans="1:28" x14ac:dyDescent="0.25">
      <c r="A190" s="14" t="str">
        <f t="shared" si="2"/>
        <v>HOMEPOSST250Q27DA_R</v>
      </c>
      <c r="B190" s="120" t="s">
        <v>378</v>
      </c>
      <c r="C190" s="120" t="s">
        <v>2728</v>
      </c>
      <c r="D190" s="120">
        <v>0.62102000000000002</v>
      </c>
      <c r="E190" s="120">
        <v>0.94121999999999995</v>
      </c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 x14ac:dyDescent="0.25">
      <c r="A191" s="14" t="str">
        <f t="shared" si="2"/>
        <v>HOMEPOSST250Q27DA_R_UP1</v>
      </c>
      <c r="B191" s="120" t="s">
        <v>378</v>
      </c>
      <c r="C191" s="120" t="s">
        <v>2729</v>
      </c>
      <c r="D191" s="120">
        <v>0.49742999999999998</v>
      </c>
      <c r="E191" s="120">
        <v>-0.67308000000000001</v>
      </c>
      <c r="F191" s="120"/>
      <c r="G191" s="120"/>
      <c r="H191" s="120"/>
      <c r="I191" s="120"/>
      <c r="J191" s="120"/>
      <c r="K191" s="123" t="s">
        <v>2730</v>
      </c>
      <c r="L191" s="123" t="s">
        <v>568</v>
      </c>
      <c r="M191" s="123" t="s">
        <v>2658</v>
      </c>
      <c r="N191" s="123" t="s">
        <v>697</v>
      </c>
      <c r="O191" s="123" t="s">
        <v>887</v>
      </c>
      <c r="P191" s="123" t="s">
        <v>677</v>
      </c>
      <c r="Q191" s="123" t="s">
        <v>2658</v>
      </c>
      <c r="R191" s="123" t="s">
        <v>698</v>
      </c>
      <c r="S191" s="123" t="s">
        <v>887</v>
      </c>
      <c r="T191" s="123" t="s">
        <v>678</v>
      </c>
      <c r="U191" s="123" t="s">
        <v>714</v>
      </c>
      <c r="V191" s="123" t="s">
        <v>676</v>
      </c>
      <c r="W191" s="33"/>
      <c r="X191" s="33"/>
      <c r="Y191" s="33"/>
      <c r="Z191" s="33"/>
      <c r="AA191" s="33"/>
      <c r="AB191" s="33"/>
    </row>
    <row r="192" spans="1:28" x14ac:dyDescent="0.25">
      <c r="A192" s="14" t="str">
        <f t="shared" si="2"/>
        <v>HOMEPOSST250Q27DA_R_UP2</v>
      </c>
      <c r="B192" s="120" t="s">
        <v>378</v>
      </c>
      <c r="C192" s="120" t="s">
        <v>2731</v>
      </c>
      <c r="D192" s="120">
        <v>0.59582000000000002</v>
      </c>
      <c r="E192" s="120">
        <v>-0.27892</v>
      </c>
      <c r="F192" s="120"/>
      <c r="G192" s="120"/>
      <c r="H192" s="120"/>
      <c r="I192" s="120"/>
      <c r="J192" s="120"/>
      <c r="K192" s="123" t="s">
        <v>867</v>
      </c>
      <c r="L192" s="123" t="s">
        <v>589</v>
      </c>
      <c r="M192" s="123" t="s">
        <v>750</v>
      </c>
      <c r="N192" s="123" t="s">
        <v>626</v>
      </c>
      <c r="O192" s="123" t="s">
        <v>871</v>
      </c>
      <c r="P192" s="123" t="s">
        <v>611</v>
      </c>
      <c r="Q192" s="120"/>
      <c r="R192" s="120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 spans="1:28" x14ac:dyDescent="0.25">
      <c r="A193" s="14" t="str">
        <f t="shared" ref="A193:A256" si="3">_xlfn.CONCAT(B193,C193)</f>
        <v>HOMEPOSST250Q28DA_R</v>
      </c>
      <c r="B193" s="120" t="s">
        <v>378</v>
      </c>
      <c r="C193" s="120" t="s">
        <v>2732</v>
      </c>
      <c r="D193" s="120">
        <v>0.84563999999999995</v>
      </c>
      <c r="E193" s="120">
        <v>0.86567000000000005</v>
      </c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 spans="1:28" x14ac:dyDescent="0.25">
      <c r="A194" s="14" t="str">
        <f t="shared" si="3"/>
        <v>HOMEPOSST250Q28DA_R_UP1</v>
      </c>
      <c r="B194" s="120" t="s">
        <v>378</v>
      </c>
      <c r="C194" s="120" t="s">
        <v>2733</v>
      </c>
      <c r="D194" s="120">
        <v>0.82343999999999995</v>
      </c>
      <c r="E194" s="120">
        <v>-0.80832000000000004</v>
      </c>
      <c r="F194" s="120"/>
      <c r="G194" s="120"/>
      <c r="H194" s="120"/>
      <c r="I194" s="120"/>
      <c r="J194" s="120"/>
      <c r="K194" s="123" t="s">
        <v>882</v>
      </c>
      <c r="L194" s="123" t="s">
        <v>664</v>
      </c>
      <c r="M194" s="120"/>
      <c r="N194" s="120"/>
      <c r="O194" s="120"/>
      <c r="P194" s="120"/>
      <c r="Q194" s="120"/>
      <c r="R194" s="120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 spans="1:28" x14ac:dyDescent="0.25">
      <c r="A195" s="14" t="str">
        <f t="shared" si="3"/>
        <v>HOMEPOSST250Q28DA_R_UP2</v>
      </c>
      <c r="B195" s="120" t="s">
        <v>378</v>
      </c>
      <c r="C195" s="120" t="s">
        <v>2734</v>
      </c>
      <c r="D195" s="120">
        <v>0.95011000000000001</v>
      </c>
      <c r="E195" s="120">
        <v>-0.30820999999999998</v>
      </c>
      <c r="F195" s="120"/>
      <c r="G195" s="120"/>
      <c r="H195" s="120"/>
      <c r="I195" s="120"/>
      <c r="J195" s="120"/>
      <c r="K195" s="123" t="s">
        <v>882</v>
      </c>
      <c r="L195" s="123" t="s">
        <v>663</v>
      </c>
      <c r="M195" s="120"/>
      <c r="N195" s="120"/>
      <c r="O195" s="120"/>
      <c r="P195" s="120"/>
      <c r="Q195" s="120"/>
      <c r="R195" s="120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 spans="1:28" x14ac:dyDescent="0.25">
      <c r="A196" s="14" t="str">
        <f t="shared" si="3"/>
        <v>HOMEPOSST251Q01JA_R</v>
      </c>
      <c r="B196" s="120" t="s">
        <v>378</v>
      </c>
      <c r="C196" s="120" t="s">
        <v>2735</v>
      </c>
      <c r="D196" s="120">
        <v>0.71526000000000001</v>
      </c>
      <c r="E196" s="120">
        <v>-0.63216000000000006</v>
      </c>
      <c r="F196" s="120">
        <v>-1.0987800000000001</v>
      </c>
      <c r="G196" s="120">
        <v>0.11112</v>
      </c>
      <c r="H196" s="120">
        <v>0.98765999999999998</v>
      </c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 spans="1:28" x14ac:dyDescent="0.25">
      <c r="A197" s="14" t="str">
        <f t="shared" si="3"/>
        <v>HOMEPOSST251Q01JA_R_DOWN1</v>
      </c>
      <c r="B197" s="120" t="s">
        <v>378</v>
      </c>
      <c r="C197" s="120" t="s">
        <v>2736</v>
      </c>
      <c r="D197" s="120">
        <v>0.85167999999999999</v>
      </c>
      <c r="E197" s="120">
        <v>0.82174999999999998</v>
      </c>
      <c r="F197" s="120">
        <v>-1.0933600000000001</v>
      </c>
      <c r="G197" s="120">
        <v>0.61919000000000002</v>
      </c>
      <c r="H197" s="120">
        <v>0.47416999999999998</v>
      </c>
      <c r="I197" s="120"/>
      <c r="J197" s="120"/>
      <c r="K197" s="123" t="s">
        <v>741</v>
      </c>
      <c r="L197" s="123" t="s">
        <v>680</v>
      </c>
      <c r="M197" s="123" t="s">
        <v>871</v>
      </c>
      <c r="N197" s="123" t="s">
        <v>611</v>
      </c>
      <c r="O197" s="123" t="s">
        <v>871</v>
      </c>
      <c r="P197" s="123" t="s">
        <v>610</v>
      </c>
      <c r="Q197" s="120"/>
      <c r="R197" s="120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 spans="1:28" x14ac:dyDescent="0.25">
      <c r="A198" s="14" t="str">
        <f t="shared" si="3"/>
        <v>HOMEPOSST251Q01JA_R_UP1</v>
      </c>
      <c r="B198" s="120" t="s">
        <v>378</v>
      </c>
      <c r="C198" s="120" t="s">
        <v>2737</v>
      </c>
      <c r="D198" s="120">
        <v>0.58377000000000001</v>
      </c>
      <c r="E198" s="120">
        <v>-1.7442599999999999</v>
      </c>
      <c r="F198" s="120">
        <v>-0.85938999999999999</v>
      </c>
      <c r="G198" s="120">
        <v>0.49992999999999999</v>
      </c>
      <c r="H198" s="120">
        <v>0.35946</v>
      </c>
      <c r="I198" s="120"/>
      <c r="J198" s="120"/>
      <c r="K198" s="123" t="s">
        <v>863</v>
      </c>
      <c r="L198" s="123" t="s">
        <v>578</v>
      </c>
      <c r="M198" s="120"/>
      <c r="N198" s="120"/>
      <c r="O198" s="120"/>
      <c r="P198" s="120"/>
      <c r="Q198" s="120"/>
      <c r="R198" s="120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 x14ac:dyDescent="0.25">
      <c r="A199" s="14" t="str">
        <f t="shared" si="3"/>
        <v>HOMEPOSST251Q01JA_R_UP2</v>
      </c>
      <c r="B199" s="120" t="s">
        <v>378</v>
      </c>
      <c r="C199" s="120" t="s">
        <v>2738</v>
      </c>
      <c r="D199" s="120">
        <v>0.50236000000000003</v>
      </c>
      <c r="E199" s="120">
        <v>-1.2828299999999999</v>
      </c>
      <c r="F199" s="120">
        <v>-1.3331900000000001</v>
      </c>
      <c r="G199" s="120">
        <v>0.41309000000000001</v>
      </c>
      <c r="H199" s="120">
        <v>0.92010000000000003</v>
      </c>
      <c r="I199" s="120"/>
      <c r="J199" s="120"/>
      <c r="K199" s="123" t="s">
        <v>876</v>
      </c>
      <c r="L199" s="123" t="s">
        <v>650</v>
      </c>
      <c r="M199" s="120"/>
      <c r="N199" s="120"/>
      <c r="O199" s="120"/>
      <c r="P199" s="120"/>
      <c r="Q199" s="120"/>
      <c r="R199" s="120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 x14ac:dyDescent="0.25">
      <c r="A200" s="14" t="str">
        <f t="shared" si="3"/>
        <v>HOMEPOSST251Q03JA_R</v>
      </c>
      <c r="B200" s="120" t="s">
        <v>378</v>
      </c>
      <c r="C200" s="120" t="s">
        <v>2739</v>
      </c>
      <c r="D200" s="120">
        <v>0.83106999999999998</v>
      </c>
      <c r="E200" s="120">
        <v>-0.93010000000000004</v>
      </c>
      <c r="F200" s="120">
        <v>-2.32565</v>
      </c>
      <c r="G200" s="120">
        <v>0.62899000000000005</v>
      </c>
      <c r="H200" s="120">
        <v>1.6966600000000001</v>
      </c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 x14ac:dyDescent="0.25">
      <c r="A201" s="14" t="str">
        <f t="shared" si="3"/>
        <v>HOMEPOSST251Q04JA_R</v>
      </c>
      <c r="B201" s="120" t="s">
        <v>378</v>
      </c>
      <c r="C201" s="120" t="s">
        <v>2740</v>
      </c>
      <c r="D201" s="120">
        <v>0.90290000000000004</v>
      </c>
      <c r="E201" s="120">
        <v>-1.02441</v>
      </c>
      <c r="F201" s="120">
        <v>-1.91242</v>
      </c>
      <c r="G201" s="120">
        <v>0.35633999999999999</v>
      </c>
      <c r="H201" s="120">
        <v>1.5560799999999999</v>
      </c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 spans="1:28" x14ac:dyDescent="0.25">
      <c r="A202" s="14" t="str">
        <f t="shared" si="3"/>
        <v>HOMEPOSST251Q04JA_R_DOWN1</v>
      </c>
      <c r="B202" s="120" t="s">
        <v>378</v>
      </c>
      <c r="C202" s="120" t="s">
        <v>2741</v>
      </c>
      <c r="D202" s="120">
        <v>0.18473999999999999</v>
      </c>
      <c r="E202" s="120">
        <v>1.0154399999999999</v>
      </c>
      <c r="F202" s="120">
        <v>0.44425999999999999</v>
      </c>
      <c r="G202" s="120">
        <v>0.49722</v>
      </c>
      <c r="H202" s="120">
        <v>-0.94147999999999998</v>
      </c>
      <c r="I202" s="120"/>
      <c r="J202" s="120"/>
      <c r="K202" s="123" t="s">
        <v>890</v>
      </c>
      <c r="L202" s="123" t="s">
        <v>684</v>
      </c>
      <c r="M202" s="120"/>
      <c r="N202" s="120"/>
      <c r="O202" s="120"/>
      <c r="P202" s="120"/>
      <c r="Q202" s="120"/>
      <c r="R202" s="120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 spans="1:28" x14ac:dyDescent="0.25">
      <c r="A203" s="14" t="str">
        <f t="shared" si="3"/>
        <v>HOMEPOSST251Q04JA_R_DOWN2</v>
      </c>
      <c r="B203" s="120" t="s">
        <v>378</v>
      </c>
      <c r="C203" s="120" t="s">
        <v>2742</v>
      </c>
      <c r="D203" s="120">
        <v>0.60753999999999997</v>
      </c>
      <c r="E203" s="120">
        <v>0.33572000000000002</v>
      </c>
      <c r="F203" s="120">
        <v>-0.33942</v>
      </c>
      <c r="G203" s="120">
        <v>0.16603999999999999</v>
      </c>
      <c r="H203" s="120">
        <v>0.17338000000000001</v>
      </c>
      <c r="I203" s="120"/>
      <c r="J203" s="120"/>
      <c r="K203" s="123" t="s">
        <v>747</v>
      </c>
      <c r="L203" s="123" t="s">
        <v>567</v>
      </c>
      <c r="M203" s="123" t="s">
        <v>738</v>
      </c>
      <c r="N203" s="123" t="s">
        <v>647</v>
      </c>
      <c r="O203" s="120"/>
      <c r="P203" s="120"/>
      <c r="Q203" s="120"/>
      <c r="R203" s="120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 x14ac:dyDescent="0.25">
      <c r="A204" s="14" t="str">
        <f t="shared" si="3"/>
        <v>HOMEPOSST251Q06JA_R</v>
      </c>
      <c r="B204" s="120" t="s">
        <v>378</v>
      </c>
      <c r="C204" s="120" t="s">
        <v>2743</v>
      </c>
      <c r="D204" s="120">
        <v>0.39101000000000002</v>
      </c>
      <c r="E204" s="120">
        <v>0.14968999999999999</v>
      </c>
      <c r="F204" s="120">
        <v>7.9219999999999999E-2</v>
      </c>
      <c r="G204" s="120">
        <v>0.31663000000000002</v>
      </c>
      <c r="H204" s="120">
        <v>-0.39584999999999998</v>
      </c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 x14ac:dyDescent="0.25">
      <c r="A205" s="14" t="str">
        <f t="shared" si="3"/>
        <v>HOMEPOSST251Q06JA_R_DOWN1</v>
      </c>
      <c r="B205" s="120" t="s">
        <v>378</v>
      </c>
      <c r="C205" s="120" t="s">
        <v>2744</v>
      </c>
      <c r="D205" s="120">
        <v>0.38258999999999999</v>
      </c>
      <c r="E205" s="120">
        <v>1.11971</v>
      </c>
      <c r="F205" s="120">
        <v>0.71453999999999995</v>
      </c>
      <c r="G205" s="120">
        <v>9.2200000000000008E-3</v>
      </c>
      <c r="H205" s="120">
        <v>-0.72375999999999996</v>
      </c>
      <c r="I205" s="120"/>
      <c r="J205" s="120"/>
      <c r="K205" s="123" t="s">
        <v>2658</v>
      </c>
      <c r="L205" s="123" t="s">
        <v>697</v>
      </c>
      <c r="M205" s="123" t="s">
        <v>887</v>
      </c>
      <c r="N205" s="123" t="s">
        <v>677</v>
      </c>
      <c r="O205" s="123" t="s">
        <v>887</v>
      </c>
      <c r="P205" s="123" t="s">
        <v>678</v>
      </c>
      <c r="Q205" s="120"/>
      <c r="R205" s="120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 x14ac:dyDescent="0.25">
      <c r="A206" s="14" t="str">
        <f t="shared" si="3"/>
        <v>HOMEPOSST251Q06JA_R_DOWN2</v>
      </c>
      <c r="B206" s="120" t="s">
        <v>378</v>
      </c>
      <c r="C206" s="120" t="s">
        <v>2745</v>
      </c>
      <c r="D206" s="120">
        <v>0.30029</v>
      </c>
      <c r="E206" s="120">
        <v>0.88231999999999999</v>
      </c>
      <c r="F206" s="120">
        <v>0.67081999999999997</v>
      </c>
      <c r="G206" s="120">
        <v>-3.6089999999999997E-2</v>
      </c>
      <c r="H206" s="120">
        <v>-0.63473000000000002</v>
      </c>
      <c r="I206" s="120"/>
      <c r="J206" s="120"/>
      <c r="K206" s="123" t="s">
        <v>886</v>
      </c>
      <c r="L206" s="123" t="s">
        <v>672</v>
      </c>
      <c r="M206" s="120"/>
      <c r="N206" s="120"/>
      <c r="O206" s="120"/>
      <c r="P206" s="120"/>
      <c r="Q206" s="120"/>
      <c r="R206" s="120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 x14ac:dyDescent="0.25">
      <c r="A207" s="14" t="str">
        <f t="shared" si="3"/>
        <v>HOMEPOSST251Q06JA_R_UP2</v>
      </c>
      <c r="B207" s="120" t="s">
        <v>378</v>
      </c>
      <c r="C207" s="120" t="s">
        <v>2746</v>
      </c>
      <c r="D207" s="120">
        <v>0.68947999999999998</v>
      </c>
      <c r="E207" s="120">
        <v>-0.59125000000000005</v>
      </c>
      <c r="F207" s="120">
        <v>-0.27106000000000002</v>
      </c>
      <c r="G207" s="120">
        <v>0.47643999999999997</v>
      </c>
      <c r="H207" s="120">
        <v>-0.20538000000000001</v>
      </c>
      <c r="I207" s="120"/>
      <c r="J207" s="120"/>
      <c r="K207" s="123" t="s">
        <v>733</v>
      </c>
      <c r="L207" s="123" t="s">
        <v>627</v>
      </c>
      <c r="M207" s="120"/>
      <c r="N207" s="120"/>
      <c r="O207" s="120"/>
      <c r="P207" s="120"/>
      <c r="Q207" s="120"/>
      <c r="R207" s="120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 x14ac:dyDescent="0.25">
      <c r="A208" s="14" t="str">
        <f t="shared" si="3"/>
        <v>HOMEPOSST251Q07JA_R</v>
      </c>
      <c r="B208" s="120" t="s">
        <v>378</v>
      </c>
      <c r="C208" s="120" t="s">
        <v>2747</v>
      </c>
      <c r="D208" s="120">
        <v>0.75217000000000001</v>
      </c>
      <c r="E208" s="120">
        <v>-1.3996900000000001</v>
      </c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 x14ac:dyDescent="0.25">
      <c r="A209" s="14" t="str">
        <f t="shared" si="3"/>
        <v>HOMEPOSST251Q07JA_R_DOWN1</v>
      </c>
      <c r="B209" s="120" t="s">
        <v>378</v>
      </c>
      <c r="C209" s="120" t="s">
        <v>2748</v>
      </c>
      <c r="D209" s="120">
        <v>1.05755</v>
      </c>
      <c r="E209" s="120">
        <v>-0.39510000000000001</v>
      </c>
      <c r="F209" s="120"/>
      <c r="G209" s="120"/>
      <c r="H209" s="120"/>
      <c r="I209" s="120"/>
      <c r="J209" s="120"/>
      <c r="K209" s="123" t="s">
        <v>731</v>
      </c>
      <c r="L209" s="123" t="s">
        <v>622</v>
      </c>
      <c r="M209" s="120"/>
      <c r="N209" s="120"/>
      <c r="O209" s="120"/>
      <c r="P209" s="120"/>
      <c r="Q209" s="120"/>
      <c r="R209" s="120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 x14ac:dyDescent="0.25">
      <c r="A210" s="14" t="str">
        <f t="shared" si="3"/>
        <v>HOMEPOSST251Q07JA_R_DOWN2</v>
      </c>
      <c r="B210" s="120" t="s">
        <v>378</v>
      </c>
      <c r="C210" s="120" t="s">
        <v>2749</v>
      </c>
      <c r="D210" s="120">
        <v>0.59926999999999997</v>
      </c>
      <c r="E210" s="120">
        <v>-0.14065</v>
      </c>
      <c r="F210" s="120"/>
      <c r="G210" s="120"/>
      <c r="H210" s="120"/>
      <c r="I210" s="120"/>
      <c r="J210" s="120"/>
      <c r="K210" s="123" t="s">
        <v>2658</v>
      </c>
      <c r="L210" s="123" t="s">
        <v>697</v>
      </c>
      <c r="M210" s="120"/>
      <c r="N210" s="120"/>
      <c r="O210" s="120"/>
      <c r="P210" s="120"/>
      <c r="Q210" s="120"/>
      <c r="R210" s="120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x14ac:dyDescent="0.25">
      <c r="A211" s="14" t="str">
        <f t="shared" si="3"/>
        <v>HOMEPOSST251Q07JA_R_UP2</v>
      </c>
      <c r="B211" s="120" t="s">
        <v>378</v>
      </c>
      <c r="C211" s="120" t="s">
        <v>2750</v>
      </c>
      <c r="D211" s="120">
        <v>0.87817999999999996</v>
      </c>
      <c r="E211" s="120">
        <v>-2.7683900000000001</v>
      </c>
      <c r="F211" s="120"/>
      <c r="G211" s="120"/>
      <c r="H211" s="120"/>
      <c r="I211" s="120"/>
      <c r="J211" s="120"/>
      <c r="K211" s="123" t="s">
        <v>2751</v>
      </c>
      <c r="L211" s="123" t="s">
        <v>569</v>
      </c>
      <c r="M211" s="123" t="s">
        <v>868</v>
      </c>
      <c r="N211" s="123" t="s">
        <v>594</v>
      </c>
      <c r="O211" s="123" t="s">
        <v>859</v>
      </c>
      <c r="P211" s="123" t="s">
        <v>573</v>
      </c>
      <c r="Q211" s="120"/>
      <c r="R211" s="120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 spans="1:28" x14ac:dyDescent="0.25">
      <c r="A212" s="14" t="str">
        <f t="shared" si="3"/>
        <v>HOMEPOSST251Q08JA_RALB</v>
      </c>
      <c r="B212" s="120" t="s">
        <v>378</v>
      </c>
      <c r="C212" s="120" t="s">
        <v>2752</v>
      </c>
      <c r="D212" s="120">
        <v>2.1265200000000002</v>
      </c>
      <c r="E212" s="120">
        <v>-1.6812800000000001</v>
      </c>
      <c r="F212" s="120">
        <v>-2.7715700000000001</v>
      </c>
      <c r="G212" s="120">
        <v>0.58516000000000001</v>
      </c>
      <c r="H212" s="120">
        <v>2.18641</v>
      </c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 spans="1:28" x14ac:dyDescent="0.25">
      <c r="A213" s="14" t="str">
        <f t="shared" si="3"/>
        <v>HOMEPOSST251Q08JA_RAUS</v>
      </c>
      <c r="B213" s="120" t="s">
        <v>378</v>
      </c>
      <c r="C213" s="120" t="s">
        <v>2753</v>
      </c>
      <c r="D213" s="120">
        <v>0.60618000000000005</v>
      </c>
      <c r="E213" s="120">
        <v>-0.59213000000000005</v>
      </c>
      <c r="F213" s="120">
        <v>-1.12663</v>
      </c>
      <c r="G213" s="120">
        <v>0.95035000000000003</v>
      </c>
      <c r="H213" s="120">
        <v>0.17627999999999999</v>
      </c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 spans="1:28" x14ac:dyDescent="0.25">
      <c r="A214" s="14" t="str">
        <f t="shared" si="3"/>
        <v>HOMEPOSST251Q08JA_RAZE</v>
      </c>
      <c r="B214" s="120" t="s">
        <v>378</v>
      </c>
      <c r="C214" s="120" t="s">
        <v>2754</v>
      </c>
      <c r="D214" s="120">
        <v>0.439</v>
      </c>
      <c r="E214" s="120">
        <v>-1.9191800000000001</v>
      </c>
      <c r="F214" s="120">
        <v>-0.59580999999999995</v>
      </c>
      <c r="G214" s="120">
        <v>1.7520000000000001E-2</v>
      </c>
      <c r="H214" s="120">
        <v>0.57828999999999997</v>
      </c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 spans="1:28" x14ac:dyDescent="0.25">
      <c r="A215" s="14" t="str">
        <f t="shared" si="3"/>
        <v>HOMEPOSST251Q08JA_RBRN</v>
      </c>
      <c r="B215" s="120" t="s">
        <v>378</v>
      </c>
      <c r="C215" s="120" t="s">
        <v>2755</v>
      </c>
      <c r="D215" s="120">
        <v>0.27810000000000001</v>
      </c>
      <c r="E215" s="120">
        <v>0.37457000000000001</v>
      </c>
      <c r="F215" s="120">
        <v>1.0749500000000001</v>
      </c>
      <c r="G215" s="120">
        <v>0.15842000000000001</v>
      </c>
      <c r="H215" s="120">
        <v>-1.2333700000000001</v>
      </c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 spans="1:28" x14ac:dyDescent="0.25">
      <c r="A216" s="14" t="str">
        <f t="shared" si="3"/>
        <v>HOMEPOSST251Q08JA_RCAN</v>
      </c>
      <c r="B216" s="120" t="s">
        <v>378</v>
      </c>
      <c r="C216" s="120" t="s">
        <v>2756</v>
      </c>
      <c r="D216" s="120">
        <v>0.52817999999999998</v>
      </c>
      <c r="E216" s="120">
        <v>-0.19814000000000001</v>
      </c>
      <c r="F216" s="120">
        <v>0.11183999999999999</v>
      </c>
      <c r="G216" s="120">
        <v>0.50163999999999997</v>
      </c>
      <c r="H216" s="120">
        <v>-0.61348000000000003</v>
      </c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 spans="1:28" x14ac:dyDescent="0.25">
      <c r="A217" s="14" t="str">
        <f t="shared" si="3"/>
        <v>HOMEPOSST251Q08JA_RCHE</v>
      </c>
      <c r="B217" s="120" t="s">
        <v>378</v>
      </c>
      <c r="C217" s="120" t="s">
        <v>2757</v>
      </c>
      <c r="D217" s="120">
        <v>1.22319</v>
      </c>
      <c r="E217" s="120">
        <v>0.61339999999999995</v>
      </c>
      <c r="F217" s="120">
        <v>-4.3785400000000001</v>
      </c>
      <c r="G217" s="120">
        <v>2.6768000000000001</v>
      </c>
      <c r="H217" s="120">
        <v>1.70174</v>
      </c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 spans="1:28" x14ac:dyDescent="0.25">
      <c r="A218" s="14" t="str">
        <f t="shared" si="3"/>
        <v>HOMEPOSST251Q08JA_RCHL</v>
      </c>
      <c r="B218" s="120" t="s">
        <v>378</v>
      </c>
      <c r="C218" s="120" t="s">
        <v>2758</v>
      </c>
      <c r="D218" s="120">
        <v>0.78549000000000002</v>
      </c>
      <c r="E218" s="120">
        <v>0.16339999999999999</v>
      </c>
      <c r="F218" s="120">
        <v>-0.48470000000000002</v>
      </c>
      <c r="G218" s="120">
        <v>0.59113000000000004</v>
      </c>
      <c r="H218" s="120">
        <v>-0.10643</v>
      </c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 spans="1:28" x14ac:dyDescent="0.25">
      <c r="A219" s="14" t="str">
        <f t="shared" si="3"/>
        <v>HOMEPOSST251Q08JA_RCHN</v>
      </c>
      <c r="B219" s="120" t="s">
        <v>378</v>
      </c>
      <c r="C219" s="120" t="s">
        <v>2759</v>
      </c>
      <c r="D219" s="120">
        <v>0.66264000000000001</v>
      </c>
      <c r="E219" s="120">
        <v>-0.67274999999999996</v>
      </c>
      <c r="F219" s="120">
        <v>-3.4104800000000002</v>
      </c>
      <c r="G219" s="120">
        <v>1.41353</v>
      </c>
      <c r="H219" s="120">
        <v>1.99695</v>
      </c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 spans="1:28" x14ac:dyDescent="0.25">
      <c r="A220" s="14" t="str">
        <f t="shared" si="3"/>
        <v>HOMEPOSST251Q08JA_RCOL</v>
      </c>
      <c r="B220" s="120" t="s">
        <v>378</v>
      </c>
      <c r="C220" s="120" t="s">
        <v>2760</v>
      </c>
      <c r="D220" s="120">
        <v>0.82203999999999999</v>
      </c>
      <c r="E220" s="120">
        <v>-0.24063000000000001</v>
      </c>
      <c r="F220" s="120">
        <v>-0.65190000000000003</v>
      </c>
      <c r="G220" s="120">
        <v>0.39300000000000002</v>
      </c>
      <c r="H220" s="120">
        <v>0.25890000000000002</v>
      </c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 x14ac:dyDescent="0.25">
      <c r="A221" s="14" t="str">
        <f t="shared" si="3"/>
        <v>HOMEPOSST251Q08JA_RDNK</v>
      </c>
      <c r="B221" s="120" t="s">
        <v>378</v>
      </c>
      <c r="C221" s="120" t="s">
        <v>2761</v>
      </c>
      <c r="D221" s="120">
        <v>0.50122</v>
      </c>
      <c r="E221" s="120">
        <v>1.32203</v>
      </c>
      <c r="F221" s="120">
        <v>0.46464</v>
      </c>
      <c r="G221" s="120">
        <v>0.10421</v>
      </c>
      <c r="H221" s="120">
        <v>-0.56884999999999997</v>
      </c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 x14ac:dyDescent="0.25">
      <c r="A222" s="14" t="str">
        <f t="shared" si="3"/>
        <v>HOMEPOSST251Q08JA_RDOM</v>
      </c>
      <c r="B222" s="120" t="s">
        <v>378</v>
      </c>
      <c r="C222" s="120" t="s">
        <v>2762</v>
      </c>
      <c r="D222" s="120">
        <v>0.51036999999999999</v>
      </c>
      <c r="E222" s="120">
        <v>0.73053000000000001</v>
      </c>
      <c r="F222" s="120">
        <v>0.84055000000000002</v>
      </c>
      <c r="G222" s="120">
        <v>6.4600000000000005E-2</v>
      </c>
      <c r="H222" s="120">
        <v>-0.90515000000000001</v>
      </c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 spans="1:28" x14ac:dyDescent="0.25">
      <c r="A223" s="14" t="str">
        <f t="shared" si="3"/>
        <v>HOMEPOSST251Q08JA_RECU</v>
      </c>
      <c r="B223" s="120" t="s">
        <v>378</v>
      </c>
      <c r="C223" s="120" t="s">
        <v>2763</v>
      </c>
      <c r="D223" s="120">
        <v>0.56859000000000004</v>
      </c>
      <c r="E223" s="120">
        <v>-0.50714000000000004</v>
      </c>
      <c r="F223" s="120">
        <v>-0.27693000000000001</v>
      </c>
      <c r="G223" s="120">
        <v>0.81589999999999996</v>
      </c>
      <c r="H223" s="120">
        <v>-0.53896999999999995</v>
      </c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 x14ac:dyDescent="0.25">
      <c r="A224" s="14" t="str">
        <f t="shared" si="3"/>
        <v>HOMEPOSST251Q08JA_REGY</v>
      </c>
      <c r="B224" s="120" t="s">
        <v>378</v>
      </c>
      <c r="C224" s="120" t="s">
        <v>2764</v>
      </c>
      <c r="D224" s="120">
        <v>0.61817999999999995</v>
      </c>
      <c r="E224" s="120">
        <v>-0.80245</v>
      </c>
      <c r="F224" s="120">
        <v>-0.60511000000000004</v>
      </c>
      <c r="G224" s="120">
        <v>0.64639000000000002</v>
      </c>
      <c r="H224" s="120">
        <v>-4.1279999999999997E-2</v>
      </c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 x14ac:dyDescent="0.25">
      <c r="A225" s="14" t="str">
        <f t="shared" si="3"/>
        <v>HOMEPOSST251Q08JA_RESP</v>
      </c>
      <c r="B225" s="120" t="s">
        <v>378</v>
      </c>
      <c r="C225" s="120" t="s">
        <v>2765</v>
      </c>
      <c r="D225" s="120">
        <v>0.89629000000000003</v>
      </c>
      <c r="E225" s="120">
        <v>0.8367</v>
      </c>
      <c r="F225" s="120">
        <v>-1.5032399999999999</v>
      </c>
      <c r="G225" s="120">
        <v>0.55903000000000003</v>
      </c>
      <c r="H225" s="120">
        <v>0.94420999999999999</v>
      </c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 spans="1:28" x14ac:dyDescent="0.25">
      <c r="A226" s="14" t="str">
        <f t="shared" si="3"/>
        <v>HOMEPOSST251Q08JA_RGRC</v>
      </c>
      <c r="B226" s="120" t="s">
        <v>378</v>
      </c>
      <c r="C226" s="120" t="s">
        <v>2766</v>
      </c>
      <c r="D226" s="120">
        <v>0.63361000000000001</v>
      </c>
      <c r="E226" s="120">
        <v>-0.20573</v>
      </c>
      <c r="F226" s="120">
        <v>-1.8399700000000001</v>
      </c>
      <c r="G226" s="120">
        <v>1.2222999999999999</v>
      </c>
      <c r="H226" s="120">
        <v>0.61767000000000005</v>
      </c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 spans="1:28" x14ac:dyDescent="0.25">
      <c r="A227" s="14" t="str">
        <f t="shared" si="3"/>
        <v>HOMEPOSST251Q08JA_RGTM</v>
      </c>
      <c r="B227" s="120" t="s">
        <v>378</v>
      </c>
      <c r="C227" s="120" t="s">
        <v>2767</v>
      </c>
      <c r="D227" s="120">
        <v>0.69384999999999997</v>
      </c>
      <c r="E227" s="120">
        <v>1.0833600000000001</v>
      </c>
      <c r="F227" s="120">
        <v>0.48930000000000001</v>
      </c>
      <c r="G227" s="120">
        <v>1.545E-2</v>
      </c>
      <c r="H227" s="120">
        <v>-0.50475000000000003</v>
      </c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 spans="1:28" x14ac:dyDescent="0.25">
      <c r="A228" s="14" t="str">
        <f t="shared" si="3"/>
        <v>HOMEPOSST251Q08JA_RHKG</v>
      </c>
      <c r="B228" s="120" t="s">
        <v>378</v>
      </c>
      <c r="C228" s="120" t="s">
        <v>2768</v>
      </c>
      <c r="D228" s="120">
        <v>1.01464</v>
      </c>
      <c r="E228" s="120">
        <v>1.20146</v>
      </c>
      <c r="F228" s="120">
        <v>-1.1290899999999999</v>
      </c>
      <c r="G228" s="120">
        <v>0.88851999999999998</v>
      </c>
      <c r="H228" s="120">
        <v>0.24057000000000001</v>
      </c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 x14ac:dyDescent="0.25">
      <c r="A229" s="14" t="str">
        <f t="shared" si="3"/>
        <v>HOMEPOSST251Q08JA_RHUN</v>
      </c>
      <c r="B229" s="120" t="s">
        <v>378</v>
      </c>
      <c r="C229" s="120" t="s">
        <v>2769</v>
      </c>
      <c r="D229" s="120">
        <v>0.51773999999999998</v>
      </c>
      <c r="E229" s="120">
        <v>5.6030000000000003E-2</v>
      </c>
      <c r="F229" s="120">
        <v>-0.79990000000000006</v>
      </c>
      <c r="G229" s="120">
        <v>0.35598000000000002</v>
      </c>
      <c r="H229" s="120">
        <v>0.44391999999999998</v>
      </c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 spans="1:28" x14ac:dyDescent="0.25">
      <c r="A230" s="14" t="str">
        <f t="shared" si="3"/>
        <v>HOMEPOSST251Q08JA_RIDN</v>
      </c>
      <c r="B230" s="120" t="s">
        <v>378</v>
      </c>
      <c r="C230" s="120" t="s">
        <v>2770</v>
      </c>
      <c r="D230" s="120">
        <v>0.86028000000000004</v>
      </c>
      <c r="E230" s="120">
        <v>-1.38947</v>
      </c>
      <c r="F230" s="120">
        <v>-2.9642499999999998</v>
      </c>
      <c r="G230" s="120">
        <v>1.24627</v>
      </c>
      <c r="H230" s="120">
        <v>1.7179800000000001</v>
      </c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 spans="1:28" x14ac:dyDescent="0.25">
      <c r="A231" s="14" t="str">
        <f t="shared" si="3"/>
        <v>HOMEPOSST251Q08JA_RIRL</v>
      </c>
      <c r="B231" s="120" t="s">
        <v>378</v>
      </c>
      <c r="C231" s="120" t="s">
        <v>2771</v>
      </c>
      <c r="D231" s="120">
        <v>0.57769999999999999</v>
      </c>
      <c r="E231" s="120">
        <v>-1.10991</v>
      </c>
      <c r="F231" s="120">
        <v>-0.68640999999999996</v>
      </c>
      <c r="G231" s="120">
        <v>0.37781999999999999</v>
      </c>
      <c r="H231" s="120">
        <v>0.30858999999999998</v>
      </c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 spans="1:28" x14ac:dyDescent="0.25">
      <c r="A232" s="14" t="str">
        <f t="shared" si="3"/>
        <v>HOMEPOSST251Q08JA_RISL</v>
      </c>
      <c r="B232" s="120" t="s">
        <v>378</v>
      </c>
      <c r="C232" s="120" t="s">
        <v>2772</v>
      </c>
      <c r="D232" s="120">
        <v>1.1534599999999999</v>
      </c>
      <c r="E232" s="120">
        <v>1.3717999999999999</v>
      </c>
      <c r="F232" s="120">
        <v>-1.59538</v>
      </c>
      <c r="G232" s="120">
        <v>0.78469999999999995</v>
      </c>
      <c r="H232" s="120">
        <v>0.81067999999999996</v>
      </c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 spans="1:28" x14ac:dyDescent="0.25">
      <c r="A233" s="14" t="str">
        <f t="shared" si="3"/>
        <v>HOMEPOSST251Q08JA_RJOR</v>
      </c>
      <c r="B233" s="120" t="s">
        <v>378</v>
      </c>
      <c r="C233" s="120" t="s">
        <v>2773</v>
      </c>
      <c r="D233" s="120">
        <v>0.45261000000000001</v>
      </c>
      <c r="E233" s="120">
        <v>-0.31218000000000001</v>
      </c>
      <c r="F233" s="120">
        <v>0.58631999999999995</v>
      </c>
      <c r="G233" s="120">
        <v>0.37991999999999998</v>
      </c>
      <c r="H233" s="120">
        <v>-0.96623999999999999</v>
      </c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 spans="1:28" x14ac:dyDescent="0.25">
      <c r="A234" s="14" t="str">
        <f t="shared" si="3"/>
        <v>HOMEPOSST251Q08JA_RJPN</v>
      </c>
      <c r="B234" s="120" t="s">
        <v>378</v>
      </c>
      <c r="C234" s="120" t="s">
        <v>2774</v>
      </c>
      <c r="D234" s="120">
        <v>0.80274999999999996</v>
      </c>
      <c r="E234" s="120">
        <v>-2.2642199999999999</v>
      </c>
      <c r="F234" s="120">
        <v>-0.9093</v>
      </c>
      <c r="G234" s="120">
        <v>0.98114000000000001</v>
      </c>
      <c r="H234" s="120">
        <v>-7.1840000000000001E-2</v>
      </c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 x14ac:dyDescent="0.25">
      <c r="A235" s="14" t="str">
        <f t="shared" si="3"/>
        <v>HOMEPOSST251Q08JA_RKAZ</v>
      </c>
      <c r="B235" s="120" t="s">
        <v>378</v>
      </c>
      <c r="C235" s="120" t="s">
        <v>2775</v>
      </c>
      <c r="D235" s="120">
        <v>0.45112999999999998</v>
      </c>
      <c r="E235" s="120">
        <v>-0.63712000000000002</v>
      </c>
      <c r="F235" s="120">
        <v>-0.77895999999999999</v>
      </c>
      <c r="G235" s="120">
        <v>0.35393999999999998</v>
      </c>
      <c r="H235" s="120">
        <v>0.42502000000000001</v>
      </c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 x14ac:dyDescent="0.25">
      <c r="A236" s="14" t="str">
        <f t="shared" si="3"/>
        <v>HOMEPOSST251Q08JA_RKEN</v>
      </c>
      <c r="B236" s="120" t="s">
        <v>378</v>
      </c>
      <c r="C236" s="120" t="s">
        <v>2776</v>
      </c>
      <c r="D236" s="120">
        <v>0.16986000000000001</v>
      </c>
      <c r="E236" s="120">
        <v>-1.08517</v>
      </c>
      <c r="F236" s="120">
        <v>0.19453999999999999</v>
      </c>
      <c r="G236" s="120">
        <v>0.58177999999999996</v>
      </c>
      <c r="H236" s="120">
        <v>-0.77632000000000001</v>
      </c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 spans="1:28" x14ac:dyDescent="0.25">
      <c r="A237" s="14" t="str">
        <f t="shared" si="3"/>
        <v>HOMEPOSST251Q08JA_RKGZ</v>
      </c>
      <c r="B237" s="120" t="s">
        <v>378</v>
      </c>
      <c r="C237" s="120" t="s">
        <v>2777</v>
      </c>
      <c r="D237" s="120">
        <v>-4.045E-2</v>
      </c>
      <c r="E237" s="120">
        <v>0.35750999999999999</v>
      </c>
      <c r="F237" s="120">
        <v>1.51938</v>
      </c>
      <c r="G237" s="120">
        <v>0.27439999999999998</v>
      </c>
      <c r="H237" s="120">
        <v>-1.7937799999999999</v>
      </c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 spans="1:28" x14ac:dyDescent="0.25">
      <c r="A238" s="14" t="str">
        <f t="shared" si="3"/>
        <v>HOMEPOSST251Q08JA_RKHM</v>
      </c>
      <c r="B238" s="120" t="s">
        <v>378</v>
      </c>
      <c r="C238" s="120" t="s">
        <v>2778</v>
      </c>
      <c r="D238" s="120">
        <v>0.64105000000000001</v>
      </c>
      <c r="E238" s="120">
        <v>-0.92490000000000006</v>
      </c>
      <c r="F238" s="120">
        <v>-0.43887999999999999</v>
      </c>
      <c r="G238" s="120">
        <v>1.19472</v>
      </c>
      <c r="H238" s="120">
        <v>-0.75583999999999996</v>
      </c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 spans="1:28" x14ac:dyDescent="0.25">
      <c r="A239" s="14" t="str">
        <f t="shared" si="3"/>
        <v>HOMEPOSST251Q08JA_RKOR</v>
      </c>
      <c r="B239" s="120" t="s">
        <v>378</v>
      </c>
      <c r="C239" s="120" t="s">
        <v>2779</v>
      </c>
      <c r="D239" s="120">
        <v>0.97246999999999995</v>
      </c>
      <c r="E239" s="120">
        <v>-1.71811</v>
      </c>
      <c r="F239" s="120">
        <v>-2.24417</v>
      </c>
      <c r="G239" s="120">
        <v>0.64629999999999999</v>
      </c>
      <c r="H239" s="120">
        <v>1.5978699999999999</v>
      </c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 spans="1:28" x14ac:dyDescent="0.25">
      <c r="A240" s="14" t="str">
        <f t="shared" si="3"/>
        <v>HOMEPOSST251Q08JA_RLBN</v>
      </c>
      <c r="B240" s="120" t="s">
        <v>378</v>
      </c>
      <c r="C240" s="120" t="s">
        <v>2780</v>
      </c>
      <c r="D240" s="120">
        <v>0.56091000000000002</v>
      </c>
      <c r="E240" s="120">
        <v>-0.54162999999999994</v>
      </c>
      <c r="F240" s="120">
        <v>-0.31236000000000003</v>
      </c>
      <c r="G240" s="120">
        <v>0.46870000000000001</v>
      </c>
      <c r="H240" s="120">
        <v>-0.15634000000000001</v>
      </c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 spans="1:28" x14ac:dyDescent="0.25">
      <c r="A241" s="14" t="str">
        <f t="shared" si="3"/>
        <v>HOMEPOSST251Q08JA_RLUX</v>
      </c>
      <c r="B241" s="120" t="s">
        <v>378</v>
      </c>
      <c r="C241" s="120" t="s">
        <v>2781</v>
      </c>
      <c r="D241" s="120">
        <v>0.37658000000000003</v>
      </c>
      <c r="E241" s="120">
        <v>0.99712999999999996</v>
      </c>
      <c r="F241" s="120">
        <v>0.28794999999999998</v>
      </c>
      <c r="G241" s="120">
        <v>-6.565E-2</v>
      </c>
      <c r="H241" s="120">
        <v>-0.2223</v>
      </c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 spans="1:28" x14ac:dyDescent="0.25">
      <c r="A242" s="14" t="str">
        <f t="shared" si="3"/>
        <v>HOMEPOSST251Q08JA_RLVA</v>
      </c>
      <c r="B242" s="120" t="s">
        <v>378</v>
      </c>
      <c r="C242" s="120" t="s">
        <v>2782</v>
      </c>
      <c r="D242" s="120">
        <v>0.36910999999999999</v>
      </c>
      <c r="E242" s="120">
        <v>-0.17498</v>
      </c>
      <c r="F242" s="120">
        <v>0.48019000000000001</v>
      </c>
      <c r="G242" s="120">
        <v>0.52556000000000003</v>
      </c>
      <c r="H242" s="120">
        <v>-1.0057499999999999</v>
      </c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 spans="1:28" x14ac:dyDescent="0.25">
      <c r="A243" s="14" t="str">
        <f t="shared" si="3"/>
        <v>HOMEPOSST251Q08JA_RMAC</v>
      </c>
      <c r="B243" s="120" t="s">
        <v>378</v>
      </c>
      <c r="C243" s="120" t="s">
        <v>2783</v>
      </c>
      <c r="D243" s="120">
        <v>0.97680999999999996</v>
      </c>
      <c r="E243" s="120">
        <v>-0.14591999999999999</v>
      </c>
      <c r="F243" s="120">
        <v>-1.3176399999999999</v>
      </c>
      <c r="G243" s="120">
        <v>0.70211999999999997</v>
      </c>
      <c r="H243" s="120">
        <v>0.61551999999999996</v>
      </c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 spans="1:28" x14ac:dyDescent="0.25">
      <c r="A244" s="14" t="str">
        <f t="shared" si="3"/>
        <v>HOMEPOSST251Q08JA_RMAR</v>
      </c>
      <c r="B244" s="120" t="s">
        <v>378</v>
      </c>
      <c r="C244" s="120" t="s">
        <v>2784</v>
      </c>
      <c r="D244" s="120">
        <v>0.53030999999999995</v>
      </c>
      <c r="E244" s="120">
        <v>-1.04714</v>
      </c>
      <c r="F244" s="120">
        <v>0.36908000000000002</v>
      </c>
      <c r="G244" s="120">
        <v>0.84562999999999999</v>
      </c>
      <c r="H244" s="120">
        <v>-1.21471</v>
      </c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 spans="1:28" x14ac:dyDescent="0.25">
      <c r="A245" s="14" t="str">
        <f t="shared" si="3"/>
        <v>HOMEPOSST251Q08JA_RMKD</v>
      </c>
      <c r="B245" s="120" t="s">
        <v>378</v>
      </c>
      <c r="C245" s="120" t="s">
        <v>2785</v>
      </c>
      <c r="D245" s="120">
        <v>0.87041999999999997</v>
      </c>
      <c r="E245" s="120">
        <v>-1.0069399999999999</v>
      </c>
      <c r="F245" s="120">
        <v>-2.9335100000000001</v>
      </c>
      <c r="G245" s="120">
        <v>1.2259899999999999</v>
      </c>
      <c r="H245" s="120">
        <v>1.7075199999999999</v>
      </c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 spans="1:28" x14ac:dyDescent="0.25">
      <c r="A246" s="14" t="str">
        <f t="shared" si="3"/>
        <v>HOMEPOSST251Q08JA_RMLT</v>
      </c>
      <c r="B246" s="120" t="s">
        <v>378</v>
      </c>
      <c r="C246" s="120" t="s">
        <v>2786</v>
      </c>
      <c r="D246" s="120">
        <v>0.64756000000000002</v>
      </c>
      <c r="E246" s="120">
        <v>-0.91264999999999996</v>
      </c>
      <c r="F246" s="120">
        <v>-0.94145000000000001</v>
      </c>
      <c r="G246" s="120">
        <v>0.53059999999999996</v>
      </c>
      <c r="H246" s="120">
        <v>0.41084999999999999</v>
      </c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 spans="1:28" x14ac:dyDescent="0.25">
      <c r="A247" s="14" t="str">
        <f t="shared" si="3"/>
        <v>HOMEPOSST251Q08JA_RMNG</v>
      </c>
      <c r="B247" s="120" t="s">
        <v>378</v>
      </c>
      <c r="C247" s="120" t="s">
        <v>2787</v>
      </c>
      <c r="D247" s="120">
        <v>0.33438000000000001</v>
      </c>
      <c r="E247" s="120">
        <v>-1.13903</v>
      </c>
      <c r="F247" s="120">
        <v>0.12488</v>
      </c>
      <c r="G247" s="120">
        <v>0.65749999999999997</v>
      </c>
      <c r="H247" s="120">
        <v>-0.78237999999999996</v>
      </c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 spans="1:28" x14ac:dyDescent="0.25">
      <c r="A248" s="14" t="str">
        <f t="shared" si="3"/>
        <v>HOMEPOSST251Q08JA_RMUS</v>
      </c>
      <c r="B248" s="120" t="s">
        <v>378</v>
      </c>
      <c r="C248" s="120" t="s">
        <v>2788</v>
      </c>
      <c r="D248" s="120">
        <v>0.61231000000000002</v>
      </c>
      <c r="E248" s="120">
        <v>-4.07E-2</v>
      </c>
      <c r="F248" s="120">
        <v>-1.2771699999999999</v>
      </c>
      <c r="G248" s="120">
        <v>0.92374000000000001</v>
      </c>
      <c r="H248" s="120">
        <v>0.35343000000000002</v>
      </c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 spans="1:28" x14ac:dyDescent="0.25">
      <c r="A249" s="14" t="str">
        <f t="shared" si="3"/>
        <v>HOMEPOSST251Q08JA_RMYS</v>
      </c>
      <c r="B249" s="120" t="s">
        <v>378</v>
      </c>
      <c r="C249" s="120" t="s">
        <v>2789</v>
      </c>
      <c r="D249" s="120">
        <v>0.28805999999999998</v>
      </c>
      <c r="E249" s="120">
        <v>-0.28915999999999997</v>
      </c>
      <c r="F249" s="120">
        <v>-1.2430399999999999</v>
      </c>
      <c r="G249" s="120">
        <v>0.80066000000000004</v>
      </c>
      <c r="H249" s="120">
        <v>0.44238</v>
      </c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 spans="1:28" x14ac:dyDescent="0.25">
      <c r="A250" s="14" t="str">
        <f t="shared" si="3"/>
        <v>HOMEPOSST251Q08JA_RNLD</v>
      </c>
      <c r="B250" s="120" t="s">
        <v>378</v>
      </c>
      <c r="C250" s="120" t="s">
        <v>2790</v>
      </c>
      <c r="D250" s="120">
        <v>0.78373999999999999</v>
      </c>
      <c r="E250" s="120">
        <v>1.0455000000000001</v>
      </c>
      <c r="F250" s="120">
        <v>-0.61519000000000001</v>
      </c>
      <c r="G250" s="120">
        <v>0.30831999999999998</v>
      </c>
      <c r="H250" s="120">
        <v>0.30686999999999998</v>
      </c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 spans="1:28" x14ac:dyDescent="0.25">
      <c r="A251" s="14" t="str">
        <f t="shared" si="3"/>
        <v>HOMEPOSST251Q08JA_RNOR</v>
      </c>
      <c r="B251" s="120" t="s">
        <v>378</v>
      </c>
      <c r="C251" s="120" t="s">
        <v>2791</v>
      </c>
      <c r="D251" s="120">
        <v>0.49408999999999997</v>
      </c>
      <c r="E251" s="120">
        <v>0.80939000000000005</v>
      </c>
      <c r="F251" s="120">
        <v>-0.20072000000000001</v>
      </c>
      <c r="G251" s="120">
        <v>-8.0629999999999993E-2</v>
      </c>
      <c r="H251" s="120">
        <v>0.28134999999999999</v>
      </c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 spans="1:28" x14ac:dyDescent="0.25">
      <c r="A252" s="14" t="str">
        <f t="shared" si="3"/>
        <v>HOMEPOSST251Q08JA_RNZL</v>
      </c>
      <c r="B252" s="120" t="s">
        <v>378</v>
      </c>
      <c r="C252" s="120" t="s">
        <v>2792</v>
      </c>
      <c r="D252" s="120">
        <v>0.61041000000000001</v>
      </c>
      <c r="E252" s="120">
        <v>-0.23965</v>
      </c>
      <c r="F252" s="120">
        <v>-1.13212</v>
      </c>
      <c r="G252" s="120">
        <v>0.71935000000000004</v>
      </c>
      <c r="H252" s="120">
        <v>0.41277000000000003</v>
      </c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 spans="1:28" x14ac:dyDescent="0.25">
      <c r="A253" s="14" t="str">
        <f t="shared" si="3"/>
        <v>HOMEPOSST251Q08JA_RPER</v>
      </c>
      <c r="B253" s="120" t="s">
        <v>378</v>
      </c>
      <c r="C253" s="120" t="s">
        <v>2793</v>
      </c>
      <c r="D253" s="120">
        <v>0.83335000000000004</v>
      </c>
      <c r="E253" s="120">
        <v>-0.11419</v>
      </c>
      <c r="F253" s="120">
        <v>-0.31043999999999999</v>
      </c>
      <c r="G253" s="120">
        <v>0.31119999999999998</v>
      </c>
      <c r="H253" s="120">
        <v>-7.5999999999998302E-4</v>
      </c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 spans="1:28" x14ac:dyDescent="0.25">
      <c r="A254" s="14" t="str">
        <f t="shared" si="3"/>
        <v>HOMEPOSST251Q08JA_RPHL</v>
      </c>
      <c r="B254" s="120" t="s">
        <v>378</v>
      </c>
      <c r="C254" s="120" t="s">
        <v>2794</v>
      </c>
      <c r="D254" s="120">
        <v>0.72643000000000002</v>
      </c>
      <c r="E254" s="120">
        <v>-0.19270999999999999</v>
      </c>
      <c r="F254" s="120">
        <v>-0.20322999999999999</v>
      </c>
      <c r="G254" s="120">
        <v>0.51317000000000002</v>
      </c>
      <c r="H254" s="120">
        <v>-0.30993999999999999</v>
      </c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 spans="1:28" x14ac:dyDescent="0.25">
      <c r="A255" s="14" t="str">
        <f t="shared" si="3"/>
        <v>HOMEPOSST251Q08JA_RPOL</v>
      </c>
      <c r="B255" s="120" t="s">
        <v>378</v>
      </c>
      <c r="C255" s="120" t="s">
        <v>2795</v>
      </c>
      <c r="D255" s="120">
        <v>0.78212000000000004</v>
      </c>
      <c r="E255" s="120">
        <v>-1.7402599999999999</v>
      </c>
      <c r="F255" s="120">
        <v>-0.29668</v>
      </c>
      <c r="G255" s="120">
        <v>0.62058999999999997</v>
      </c>
      <c r="H255" s="120">
        <v>-0.32390999999999998</v>
      </c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 spans="1:28" x14ac:dyDescent="0.25">
      <c r="A256" s="14" t="str">
        <f t="shared" si="3"/>
        <v>HOMEPOSST251Q08JA_RPRT</v>
      </c>
      <c r="B256" s="120" t="s">
        <v>378</v>
      </c>
      <c r="C256" s="120" t="s">
        <v>2796</v>
      </c>
      <c r="D256" s="120">
        <v>0.39118999999999998</v>
      </c>
      <c r="E256" s="120">
        <v>-0.23139000000000001</v>
      </c>
      <c r="F256" s="120">
        <v>1.06212</v>
      </c>
      <c r="G256" s="120">
        <v>0.57306000000000001</v>
      </c>
      <c r="H256" s="120">
        <v>-1.6351800000000001</v>
      </c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 spans="1:28" x14ac:dyDescent="0.25">
      <c r="A257" s="14" t="str">
        <f t="shared" ref="A257:A320" si="4">_xlfn.CONCAT(B257,C257)</f>
        <v>HOMEPOSST251Q08JA_RPSE</v>
      </c>
      <c r="B257" s="120" t="s">
        <v>378</v>
      </c>
      <c r="C257" s="120" t="s">
        <v>2797</v>
      </c>
      <c r="D257" s="120">
        <v>0.52146000000000003</v>
      </c>
      <c r="E257" s="120">
        <v>-0.57379999999999998</v>
      </c>
      <c r="F257" s="120">
        <v>0.30358000000000002</v>
      </c>
      <c r="G257" s="120">
        <v>0.56979000000000002</v>
      </c>
      <c r="H257" s="120">
        <v>-0.87336999999999998</v>
      </c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 spans="1:28" x14ac:dyDescent="0.25">
      <c r="A258" s="14" t="str">
        <f t="shared" si="4"/>
        <v>HOMEPOSST251Q08JA_RQAT</v>
      </c>
      <c r="B258" s="120" t="s">
        <v>378</v>
      </c>
      <c r="C258" s="120" t="s">
        <v>2798</v>
      </c>
      <c r="D258" s="120">
        <v>0.68074000000000001</v>
      </c>
      <c r="E258" s="120">
        <v>0.25881999999999999</v>
      </c>
      <c r="F258" s="120">
        <v>-0.33112999999999998</v>
      </c>
      <c r="G258" s="120">
        <v>0.50634999999999997</v>
      </c>
      <c r="H258" s="120">
        <v>-0.17521999999999999</v>
      </c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 spans="1:28" x14ac:dyDescent="0.25">
      <c r="A259" s="14" t="str">
        <f t="shared" si="4"/>
        <v>HOMEPOSST251Q08JA_RQBL</v>
      </c>
      <c r="B259" s="120" t="s">
        <v>378</v>
      </c>
      <c r="C259" s="120" t="s">
        <v>2799</v>
      </c>
      <c r="D259" s="120">
        <v>0.44140000000000001</v>
      </c>
      <c r="E259" s="120">
        <v>-4.8199999999999996E-3</v>
      </c>
      <c r="F259" s="120">
        <v>0.75183999999999995</v>
      </c>
      <c r="G259" s="120">
        <v>0.20174</v>
      </c>
      <c r="H259" s="120">
        <v>-0.95357999999999998</v>
      </c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 spans="1:28" x14ac:dyDescent="0.25">
      <c r="A260" s="14" t="str">
        <f t="shared" si="4"/>
        <v>HOMEPOSST251Q08JA_RQBR</v>
      </c>
      <c r="B260" s="120" t="s">
        <v>378</v>
      </c>
      <c r="C260" s="120" t="s">
        <v>2800</v>
      </c>
      <c r="D260" s="120">
        <v>0.27268999999999999</v>
      </c>
      <c r="E260" s="120">
        <v>-0.48059000000000002</v>
      </c>
      <c r="F260" s="120">
        <v>1.1595800000000001</v>
      </c>
      <c r="G260" s="120">
        <v>0.78049000000000002</v>
      </c>
      <c r="H260" s="120">
        <v>-1.94007</v>
      </c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 spans="1:28" x14ac:dyDescent="0.25">
      <c r="A261" s="14" t="str">
        <f t="shared" si="4"/>
        <v>HOMEPOSST251Q08JA_RQCY</v>
      </c>
      <c r="B261" s="120" t="s">
        <v>378</v>
      </c>
      <c r="C261" s="120" t="s">
        <v>2801</v>
      </c>
      <c r="D261" s="120">
        <v>0.80610999999999999</v>
      </c>
      <c r="E261" s="120">
        <v>-0.97616999999999998</v>
      </c>
      <c r="F261" s="120">
        <v>-1.23577</v>
      </c>
      <c r="G261" s="120">
        <v>0.55076000000000003</v>
      </c>
      <c r="H261" s="120">
        <v>0.68501000000000001</v>
      </c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 spans="1:28" x14ac:dyDescent="0.25">
      <c r="A262" s="14" t="str">
        <f t="shared" si="4"/>
        <v>HOMEPOSST251Q08JA_RQKI</v>
      </c>
      <c r="B262" s="120" t="s">
        <v>378</v>
      </c>
      <c r="C262" s="120" t="s">
        <v>2802</v>
      </c>
      <c r="D262" s="120">
        <v>0.32157999999999998</v>
      </c>
      <c r="E262" s="120">
        <v>9.69E-2</v>
      </c>
      <c r="F262" s="120">
        <v>0.30812</v>
      </c>
      <c r="G262" s="120">
        <v>0.68030999999999997</v>
      </c>
      <c r="H262" s="120">
        <v>-0.98843000000000003</v>
      </c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 spans="1:28" x14ac:dyDescent="0.25">
      <c r="A263" s="14" t="str">
        <f t="shared" si="4"/>
        <v>HOMEPOSST251Q08JA_RQSC</v>
      </c>
      <c r="B263" s="120" t="s">
        <v>378</v>
      </c>
      <c r="C263" s="120" t="s">
        <v>2803</v>
      </c>
      <c r="D263" s="120">
        <v>0.77466999999999997</v>
      </c>
      <c r="E263" s="120">
        <v>-0.62016000000000004</v>
      </c>
      <c r="F263" s="120">
        <v>-0.86858000000000002</v>
      </c>
      <c r="G263" s="120">
        <v>0.20277999999999999</v>
      </c>
      <c r="H263" s="120">
        <v>0.66579999999999995</v>
      </c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 spans="1:28" x14ac:dyDescent="0.25">
      <c r="A264" s="14" t="str">
        <f t="shared" si="4"/>
        <v>HOMEPOSST251Q08JA_RQTJ</v>
      </c>
      <c r="B264" s="120" t="s">
        <v>378</v>
      </c>
      <c r="C264" s="120" t="s">
        <v>2804</v>
      </c>
      <c r="D264" s="120">
        <v>0.31502999999999998</v>
      </c>
      <c r="E264" s="120">
        <v>0.12371</v>
      </c>
      <c r="F264" s="120">
        <v>-0.58274999999999999</v>
      </c>
      <c r="G264" s="120">
        <v>0.89331000000000005</v>
      </c>
      <c r="H264" s="120">
        <v>-0.31056</v>
      </c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 spans="1:28" x14ac:dyDescent="0.25">
      <c r="A265" s="14" t="str">
        <f t="shared" si="4"/>
        <v>HOMEPOSST251Q08JA_RRWA</v>
      </c>
      <c r="B265" s="120" t="s">
        <v>378</v>
      </c>
      <c r="C265" s="120" t="s">
        <v>2805</v>
      </c>
      <c r="D265" s="120">
        <v>0.13306000000000001</v>
      </c>
      <c r="E265" s="120">
        <v>-0.90519000000000005</v>
      </c>
      <c r="F265" s="120">
        <v>0.23538999999999999</v>
      </c>
      <c r="G265" s="120">
        <v>0.71825000000000006</v>
      </c>
      <c r="H265" s="120">
        <v>-0.95364000000000004</v>
      </c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 spans="1:28" x14ac:dyDescent="0.25">
      <c r="A266" s="14" t="str">
        <f t="shared" si="4"/>
        <v>HOMEPOSST251Q08JA_RSAU</v>
      </c>
      <c r="B266" s="120" t="s">
        <v>378</v>
      </c>
      <c r="C266" s="120" t="s">
        <v>2806</v>
      </c>
      <c r="D266" s="120">
        <v>0.39856999999999998</v>
      </c>
      <c r="E266" s="120">
        <v>0.41733999999999999</v>
      </c>
      <c r="F266" s="120">
        <v>-0.42974000000000001</v>
      </c>
      <c r="G266" s="120">
        <v>0.21684</v>
      </c>
      <c r="H266" s="120">
        <v>0.21290000000000001</v>
      </c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 spans="1:28" x14ac:dyDescent="0.25">
      <c r="A267" s="14" t="str">
        <f t="shared" si="4"/>
        <v>HOMEPOSST251Q08JA_RSRB</v>
      </c>
      <c r="B267" s="120" t="s">
        <v>378</v>
      </c>
      <c r="C267" s="120" t="s">
        <v>2807</v>
      </c>
      <c r="D267" s="120">
        <v>0.79913000000000001</v>
      </c>
      <c r="E267" s="120">
        <v>-1.2551699999999999</v>
      </c>
      <c r="F267" s="120">
        <v>-1.1268800000000001</v>
      </c>
      <c r="G267" s="120">
        <v>0.39249000000000001</v>
      </c>
      <c r="H267" s="120">
        <v>0.73438999999999999</v>
      </c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 spans="1:28" x14ac:dyDescent="0.25">
      <c r="A268" s="14" t="str">
        <f t="shared" si="4"/>
        <v>HOMEPOSST251Q08JA_RSVN</v>
      </c>
      <c r="B268" s="120" t="s">
        <v>378</v>
      </c>
      <c r="C268" s="120" t="s">
        <v>2808</v>
      </c>
      <c r="D268" s="120">
        <v>1.44536</v>
      </c>
      <c r="E268" s="120">
        <v>-2.2143700000000002</v>
      </c>
      <c r="F268" s="120">
        <v>-1.78287</v>
      </c>
      <c r="G268" s="120">
        <v>0.41306999999999999</v>
      </c>
      <c r="H268" s="120">
        <v>1.3697999999999999</v>
      </c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 spans="1:28" x14ac:dyDescent="0.25">
      <c r="A269" s="14" t="str">
        <f t="shared" si="4"/>
        <v>HOMEPOSST251Q08JA_RSWE</v>
      </c>
      <c r="B269" s="120" t="s">
        <v>378</v>
      </c>
      <c r="C269" s="120" t="s">
        <v>2809</v>
      </c>
      <c r="D269" s="120">
        <v>0.75944</v>
      </c>
      <c r="E269" s="120">
        <v>1.6257200000000001</v>
      </c>
      <c r="F269" s="120">
        <v>0.14255999999999999</v>
      </c>
      <c r="G269" s="120">
        <v>0.71863999999999995</v>
      </c>
      <c r="H269" s="120">
        <v>-0.86119999999999997</v>
      </c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 spans="1:28" x14ac:dyDescent="0.25">
      <c r="A270" s="14" t="str">
        <f t="shared" si="4"/>
        <v>HOMEPOSST251Q08JA_RTHA</v>
      </c>
      <c r="B270" s="120" t="s">
        <v>378</v>
      </c>
      <c r="C270" s="120" t="s">
        <v>2810</v>
      </c>
      <c r="D270" s="120">
        <v>1.2193400000000001</v>
      </c>
      <c r="E270" s="120">
        <v>-1.8426499999999999</v>
      </c>
      <c r="F270" s="120">
        <v>-0.59035000000000004</v>
      </c>
      <c r="G270" s="120">
        <v>0.16347</v>
      </c>
      <c r="H270" s="120">
        <v>0.42687999999999998</v>
      </c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 spans="1:28" x14ac:dyDescent="0.25">
      <c r="A271" s="14" t="str">
        <f t="shared" si="4"/>
        <v>HOMEPOSST251Q08JA_RTUR</v>
      </c>
      <c r="B271" s="120" t="s">
        <v>378</v>
      </c>
      <c r="C271" s="120" t="s">
        <v>2811</v>
      </c>
      <c r="D271" s="120">
        <v>0.51724000000000003</v>
      </c>
      <c r="E271" s="120">
        <v>-0.48474</v>
      </c>
      <c r="F271" s="120">
        <v>-0.60177999999999998</v>
      </c>
      <c r="G271" s="120">
        <v>0.48832999999999999</v>
      </c>
      <c r="H271" s="120">
        <v>0.11345</v>
      </c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 spans="1:28" x14ac:dyDescent="0.25">
      <c r="A272" s="14" t="str">
        <f t="shared" si="4"/>
        <v>HOMEPOSST251Q08JA_RUKR</v>
      </c>
      <c r="B272" s="120" t="s">
        <v>378</v>
      </c>
      <c r="C272" s="120" t="s">
        <v>2812</v>
      </c>
      <c r="D272" s="120">
        <v>0.40060000000000001</v>
      </c>
      <c r="E272" s="120">
        <v>-0.28144000000000002</v>
      </c>
      <c r="F272" s="120">
        <v>0.16971</v>
      </c>
      <c r="G272" s="120">
        <v>0.72824</v>
      </c>
      <c r="H272" s="120">
        <v>-0.89795000000000003</v>
      </c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 spans="1:28" x14ac:dyDescent="0.25">
      <c r="A273" s="14" t="str">
        <f t="shared" si="4"/>
        <v>HOMEPOSST251Q08JA_RURY</v>
      </c>
      <c r="B273" s="120" t="s">
        <v>378</v>
      </c>
      <c r="C273" s="120" t="s">
        <v>2813</v>
      </c>
      <c r="D273" s="120">
        <v>0.66629000000000005</v>
      </c>
      <c r="E273" s="120">
        <v>-1.73295</v>
      </c>
      <c r="F273" s="120">
        <v>-1.3133300000000001</v>
      </c>
      <c r="G273" s="120">
        <v>0.55732999999999999</v>
      </c>
      <c r="H273" s="120">
        <v>0.75600000000000001</v>
      </c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 spans="1:28" x14ac:dyDescent="0.25">
      <c r="A274" s="14" t="str">
        <f t="shared" si="4"/>
        <v>HOMEPOSST251Q08JA_RVNM</v>
      </c>
      <c r="B274" s="120" t="s">
        <v>378</v>
      </c>
      <c r="C274" s="120" t="s">
        <v>2814</v>
      </c>
      <c r="D274" s="120">
        <v>1.6732899999999999</v>
      </c>
      <c r="E274" s="120">
        <v>-2.7696900000000002</v>
      </c>
      <c r="F274" s="120">
        <v>-0.95189000000000001</v>
      </c>
      <c r="G274" s="120">
        <v>-5.9270000000000003E-2</v>
      </c>
      <c r="H274" s="120">
        <v>1.0111600000000001</v>
      </c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 spans="1:28" x14ac:dyDescent="0.25">
      <c r="A275" s="14" t="str">
        <f t="shared" si="4"/>
        <v>HOMEPOSST251Q08JA_RZMB</v>
      </c>
      <c r="B275" s="120" t="s">
        <v>378</v>
      </c>
      <c r="C275" s="120" t="s">
        <v>2815</v>
      </c>
      <c r="D275" s="120">
        <v>0.51110999999999995</v>
      </c>
      <c r="E275" s="120">
        <v>-1.7568999999999999</v>
      </c>
      <c r="F275" s="120">
        <v>-0.27189000000000002</v>
      </c>
      <c r="G275" s="120">
        <v>0.62795999999999996</v>
      </c>
      <c r="H275" s="120">
        <v>-0.35607</v>
      </c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 spans="1:28" x14ac:dyDescent="0.25">
      <c r="A276" s="14" t="str">
        <f t="shared" si="4"/>
        <v>HOMEPOSST251Q09JA_RALB</v>
      </c>
      <c r="B276" s="120" t="s">
        <v>378</v>
      </c>
      <c r="C276" s="120" t="s">
        <v>2816</v>
      </c>
      <c r="D276" s="120">
        <v>0.83421000000000001</v>
      </c>
      <c r="E276" s="120">
        <v>-1.58823</v>
      </c>
      <c r="F276" s="120">
        <v>-2.2630300000000001</v>
      </c>
      <c r="G276" s="120">
        <v>0.63910999999999996</v>
      </c>
      <c r="H276" s="120">
        <v>1.62392</v>
      </c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spans="1:28" x14ac:dyDescent="0.25">
      <c r="A277" s="14" t="str">
        <f t="shared" si="4"/>
        <v>HOMEPOSST251Q09JA_RAUS</v>
      </c>
      <c r="B277" s="120" t="s">
        <v>378</v>
      </c>
      <c r="C277" s="120" t="s">
        <v>2817</v>
      </c>
      <c r="D277" s="120">
        <v>0.32689000000000001</v>
      </c>
      <c r="E277" s="120">
        <v>0.10886</v>
      </c>
      <c r="F277" s="120">
        <v>1.9467000000000001</v>
      </c>
      <c r="G277" s="120">
        <v>-0.25178</v>
      </c>
      <c r="H277" s="120">
        <v>-1.69492</v>
      </c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spans="1:28" x14ac:dyDescent="0.25">
      <c r="A278" s="14" t="str">
        <f t="shared" si="4"/>
        <v>HOMEPOSST251Q09JA_RBRN</v>
      </c>
      <c r="B278" s="120" t="s">
        <v>378</v>
      </c>
      <c r="C278" s="120" t="s">
        <v>2818</v>
      </c>
      <c r="D278" s="120">
        <v>0.48744999999999999</v>
      </c>
      <c r="E278" s="120">
        <v>0.23153000000000001</v>
      </c>
      <c r="F278" s="120">
        <v>0.95784000000000002</v>
      </c>
      <c r="G278" s="120">
        <v>3.3000000000000002E-2</v>
      </c>
      <c r="H278" s="120">
        <v>-0.99084000000000005</v>
      </c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spans="1:28" x14ac:dyDescent="0.25">
      <c r="A279" s="14" t="str">
        <f t="shared" si="4"/>
        <v>HOMEPOSST251Q09JA_RCAN</v>
      </c>
      <c r="B279" s="120" t="s">
        <v>378</v>
      </c>
      <c r="C279" s="120" t="s">
        <v>2819</v>
      </c>
      <c r="D279" s="120">
        <v>0.72936999999999996</v>
      </c>
      <c r="E279" s="120">
        <v>-1.16873</v>
      </c>
      <c r="F279" s="120">
        <v>-0.54466000000000003</v>
      </c>
      <c r="G279" s="120">
        <v>0.49108000000000002</v>
      </c>
      <c r="H279" s="120">
        <v>5.3580000000000003E-2</v>
      </c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spans="1:28" x14ac:dyDescent="0.25">
      <c r="A280" s="14" t="str">
        <f t="shared" si="4"/>
        <v>HOMEPOSST251Q09JA_RCHE</v>
      </c>
      <c r="B280" s="120" t="s">
        <v>378</v>
      </c>
      <c r="C280" s="120" t="s">
        <v>2820</v>
      </c>
      <c r="D280" s="120">
        <v>1.15716</v>
      </c>
      <c r="E280" s="120">
        <v>1.13473</v>
      </c>
      <c r="F280" s="120">
        <v>-1.6541399999999999</v>
      </c>
      <c r="G280" s="120">
        <v>0.55001</v>
      </c>
      <c r="H280" s="120">
        <v>1.1041300000000001</v>
      </c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spans="1:28" x14ac:dyDescent="0.25">
      <c r="A281" s="14" t="str">
        <f t="shared" si="4"/>
        <v>HOMEPOSST251Q09JA_RCHL</v>
      </c>
      <c r="B281" s="120" t="s">
        <v>378</v>
      </c>
      <c r="C281" s="120" t="s">
        <v>2821</v>
      </c>
      <c r="D281" s="120">
        <v>0.55781999999999998</v>
      </c>
      <c r="E281" s="120">
        <v>6.0400000000000002E-2</v>
      </c>
      <c r="F281" s="120">
        <v>-4.8689999999999997E-2</v>
      </c>
      <c r="G281" s="120">
        <v>0.22291</v>
      </c>
      <c r="H281" s="120">
        <v>-0.17422000000000001</v>
      </c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spans="1:28" x14ac:dyDescent="0.25">
      <c r="A282" s="14" t="str">
        <f t="shared" si="4"/>
        <v>HOMEPOSST251Q09JA_RCHN</v>
      </c>
      <c r="B282" s="120" t="s">
        <v>378</v>
      </c>
      <c r="C282" s="120" t="s">
        <v>2822</v>
      </c>
      <c r="D282" s="120">
        <v>0.80845999999999996</v>
      </c>
      <c r="E282" s="120">
        <v>-2.7869999999999999</v>
      </c>
      <c r="F282" s="120">
        <v>-0.85899000000000003</v>
      </c>
      <c r="G282" s="120">
        <v>0.16866999999999999</v>
      </c>
      <c r="H282" s="120">
        <v>0.69032000000000004</v>
      </c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spans="1:28" x14ac:dyDescent="0.25">
      <c r="A283" s="14" t="str">
        <f t="shared" si="4"/>
        <v>HOMEPOSST251Q09JA_RECU</v>
      </c>
      <c r="B283" s="120" t="s">
        <v>378</v>
      </c>
      <c r="C283" s="120" t="s">
        <v>2823</v>
      </c>
      <c r="D283" s="120">
        <v>0.70804</v>
      </c>
      <c r="E283" s="120">
        <v>-0.57311000000000001</v>
      </c>
      <c r="F283" s="120">
        <v>-0.49021999999999999</v>
      </c>
      <c r="G283" s="120">
        <v>0.88339999999999996</v>
      </c>
      <c r="H283" s="120">
        <v>-0.39317999999999997</v>
      </c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spans="1:28" x14ac:dyDescent="0.25">
      <c r="A284" s="14" t="str">
        <f t="shared" si="4"/>
        <v>HOMEPOSST251Q09JA_REGY</v>
      </c>
      <c r="B284" s="120" t="s">
        <v>378</v>
      </c>
      <c r="C284" s="120" t="s">
        <v>2824</v>
      </c>
      <c r="D284" s="120">
        <v>1.04047</v>
      </c>
      <c r="E284" s="120">
        <v>-0.35481000000000001</v>
      </c>
      <c r="F284" s="120">
        <v>-1.87856</v>
      </c>
      <c r="G284" s="120">
        <v>1.2081299999999999</v>
      </c>
      <c r="H284" s="120">
        <v>0.67042999999999997</v>
      </c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spans="1:28" x14ac:dyDescent="0.25">
      <c r="A285" s="14" t="str">
        <f t="shared" si="4"/>
        <v>HOMEPOSST251Q09JA_RESP</v>
      </c>
      <c r="B285" s="120" t="s">
        <v>378</v>
      </c>
      <c r="C285" s="120" t="s">
        <v>2825</v>
      </c>
      <c r="D285" s="120">
        <v>0.65171999999999997</v>
      </c>
      <c r="E285" s="120">
        <v>0.54257</v>
      </c>
      <c r="F285" s="120">
        <v>-0.53561000000000003</v>
      </c>
      <c r="G285" s="120">
        <v>0.42956</v>
      </c>
      <c r="H285" s="120">
        <v>0.10605000000000001</v>
      </c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spans="1:28" x14ac:dyDescent="0.25">
      <c r="A286" s="14" t="str">
        <f t="shared" si="4"/>
        <v>HOMEPOSST251Q09JA_RGRC</v>
      </c>
      <c r="B286" s="120" t="s">
        <v>378</v>
      </c>
      <c r="C286" s="120" t="s">
        <v>2826</v>
      </c>
      <c r="D286" s="120">
        <v>0.68813000000000002</v>
      </c>
      <c r="E286" s="120">
        <v>-0.99229000000000001</v>
      </c>
      <c r="F286" s="120">
        <v>-1.3751800000000001</v>
      </c>
      <c r="G286" s="120">
        <v>0.46063999999999999</v>
      </c>
      <c r="H286" s="120">
        <v>0.91454000000000002</v>
      </c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spans="1:28" x14ac:dyDescent="0.25">
      <c r="A287" s="14" t="str">
        <f t="shared" si="4"/>
        <v>HOMEPOSST251Q09JA_RHKG</v>
      </c>
      <c r="B287" s="120" t="s">
        <v>378</v>
      </c>
      <c r="C287" s="120" t="s">
        <v>2827</v>
      </c>
      <c r="D287" s="120">
        <v>0.68862000000000001</v>
      </c>
      <c r="E287" s="120">
        <v>-2.2511999999999999</v>
      </c>
      <c r="F287" s="120">
        <v>-1.3839600000000001</v>
      </c>
      <c r="G287" s="120">
        <v>1.4560500000000001</v>
      </c>
      <c r="H287" s="120">
        <v>-7.2090000000000001E-2</v>
      </c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spans="1:28" x14ac:dyDescent="0.25">
      <c r="A288" s="14" t="str">
        <f t="shared" si="4"/>
        <v>HOMEPOSST251Q09JA_RHUN</v>
      </c>
      <c r="B288" s="120" t="s">
        <v>378</v>
      </c>
      <c r="C288" s="120" t="s">
        <v>2828</v>
      </c>
      <c r="D288" s="120">
        <v>0.89432999999999996</v>
      </c>
      <c r="E288" s="120">
        <v>0.23626</v>
      </c>
      <c r="F288" s="120">
        <v>-1.0078100000000001</v>
      </c>
      <c r="G288" s="120">
        <v>0.50161</v>
      </c>
      <c r="H288" s="120">
        <v>0.50619999999999998</v>
      </c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spans="1:28" x14ac:dyDescent="0.25">
      <c r="A289" s="14" t="str">
        <f t="shared" si="4"/>
        <v>HOMEPOSST251Q09JA_RIDN</v>
      </c>
      <c r="B289" s="120" t="s">
        <v>378</v>
      </c>
      <c r="C289" s="120" t="s">
        <v>2829</v>
      </c>
      <c r="D289" s="120">
        <v>0.67703999999999998</v>
      </c>
      <c r="E289" s="120">
        <v>5.6299999999999996E-3</v>
      </c>
      <c r="F289" s="120">
        <v>-1.4379599999999999</v>
      </c>
      <c r="G289" s="120">
        <v>0.84460999999999997</v>
      </c>
      <c r="H289" s="120">
        <v>0.59335000000000004</v>
      </c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spans="1:28" x14ac:dyDescent="0.25">
      <c r="A290" s="14" t="str">
        <f t="shared" si="4"/>
        <v>HOMEPOSST251Q09JA_RISL</v>
      </c>
      <c r="B290" s="120" t="s">
        <v>378</v>
      </c>
      <c r="C290" s="120" t="s">
        <v>2830</v>
      </c>
      <c r="D290" s="120">
        <v>0.65919000000000005</v>
      </c>
      <c r="E290" s="120">
        <v>-0.92967</v>
      </c>
      <c r="F290" s="120">
        <v>-0.18747</v>
      </c>
      <c r="G290" s="120">
        <v>0.53205000000000002</v>
      </c>
      <c r="H290" s="120">
        <v>-0.34458</v>
      </c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spans="1:28" x14ac:dyDescent="0.25">
      <c r="A291" s="14" t="str">
        <f t="shared" si="4"/>
        <v>HOMEPOSST251Q09JA_RJOR</v>
      </c>
      <c r="B291" s="120" t="s">
        <v>378</v>
      </c>
      <c r="C291" s="120" t="s">
        <v>2831</v>
      </c>
      <c r="D291" s="120">
        <v>0.81469999999999998</v>
      </c>
      <c r="E291" s="120">
        <v>0.14248</v>
      </c>
      <c r="F291" s="120">
        <v>-0.52617000000000003</v>
      </c>
      <c r="G291" s="120">
        <v>0.49391000000000002</v>
      </c>
      <c r="H291" s="120">
        <v>3.2259999999999997E-2</v>
      </c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spans="1:28" x14ac:dyDescent="0.25">
      <c r="A292" s="14" t="str">
        <f t="shared" si="4"/>
        <v>HOMEPOSST251Q09JA_RJPN</v>
      </c>
      <c r="B292" s="120" t="s">
        <v>378</v>
      </c>
      <c r="C292" s="120" t="s">
        <v>2832</v>
      </c>
      <c r="D292" s="120">
        <v>1.0557099999999999</v>
      </c>
      <c r="E292" s="120">
        <v>0.9909</v>
      </c>
      <c r="F292" s="120">
        <v>-0.79596</v>
      </c>
      <c r="G292" s="120">
        <v>0.54679999999999995</v>
      </c>
      <c r="H292" s="120">
        <v>0.24915999999999999</v>
      </c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spans="1:28" x14ac:dyDescent="0.25">
      <c r="A293" s="14" t="str">
        <f t="shared" si="4"/>
        <v>HOMEPOSST251Q09JA_RKEN</v>
      </c>
      <c r="B293" s="120" t="s">
        <v>378</v>
      </c>
      <c r="C293" s="120" t="s">
        <v>2833</v>
      </c>
      <c r="D293" s="120">
        <v>0.78410000000000002</v>
      </c>
      <c r="E293" s="120">
        <v>-1.3402000000000001</v>
      </c>
      <c r="F293" s="120">
        <v>-4.922E-2</v>
      </c>
      <c r="G293" s="120">
        <v>0.31890000000000002</v>
      </c>
      <c r="H293" s="120">
        <v>-0.26967999999999998</v>
      </c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spans="1:28" x14ac:dyDescent="0.25">
      <c r="A294" s="14" t="str">
        <f t="shared" si="4"/>
        <v>HOMEPOSST251Q09JA_RKGZ</v>
      </c>
      <c r="B294" s="120" t="s">
        <v>378</v>
      </c>
      <c r="C294" s="120" t="s">
        <v>2834</v>
      </c>
      <c r="D294" s="120">
        <v>-4.1660000000000003E-2</v>
      </c>
      <c r="E294" s="120">
        <v>0.38214999999999999</v>
      </c>
      <c r="F294" s="120">
        <v>1.48946</v>
      </c>
      <c r="G294" s="120">
        <v>0.14813999999999999</v>
      </c>
      <c r="H294" s="120">
        <v>-1.6375999999999999</v>
      </c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spans="1:28" x14ac:dyDescent="0.25">
      <c r="A295" s="14" t="str">
        <f t="shared" si="4"/>
        <v>HOMEPOSST251Q09JA_RKHM</v>
      </c>
      <c r="B295" s="120" t="s">
        <v>378</v>
      </c>
      <c r="C295" s="120" t="s">
        <v>2835</v>
      </c>
      <c r="D295" s="120">
        <v>0.96835000000000004</v>
      </c>
      <c r="E295" s="120">
        <v>-1.1537599999999999</v>
      </c>
      <c r="F295" s="120">
        <v>-2.5988500000000001</v>
      </c>
      <c r="G295" s="120">
        <v>0.93005000000000004</v>
      </c>
      <c r="H295" s="120">
        <v>1.6688000000000001</v>
      </c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spans="1:28" x14ac:dyDescent="0.25">
      <c r="A296" s="14" t="str">
        <f t="shared" si="4"/>
        <v>HOMEPOSST251Q09JA_RKOR</v>
      </c>
      <c r="B296" s="120" t="s">
        <v>378</v>
      </c>
      <c r="C296" s="120" t="s">
        <v>2836</v>
      </c>
      <c r="D296" s="120">
        <v>0.92720999999999998</v>
      </c>
      <c r="E296" s="120">
        <v>-0.36360999999999999</v>
      </c>
      <c r="F296" s="120">
        <v>-1.5575399999999999</v>
      </c>
      <c r="G296" s="120">
        <v>0.62312999999999996</v>
      </c>
      <c r="H296" s="120">
        <v>0.93440999999999996</v>
      </c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spans="1:28" x14ac:dyDescent="0.25">
      <c r="A297" s="14" t="str">
        <f t="shared" si="4"/>
        <v>HOMEPOSST251Q09JA_RLUX</v>
      </c>
      <c r="B297" s="120" t="s">
        <v>378</v>
      </c>
      <c r="C297" s="120" t="s">
        <v>2837</v>
      </c>
      <c r="D297" s="120">
        <v>0.48620000000000002</v>
      </c>
      <c r="E297" s="120">
        <v>0.15418999999999999</v>
      </c>
      <c r="F297" s="120">
        <v>-0.1522</v>
      </c>
      <c r="G297" s="120">
        <v>0.47665000000000002</v>
      </c>
      <c r="H297" s="120">
        <v>-0.32445000000000002</v>
      </c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spans="1:28" x14ac:dyDescent="0.25">
      <c r="A298" s="14" t="str">
        <f t="shared" si="4"/>
        <v>HOMEPOSST251Q09JA_RLVA</v>
      </c>
      <c r="B298" s="120" t="s">
        <v>378</v>
      </c>
      <c r="C298" s="120" t="s">
        <v>2838</v>
      </c>
      <c r="D298" s="120">
        <v>0.42382999999999998</v>
      </c>
      <c r="E298" s="120">
        <v>-1.065E-2</v>
      </c>
      <c r="F298" s="120">
        <v>0.30501</v>
      </c>
      <c r="G298" s="120">
        <v>0.45791999999999999</v>
      </c>
      <c r="H298" s="120">
        <v>-0.76293</v>
      </c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spans="1:28" x14ac:dyDescent="0.25">
      <c r="A299" s="14" t="str">
        <f t="shared" si="4"/>
        <v>HOMEPOSST251Q09JA_RMAC</v>
      </c>
      <c r="B299" s="120" t="s">
        <v>378</v>
      </c>
      <c r="C299" s="120" t="s">
        <v>2839</v>
      </c>
      <c r="D299" s="120">
        <v>0.70643</v>
      </c>
      <c r="E299" s="120">
        <v>2.1260000000000001E-2</v>
      </c>
      <c r="F299" s="120">
        <v>-0.53556999999999999</v>
      </c>
      <c r="G299" s="120">
        <v>0.53295000000000003</v>
      </c>
      <c r="H299" s="120">
        <v>2.61999999999996E-3</v>
      </c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spans="1:28" x14ac:dyDescent="0.25">
      <c r="A300" s="14" t="str">
        <f t="shared" si="4"/>
        <v>HOMEPOSST251Q09JA_RMAR</v>
      </c>
      <c r="B300" s="120" t="s">
        <v>378</v>
      </c>
      <c r="C300" s="120" t="s">
        <v>2840</v>
      </c>
      <c r="D300" s="120">
        <v>0.48320000000000002</v>
      </c>
      <c r="E300" s="120">
        <v>-0.67434000000000005</v>
      </c>
      <c r="F300" s="120">
        <v>0.50456999999999996</v>
      </c>
      <c r="G300" s="120">
        <v>0.68118000000000001</v>
      </c>
      <c r="H300" s="120">
        <v>-1.1857500000000001</v>
      </c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spans="1:28" x14ac:dyDescent="0.25">
      <c r="A301" s="14" t="str">
        <f t="shared" si="4"/>
        <v>HOMEPOSST251Q09JA_RMKD</v>
      </c>
      <c r="B301" s="120" t="s">
        <v>378</v>
      </c>
      <c r="C301" s="120" t="s">
        <v>2841</v>
      </c>
      <c r="D301" s="120">
        <v>0.49107000000000001</v>
      </c>
      <c r="E301" s="120">
        <v>-0.40254000000000001</v>
      </c>
      <c r="F301" s="120">
        <v>-1.9308399999999999</v>
      </c>
      <c r="G301" s="120">
        <v>1.8120499999999999</v>
      </c>
      <c r="H301" s="120">
        <v>0.11879000000000001</v>
      </c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spans="1:28" x14ac:dyDescent="0.25">
      <c r="A302" s="14" t="str">
        <f t="shared" si="4"/>
        <v>HOMEPOSST251Q09JA_RMNG</v>
      </c>
      <c r="B302" s="120" t="s">
        <v>378</v>
      </c>
      <c r="C302" s="120" t="s">
        <v>2842</v>
      </c>
      <c r="D302" s="120">
        <v>8.7999999999999995E-2</v>
      </c>
      <c r="E302" s="120">
        <v>-0.64761000000000002</v>
      </c>
      <c r="F302" s="120">
        <v>-0.30379</v>
      </c>
      <c r="G302" s="120">
        <v>0.41849999999999998</v>
      </c>
      <c r="H302" s="120">
        <v>-0.11471000000000001</v>
      </c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spans="1:28" x14ac:dyDescent="0.25">
      <c r="A303" s="14" t="str">
        <f t="shared" si="4"/>
        <v>HOMEPOSST251Q09JA_RMUS</v>
      </c>
      <c r="B303" s="120" t="s">
        <v>378</v>
      </c>
      <c r="C303" s="120" t="s">
        <v>2843</v>
      </c>
      <c r="D303" s="120">
        <v>0.55506999999999995</v>
      </c>
      <c r="E303" s="120">
        <v>0.54059000000000001</v>
      </c>
      <c r="F303" s="120">
        <v>-0.78615000000000002</v>
      </c>
      <c r="G303" s="120">
        <v>0.9546</v>
      </c>
      <c r="H303" s="120">
        <v>-0.16844999999999999</v>
      </c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spans="1:28" x14ac:dyDescent="0.25">
      <c r="A304" s="14" t="str">
        <f t="shared" si="4"/>
        <v>HOMEPOSST251Q09JA_RMYS</v>
      </c>
      <c r="B304" s="120" t="s">
        <v>378</v>
      </c>
      <c r="C304" s="120" t="s">
        <v>2844</v>
      </c>
      <c r="D304" s="120">
        <v>0.76099000000000006</v>
      </c>
      <c r="E304" s="120">
        <v>-1.2855000000000001</v>
      </c>
      <c r="F304" s="120">
        <v>-0.10525</v>
      </c>
      <c r="G304" s="120">
        <v>0.41275000000000001</v>
      </c>
      <c r="H304" s="120">
        <v>-0.3075</v>
      </c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spans="1:28" x14ac:dyDescent="0.25">
      <c r="A305" s="14" t="str">
        <f t="shared" si="4"/>
        <v>HOMEPOSST251Q09JA_RNLD</v>
      </c>
      <c r="B305" s="120" t="s">
        <v>378</v>
      </c>
      <c r="C305" s="120" t="s">
        <v>2845</v>
      </c>
      <c r="D305" s="120">
        <v>0.78771000000000002</v>
      </c>
      <c r="E305" s="120">
        <v>1.9641299999999999</v>
      </c>
      <c r="F305" s="120">
        <v>-0.87829000000000002</v>
      </c>
      <c r="G305" s="120">
        <v>0.32203999999999999</v>
      </c>
      <c r="H305" s="120">
        <v>0.55625000000000002</v>
      </c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spans="1:28" x14ac:dyDescent="0.25">
      <c r="A306" s="14" t="str">
        <f t="shared" si="4"/>
        <v>HOMEPOSST251Q09JA_RNZL</v>
      </c>
      <c r="B306" s="120" t="s">
        <v>378</v>
      </c>
      <c r="C306" s="120" t="s">
        <v>2846</v>
      </c>
      <c r="D306" s="120">
        <v>0.55996000000000001</v>
      </c>
      <c r="E306" s="120">
        <v>-0.40016000000000002</v>
      </c>
      <c r="F306" s="120">
        <v>0.40157999999999999</v>
      </c>
      <c r="G306" s="120">
        <v>0.46750000000000003</v>
      </c>
      <c r="H306" s="120">
        <v>-0.86907999999999996</v>
      </c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spans="1:28" x14ac:dyDescent="0.25">
      <c r="A307" s="14" t="str">
        <f t="shared" si="4"/>
        <v>HOMEPOSST251Q09JA_RPER</v>
      </c>
      <c r="B307" s="120" t="s">
        <v>378</v>
      </c>
      <c r="C307" s="120" t="s">
        <v>2847</v>
      </c>
      <c r="D307" s="120">
        <v>0.69389999999999996</v>
      </c>
      <c r="E307" s="120">
        <v>-1.1962699999999999</v>
      </c>
      <c r="F307" s="120">
        <v>-2.9005299999999998</v>
      </c>
      <c r="G307" s="120">
        <v>0.85360000000000003</v>
      </c>
      <c r="H307" s="120">
        <v>2.0469300000000001</v>
      </c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spans="1:28" x14ac:dyDescent="0.25">
      <c r="A308" s="14" t="str">
        <f t="shared" si="4"/>
        <v>HOMEPOSST251Q09JA_RPHL</v>
      </c>
      <c r="B308" s="120" t="s">
        <v>378</v>
      </c>
      <c r="C308" s="120" t="s">
        <v>2848</v>
      </c>
      <c r="D308" s="120">
        <v>0.99143000000000003</v>
      </c>
      <c r="E308" s="120">
        <v>-1.4455</v>
      </c>
      <c r="F308" s="120">
        <v>-2.0963599999999998</v>
      </c>
      <c r="G308" s="120">
        <v>0.98526000000000002</v>
      </c>
      <c r="H308" s="120">
        <v>1.1111</v>
      </c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x14ac:dyDescent="0.25">
      <c r="A309" s="14" t="str">
        <f t="shared" si="4"/>
        <v>HOMEPOSST251Q09JA_RPOL</v>
      </c>
      <c r="B309" s="120" t="s">
        <v>378</v>
      </c>
      <c r="C309" s="120" t="s">
        <v>2849</v>
      </c>
      <c r="D309" s="120">
        <v>0.61646999999999996</v>
      </c>
      <c r="E309" s="120">
        <v>0.42198999999999998</v>
      </c>
      <c r="F309" s="120">
        <v>-2.5280200000000002</v>
      </c>
      <c r="G309" s="120">
        <v>1.3705099999999999</v>
      </c>
      <c r="H309" s="120">
        <v>1.15751</v>
      </c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8" x14ac:dyDescent="0.25">
      <c r="A310" s="14" t="str">
        <f t="shared" si="4"/>
        <v>HOMEPOSST251Q09JA_RPSE</v>
      </c>
      <c r="B310" s="120" t="s">
        <v>378</v>
      </c>
      <c r="C310" s="120" t="s">
        <v>2850</v>
      </c>
      <c r="D310" s="120">
        <v>0.52197000000000005</v>
      </c>
      <c r="E310" s="120">
        <v>-0.56647999999999998</v>
      </c>
      <c r="F310" s="120">
        <v>0.34477999999999998</v>
      </c>
      <c r="G310" s="120">
        <v>0.60634999999999994</v>
      </c>
      <c r="H310" s="120">
        <v>-0.95113000000000003</v>
      </c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x14ac:dyDescent="0.25">
      <c r="A311" s="14" t="str">
        <f t="shared" si="4"/>
        <v>HOMEPOSST251Q09JA_RQAT</v>
      </c>
      <c r="B311" s="120" t="s">
        <v>378</v>
      </c>
      <c r="C311" s="120" t="s">
        <v>2851</v>
      </c>
      <c r="D311" s="120">
        <v>0.53935</v>
      </c>
      <c r="E311" s="120">
        <v>-0.31186999999999998</v>
      </c>
      <c r="F311" s="120">
        <v>-0.30098999999999998</v>
      </c>
      <c r="G311" s="120">
        <v>0.67522000000000004</v>
      </c>
      <c r="H311" s="120">
        <v>-0.37423000000000001</v>
      </c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spans="1:28" x14ac:dyDescent="0.25">
      <c r="A312" s="14" t="str">
        <f t="shared" si="4"/>
        <v>HOMEPOSST251Q09JA_RQCY</v>
      </c>
      <c r="B312" s="120" t="s">
        <v>378</v>
      </c>
      <c r="C312" s="120" t="s">
        <v>2852</v>
      </c>
      <c r="D312" s="120">
        <v>0.51778999999999997</v>
      </c>
      <c r="E312" s="120">
        <v>-0.12293999999999999</v>
      </c>
      <c r="F312" s="120">
        <v>-0.54883999999999999</v>
      </c>
      <c r="G312" s="120">
        <v>0.46577000000000002</v>
      </c>
      <c r="H312" s="120">
        <v>8.3070000000000005E-2</v>
      </c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spans="1:28" x14ac:dyDescent="0.25">
      <c r="A313" s="14" t="str">
        <f t="shared" si="4"/>
        <v>HOMEPOSST251Q09JA_RQKI</v>
      </c>
      <c r="B313" s="120" t="s">
        <v>378</v>
      </c>
      <c r="C313" s="120" t="s">
        <v>2853</v>
      </c>
      <c r="D313" s="120">
        <v>0.26012000000000002</v>
      </c>
      <c r="E313" s="120">
        <v>0.53390000000000004</v>
      </c>
      <c r="F313" s="120">
        <v>-1.25911</v>
      </c>
      <c r="G313" s="120">
        <v>1.4811700000000001</v>
      </c>
      <c r="H313" s="120">
        <v>-0.22206000000000001</v>
      </c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spans="1:28" x14ac:dyDescent="0.25">
      <c r="A314" s="14" t="str">
        <f t="shared" si="4"/>
        <v>HOMEPOSST251Q09JA_RQSC</v>
      </c>
      <c r="B314" s="120" t="s">
        <v>378</v>
      </c>
      <c r="C314" s="120" t="s">
        <v>2854</v>
      </c>
      <c r="D314" s="120">
        <v>0.81511999999999996</v>
      </c>
      <c r="E314" s="120">
        <v>-0.28006999999999999</v>
      </c>
      <c r="F314" s="120">
        <v>-2.1637200000000001</v>
      </c>
      <c r="G314" s="120">
        <v>-1.453E-2</v>
      </c>
      <c r="H314" s="120">
        <v>2.1782499999999998</v>
      </c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spans="1:28" x14ac:dyDescent="0.25">
      <c r="A315" s="14" t="str">
        <f t="shared" si="4"/>
        <v>HOMEPOSST251Q09JA_RRWA</v>
      </c>
      <c r="B315" s="120" t="s">
        <v>378</v>
      </c>
      <c r="C315" s="120" t="s">
        <v>2855</v>
      </c>
      <c r="D315" s="120">
        <v>0.19278999999999999</v>
      </c>
      <c r="E315" s="120">
        <v>-0.97709000000000001</v>
      </c>
      <c r="F315" s="120">
        <v>0.23352999999999999</v>
      </c>
      <c r="G315" s="120">
        <v>0.82816999999999996</v>
      </c>
      <c r="H315" s="120">
        <v>-1.0617000000000001</v>
      </c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spans="1:28" x14ac:dyDescent="0.25">
      <c r="A316" s="14" t="str">
        <f t="shared" si="4"/>
        <v>HOMEPOSST251Q09JA_RSRB</v>
      </c>
      <c r="B316" s="120" t="s">
        <v>378</v>
      </c>
      <c r="C316" s="120" t="s">
        <v>2856</v>
      </c>
      <c r="D316" s="120">
        <v>1.2881100000000001</v>
      </c>
      <c r="E316" s="120">
        <v>-1.1919200000000001</v>
      </c>
      <c r="F316" s="120">
        <v>-1.8731199999999999</v>
      </c>
      <c r="G316" s="120">
        <v>0.56157000000000001</v>
      </c>
      <c r="H316" s="120">
        <v>1.31155</v>
      </c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spans="1:28" x14ac:dyDescent="0.25">
      <c r="A317" s="14" t="str">
        <f t="shared" si="4"/>
        <v>HOMEPOSST251Q09JA_RSVN</v>
      </c>
      <c r="B317" s="120" t="s">
        <v>378</v>
      </c>
      <c r="C317" s="120" t="s">
        <v>2857</v>
      </c>
      <c r="D317" s="120">
        <v>0.56179999999999997</v>
      </c>
      <c r="E317" s="120">
        <v>1.3784400000000001</v>
      </c>
      <c r="F317" s="120">
        <v>0.43779000000000001</v>
      </c>
      <c r="G317" s="120">
        <v>1.1213500000000001</v>
      </c>
      <c r="H317" s="120">
        <v>-1.55914</v>
      </c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spans="1:28" x14ac:dyDescent="0.25">
      <c r="A318" s="14" t="str">
        <f t="shared" si="4"/>
        <v>HOMEPOSST251Q09JA_RTHA</v>
      </c>
      <c r="B318" s="120" t="s">
        <v>378</v>
      </c>
      <c r="C318" s="120" t="s">
        <v>2858</v>
      </c>
      <c r="D318" s="120">
        <v>0.70992</v>
      </c>
      <c r="E318" s="120">
        <v>-1.6808399999999999</v>
      </c>
      <c r="F318" s="120">
        <v>-3.1740200000000001</v>
      </c>
      <c r="G318" s="120">
        <v>1.22296</v>
      </c>
      <c r="H318" s="120">
        <v>1.95106</v>
      </c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spans="1:28" x14ac:dyDescent="0.25">
      <c r="A319" s="14" t="str">
        <f t="shared" si="4"/>
        <v>HOMEPOSST251Q09JA_RTUR</v>
      </c>
      <c r="B319" s="120" t="s">
        <v>378</v>
      </c>
      <c r="C319" s="120" t="s">
        <v>2859</v>
      </c>
      <c r="D319" s="120">
        <v>0.86355999999999999</v>
      </c>
      <c r="E319" s="120">
        <v>-1.5121</v>
      </c>
      <c r="F319" s="120">
        <v>-2.0810599999999999</v>
      </c>
      <c r="G319" s="120">
        <v>0.54520999999999997</v>
      </c>
      <c r="H319" s="120">
        <v>1.5358499999999999</v>
      </c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spans="1:28" x14ac:dyDescent="0.25">
      <c r="A320" s="14" t="str">
        <f t="shared" si="4"/>
        <v>HOMEPOSST251Q09JA_RUKR</v>
      </c>
      <c r="B320" s="120" t="s">
        <v>378</v>
      </c>
      <c r="C320" s="120" t="s">
        <v>2860</v>
      </c>
      <c r="D320" s="120">
        <v>1.1516599999999999</v>
      </c>
      <c r="E320" s="120">
        <v>-1.7011700000000001</v>
      </c>
      <c r="F320" s="120">
        <v>-1.62243</v>
      </c>
      <c r="G320" s="120">
        <v>0.41674</v>
      </c>
      <c r="H320" s="120">
        <v>1.2056899999999999</v>
      </c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spans="1:28" x14ac:dyDescent="0.25">
      <c r="A321" s="14" t="str">
        <f t="shared" ref="A321:A329" si="5">_xlfn.CONCAT(B321,C321)</f>
        <v>HOMEPOSST251Q09JA_RVNM</v>
      </c>
      <c r="B321" s="120" t="s">
        <v>378</v>
      </c>
      <c r="C321" s="120" t="s">
        <v>2861</v>
      </c>
      <c r="D321" s="120">
        <v>0.53883000000000003</v>
      </c>
      <c r="E321" s="120">
        <v>-0.76922999999999997</v>
      </c>
      <c r="F321" s="120">
        <v>-2.8421099999999999</v>
      </c>
      <c r="G321" s="120">
        <v>1.4534</v>
      </c>
      <c r="H321" s="120">
        <v>1.3887100000000001</v>
      </c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spans="1:28" x14ac:dyDescent="0.25">
      <c r="A322" s="14" t="str">
        <f t="shared" si="5"/>
        <v>HOMEPOSST251Q09JA_RZMB</v>
      </c>
      <c r="B322" s="120" t="s">
        <v>378</v>
      </c>
      <c r="C322" s="120" t="s">
        <v>2862</v>
      </c>
      <c r="D322" s="120">
        <v>1.1407099999999999</v>
      </c>
      <c r="E322" s="120">
        <v>-1.8987499999999999</v>
      </c>
      <c r="F322" s="120">
        <v>-0.81206</v>
      </c>
      <c r="G322" s="120">
        <v>0.24589</v>
      </c>
      <c r="H322" s="120">
        <v>0.56616999999999995</v>
      </c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spans="1:28" x14ac:dyDescent="0.25">
      <c r="A323" s="14" t="str">
        <f t="shared" si="5"/>
        <v>HOMEPOSST254Q01JA_R</v>
      </c>
      <c r="B323" s="120" t="s">
        <v>378</v>
      </c>
      <c r="C323" s="120" t="s">
        <v>2863</v>
      </c>
      <c r="D323" s="120">
        <v>0.86133000000000004</v>
      </c>
      <c r="E323" s="120">
        <v>-2.1266600000000002</v>
      </c>
      <c r="F323" s="120">
        <v>-2.1086399999999998</v>
      </c>
      <c r="G323" s="120">
        <v>2.1086399999999998</v>
      </c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spans="1:28" x14ac:dyDescent="0.25">
      <c r="A324" s="14" t="str">
        <f t="shared" si="5"/>
        <v>HOMEPOSST254Q02JA_R</v>
      </c>
      <c r="B324" s="120" t="s">
        <v>378</v>
      </c>
      <c r="C324" s="120" t="s">
        <v>2864</v>
      </c>
      <c r="D324" s="120">
        <v>0.86985000000000001</v>
      </c>
      <c r="E324" s="120">
        <v>0.69504999999999995</v>
      </c>
      <c r="F324" s="120">
        <v>-1.90503</v>
      </c>
      <c r="G324" s="120">
        <v>0.72772000000000003</v>
      </c>
      <c r="H324" s="120">
        <v>1.1773100000000001</v>
      </c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spans="1:28" x14ac:dyDescent="0.25">
      <c r="A325" s="14" t="str">
        <f t="shared" si="5"/>
        <v>HOMEPOSST254Q03JA_R</v>
      </c>
      <c r="B325" s="120" t="s">
        <v>378</v>
      </c>
      <c r="C325" s="120" t="s">
        <v>2865</v>
      </c>
      <c r="D325" s="120">
        <v>1.2382</v>
      </c>
      <c r="E325" s="120">
        <v>-0.32452999999999999</v>
      </c>
      <c r="F325" s="120">
        <v>-2.6381299999999999</v>
      </c>
      <c r="G325" s="120">
        <v>0.48165999999999998</v>
      </c>
      <c r="H325" s="120">
        <v>2.1564700000000001</v>
      </c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spans="1:28" x14ac:dyDescent="0.25">
      <c r="A326" s="14" t="str">
        <f t="shared" si="5"/>
        <v>HOMEPOSST254Q04JA_R</v>
      </c>
      <c r="B326" s="120" t="s">
        <v>378</v>
      </c>
      <c r="C326" s="120" t="s">
        <v>2866</v>
      </c>
      <c r="D326" s="120">
        <v>0.93861000000000006</v>
      </c>
      <c r="E326" s="120">
        <v>-0.38601000000000002</v>
      </c>
      <c r="F326" s="120">
        <v>-1.0388999999999999</v>
      </c>
      <c r="G326" s="120">
        <v>1.0388999999999999</v>
      </c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spans="1:28" x14ac:dyDescent="0.25">
      <c r="A327" s="14" t="str">
        <f t="shared" si="5"/>
        <v>HOMEPOSST254Q04JA_R_UP1</v>
      </c>
      <c r="B327" s="120" t="s">
        <v>378</v>
      </c>
      <c r="C327" s="120" t="s">
        <v>2867</v>
      </c>
      <c r="D327" s="120">
        <v>0.70611999999999997</v>
      </c>
      <c r="E327" s="120">
        <v>-1.5658399999999999</v>
      </c>
      <c r="F327" s="120">
        <v>-1.0903099999999999</v>
      </c>
      <c r="G327" s="120">
        <v>1.0903099999999999</v>
      </c>
      <c r="H327" s="120"/>
      <c r="I327" s="120"/>
      <c r="J327" s="120"/>
      <c r="K327" s="123" t="s">
        <v>712</v>
      </c>
      <c r="L327" s="123" t="s">
        <v>631</v>
      </c>
      <c r="M327" s="123" t="s">
        <v>871</v>
      </c>
      <c r="N327" s="123" t="s">
        <v>611</v>
      </c>
      <c r="O327" s="123" t="s">
        <v>871</v>
      </c>
      <c r="P327" s="123" t="s">
        <v>610</v>
      </c>
      <c r="Q327" s="120"/>
      <c r="R327" s="120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spans="1:28" x14ac:dyDescent="0.25">
      <c r="A328" s="14" t="str">
        <f t="shared" si="5"/>
        <v>HOMEPOSST254Q05JA_R</v>
      </c>
      <c r="B328" s="120" t="s">
        <v>378</v>
      </c>
      <c r="C328" s="120" t="s">
        <v>2868</v>
      </c>
      <c r="D328" s="120">
        <v>0.47086</v>
      </c>
      <c r="E328" s="120">
        <v>1.1279399999999999</v>
      </c>
      <c r="F328" s="120">
        <v>-0.23954</v>
      </c>
      <c r="G328" s="120">
        <v>0.23954</v>
      </c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spans="1:28" x14ac:dyDescent="0.25">
      <c r="A329" s="14" t="str">
        <f t="shared" si="5"/>
        <v>HOMEPOSST255Q01JA_R</v>
      </c>
      <c r="B329" s="120" t="s">
        <v>378</v>
      </c>
      <c r="C329" s="120" t="s">
        <v>2869</v>
      </c>
      <c r="D329" s="120">
        <v>0.32240999999999997</v>
      </c>
      <c r="E329" s="120">
        <v>0.1479</v>
      </c>
      <c r="F329" s="120">
        <v>-0.2213</v>
      </c>
      <c r="G329" s="120">
        <v>-0.71458999999999995</v>
      </c>
      <c r="H329" s="120">
        <v>0.39655000000000001</v>
      </c>
      <c r="I329" s="120">
        <v>0.15498000000000001</v>
      </c>
      <c r="J329" s="120">
        <v>0.38435999999999998</v>
      </c>
      <c r="K329" s="120"/>
      <c r="L329" s="120"/>
      <c r="M329" s="120"/>
      <c r="N329" s="120"/>
      <c r="O329" s="120"/>
      <c r="P329" s="120"/>
      <c r="Q329" s="120"/>
      <c r="R329" s="120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</sheetData>
  <sheetProtection sheet="1" formatColumns="0" formatRows="0" autoFilter="0"/>
  <autoFilter ref="A1:AB329" xr:uid="{00000000-0009-0000-0000-00009E000000}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91"/>
  <dimension ref="A1:J129"/>
  <sheetViews>
    <sheetView workbookViewId="0">
      <pane ySplit="6" topLeftCell="A7" activePane="bottomLeft" state="frozen"/>
      <selection pane="bottomLeft" sqref="A1:A1048576"/>
    </sheetView>
  </sheetViews>
  <sheetFormatPr defaultColWidth="8.7109375" defaultRowHeight="15" x14ac:dyDescent="0.25"/>
  <cols>
    <col min="1" max="1" width="22.42578125" style="14" customWidth="1"/>
    <col min="2" max="2" width="19" style="20" customWidth="1"/>
    <col min="3" max="3" width="21" style="20" customWidth="1"/>
    <col min="4" max="10" width="13" style="20" customWidth="1"/>
    <col min="11" max="11" width="8.7109375" style="20" customWidth="1"/>
    <col min="12" max="16384" width="8.7109375" style="20"/>
  </cols>
  <sheetData>
    <row r="1" spans="1:10" x14ac:dyDescent="0.25">
      <c r="A1" s="118" t="s">
        <v>2642</v>
      </c>
      <c r="B1" s="122" t="s">
        <v>317</v>
      </c>
      <c r="C1" s="123" t="s">
        <v>2643</v>
      </c>
      <c r="D1" s="123" t="s">
        <v>2644</v>
      </c>
      <c r="E1" s="123" t="s">
        <v>2645</v>
      </c>
      <c r="F1" s="123" t="s">
        <v>2646</v>
      </c>
      <c r="G1" s="123" t="s">
        <v>2647</v>
      </c>
      <c r="H1" s="123" t="s">
        <v>2648</v>
      </c>
      <c r="I1" s="123" t="s">
        <v>2649</v>
      </c>
      <c r="J1" s="123" t="s">
        <v>2650</v>
      </c>
    </row>
    <row r="2" spans="1:10" x14ac:dyDescent="0.25">
      <c r="A2" s="14" t="str">
        <f t="shared" ref="A2:A33" si="0">_xlfn.CONCAT(B2,C2)</f>
        <v>DIGINTLRNIC182Q01JA</v>
      </c>
      <c r="B2" s="123" t="s">
        <v>384</v>
      </c>
      <c r="C2" s="123" t="s">
        <v>1387</v>
      </c>
      <c r="D2" s="120">
        <v>2.0971700000000002</v>
      </c>
      <c r="E2" s="120">
        <v>-1.0617700000000001</v>
      </c>
      <c r="F2" s="120">
        <v>-2.32829</v>
      </c>
      <c r="G2" s="120">
        <v>-0.89595999999999998</v>
      </c>
      <c r="H2" s="120">
        <v>3.2242500000000001</v>
      </c>
      <c r="I2" s="120"/>
      <c r="J2" s="120"/>
    </row>
    <row r="3" spans="1:10" x14ac:dyDescent="0.25">
      <c r="A3" s="14" t="str">
        <f t="shared" si="0"/>
        <v>DIGINTLRNIC182Q02JA</v>
      </c>
      <c r="B3" s="123" t="s">
        <v>384</v>
      </c>
      <c r="C3" s="123" t="s">
        <v>1389</v>
      </c>
      <c r="D3" s="120">
        <v>2.34192</v>
      </c>
      <c r="E3" s="120">
        <v>-0.81608000000000003</v>
      </c>
      <c r="F3" s="120">
        <v>-2.62453</v>
      </c>
      <c r="G3" s="120">
        <v>-0.39049</v>
      </c>
      <c r="H3" s="120">
        <v>3.0150199999999998</v>
      </c>
      <c r="I3" s="120"/>
      <c r="J3" s="120"/>
    </row>
    <row r="4" spans="1:10" x14ac:dyDescent="0.25">
      <c r="A4" s="14" t="str">
        <f t="shared" si="0"/>
        <v>DIGINTLRNIC182Q03JA</v>
      </c>
      <c r="B4" s="123" t="s">
        <v>384</v>
      </c>
      <c r="C4" s="123" t="s">
        <v>1391</v>
      </c>
      <c r="D4" s="120">
        <v>3.335529999999999</v>
      </c>
      <c r="E4" s="120">
        <v>-1.8401700000000001</v>
      </c>
      <c r="F4" s="120">
        <v>-3.589160000000001</v>
      </c>
      <c r="G4" s="120">
        <v>-0.91147999999999996</v>
      </c>
      <c r="H4" s="120">
        <v>4.5006399999999989</v>
      </c>
      <c r="I4" s="120"/>
      <c r="J4" s="120"/>
    </row>
    <row r="5" spans="1:10" x14ac:dyDescent="0.25">
      <c r="A5" s="14" t="str">
        <f t="shared" si="0"/>
        <v>DIGINTLRNIC182Q04DA</v>
      </c>
      <c r="B5" s="123" t="s">
        <v>384</v>
      </c>
      <c r="C5" s="123" t="s">
        <v>1393</v>
      </c>
      <c r="D5" s="120">
        <v>2.4603100000000002</v>
      </c>
      <c r="E5" s="120">
        <v>-1.52525</v>
      </c>
      <c r="F5" s="120">
        <v>-2.7157100000000001</v>
      </c>
      <c r="G5" s="120">
        <v>-0.92940999999999996</v>
      </c>
      <c r="H5" s="120">
        <v>3.6451199999999999</v>
      </c>
      <c r="I5" s="120"/>
      <c r="J5" s="120"/>
    </row>
    <row r="6" spans="1:10" x14ac:dyDescent="0.25">
      <c r="A6" s="14" t="str">
        <f t="shared" si="0"/>
        <v>DIGINTLRNIC182Q05DA</v>
      </c>
      <c r="B6" s="123" t="s">
        <v>384</v>
      </c>
      <c r="C6" s="123" t="s">
        <v>1395</v>
      </c>
      <c r="D6" s="120">
        <v>2.1501399999999999</v>
      </c>
      <c r="E6" s="120">
        <v>-0.93813999999999986</v>
      </c>
      <c r="F6" s="120">
        <v>-2.3467600000000002</v>
      </c>
      <c r="G6" s="120">
        <v>-0.55706999999999995</v>
      </c>
      <c r="H6" s="120">
        <v>2.9038300000000001</v>
      </c>
      <c r="I6" s="120"/>
      <c r="J6" s="120"/>
    </row>
    <row r="7" spans="1:10" x14ac:dyDescent="0.25">
      <c r="A7" s="14" t="str">
        <f t="shared" si="0"/>
        <v>ICTFEEDIC175Q01JA</v>
      </c>
      <c r="B7" s="123" t="s">
        <v>330</v>
      </c>
      <c r="C7" s="123" t="s">
        <v>1311</v>
      </c>
      <c r="D7" s="120">
        <v>1.11772</v>
      </c>
      <c r="E7" s="120">
        <v>-0.2346</v>
      </c>
      <c r="F7" s="120">
        <v>-0.86873</v>
      </c>
      <c r="G7" s="120">
        <v>-1.0042899999999999</v>
      </c>
      <c r="H7" s="120">
        <v>0.27361999999999997</v>
      </c>
      <c r="I7" s="120">
        <v>1.5993999999999999</v>
      </c>
      <c r="J7" s="120"/>
    </row>
    <row r="8" spans="1:10" x14ac:dyDescent="0.25">
      <c r="A8" s="14" t="str">
        <f t="shared" si="0"/>
        <v>ICTFEEDIC175Q02JA</v>
      </c>
      <c r="B8" s="123" t="s">
        <v>330</v>
      </c>
      <c r="C8" s="123" t="s">
        <v>1313</v>
      </c>
      <c r="D8" s="120">
        <v>1.8812</v>
      </c>
      <c r="E8" s="120">
        <v>1.7610000000000001E-2</v>
      </c>
      <c r="F8" s="120">
        <v>-1.5495300000000001</v>
      </c>
      <c r="G8" s="120">
        <v>-1.2507999999999999</v>
      </c>
      <c r="H8" s="120">
        <v>0.43858000000000003</v>
      </c>
      <c r="I8" s="120">
        <v>2.3617499999999998</v>
      </c>
      <c r="J8" s="120"/>
    </row>
    <row r="9" spans="1:10" x14ac:dyDescent="0.25">
      <c r="A9" s="14" t="str">
        <f t="shared" si="0"/>
        <v>ICTFEEDIC175Q03JA</v>
      </c>
      <c r="B9" s="123" t="s">
        <v>330</v>
      </c>
      <c r="C9" s="123" t="s">
        <v>1315</v>
      </c>
      <c r="D9" s="120">
        <v>2.4879600000000011</v>
      </c>
      <c r="E9" s="120">
        <v>0.23135</v>
      </c>
      <c r="F9" s="120">
        <v>-1.90421</v>
      </c>
      <c r="G9" s="120">
        <v>-1.56016</v>
      </c>
      <c r="H9" s="120">
        <v>0.50163000000000002</v>
      </c>
      <c r="I9" s="120">
        <v>2.9627400000000002</v>
      </c>
      <c r="J9" s="120"/>
    </row>
    <row r="10" spans="1:10" x14ac:dyDescent="0.25">
      <c r="A10" s="14" t="str">
        <f t="shared" si="0"/>
        <v>ICTFEEDIC175Q05JA</v>
      </c>
      <c r="B10" s="123" t="s">
        <v>330</v>
      </c>
      <c r="C10" s="123" t="s">
        <v>1317</v>
      </c>
      <c r="D10" s="120">
        <v>1.3131299999999999</v>
      </c>
      <c r="E10" s="120">
        <v>-1.436E-2</v>
      </c>
      <c r="F10" s="120">
        <v>-0.84072999999999998</v>
      </c>
      <c r="G10" s="120">
        <v>-1.1019000000000001</v>
      </c>
      <c r="H10" s="120">
        <v>0.23280000000000001</v>
      </c>
      <c r="I10" s="120">
        <v>1.70983</v>
      </c>
      <c r="J10" s="120"/>
    </row>
    <row r="11" spans="1:10" x14ac:dyDescent="0.25">
      <c r="A11" s="14" t="str">
        <f t="shared" si="0"/>
        <v>ICTHOMEIC171Q01JA</v>
      </c>
      <c r="B11" s="123" t="s">
        <v>331</v>
      </c>
      <c r="C11" s="123" t="s">
        <v>1277</v>
      </c>
      <c r="D11" s="120">
        <v>1.4250100000000001</v>
      </c>
      <c r="E11" s="120">
        <v>-0.65869999999999995</v>
      </c>
      <c r="F11" s="120"/>
      <c r="G11" s="120"/>
      <c r="H11" s="120"/>
      <c r="I11" s="120"/>
      <c r="J11" s="120"/>
    </row>
    <row r="12" spans="1:10" x14ac:dyDescent="0.25">
      <c r="A12" s="14" t="str">
        <f t="shared" si="0"/>
        <v>ICTHOMEIC171Q02JA</v>
      </c>
      <c r="B12" s="123" t="s">
        <v>331</v>
      </c>
      <c r="C12" s="123" t="s">
        <v>1279</v>
      </c>
      <c r="D12" s="120">
        <v>1.6506400000000001</v>
      </c>
      <c r="E12" s="120">
        <v>-0.61246</v>
      </c>
      <c r="F12" s="120"/>
      <c r="G12" s="120"/>
      <c r="H12" s="120"/>
      <c r="I12" s="120"/>
      <c r="J12" s="120"/>
    </row>
    <row r="13" spans="1:10" x14ac:dyDescent="0.25">
      <c r="A13" s="14" t="str">
        <f t="shared" si="0"/>
        <v>ICTHOMEIC171Q03JA</v>
      </c>
      <c r="B13" s="123" t="s">
        <v>331</v>
      </c>
      <c r="C13" s="123" t="s">
        <v>1281</v>
      </c>
      <c r="D13" s="120">
        <v>1.1466499999999999</v>
      </c>
      <c r="E13" s="120">
        <v>0.73717999999999984</v>
      </c>
      <c r="F13" s="120"/>
      <c r="G13" s="120"/>
      <c r="H13" s="120"/>
      <c r="I13" s="120"/>
      <c r="J13" s="120"/>
    </row>
    <row r="14" spans="1:10" x14ac:dyDescent="0.25">
      <c r="A14" s="14" t="str">
        <f t="shared" si="0"/>
        <v>ICTHOMEIC171Q04JA</v>
      </c>
      <c r="B14" s="123" t="s">
        <v>331</v>
      </c>
      <c r="C14" s="123" t="s">
        <v>1283</v>
      </c>
      <c r="D14" s="120">
        <v>2.1397599999999999</v>
      </c>
      <c r="E14" s="120">
        <v>-0.27855000000000002</v>
      </c>
      <c r="F14" s="120"/>
      <c r="G14" s="120"/>
      <c r="H14" s="120"/>
      <c r="I14" s="120"/>
      <c r="J14" s="120"/>
    </row>
    <row r="15" spans="1:10" x14ac:dyDescent="0.25">
      <c r="A15" s="14" t="str">
        <f t="shared" si="0"/>
        <v>ICTHOMEIC171Q05JA</v>
      </c>
      <c r="B15" s="123" t="s">
        <v>331</v>
      </c>
      <c r="C15" s="123" t="s">
        <v>1285</v>
      </c>
      <c r="D15" s="120">
        <v>1.6549799999999999</v>
      </c>
      <c r="E15" s="120">
        <v>0.34729999999999989</v>
      </c>
      <c r="F15" s="120"/>
      <c r="G15" s="120"/>
      <c r="H15" s="120"/>
      <c r="I15" s="120"/>
      <c r="J15" s="120"/>
    </row>
    <row r="16" spans="1:10" x14ac:dyDescent="0.25">
      <c r="A16" s="14" t="str">
        <f t="shared" si="0"/>
        <v>ICTHOMEIC171Q06JA</v>
      </c>
      <c r="B16" s="123" t="s">
        <v>331</v>
      </c>
      <c r="C16" s="123" t="s">
        <v>1287</v>
      </c>
      <c r="D16" s="120">
        <v>1.62687</v>
      </c>
      <c r="E16" s="120">
        <v>0.46523999999999999</v>
      </c>
      <c r="F16" s="120"/>
      <c r="G16" s="120"/>
      <c r="H16" s="120"/>
      <c r="I16" s="120"/>
      <c r="J16" s="120"/>
    </row>
    <row r="17" spans="1:10" x14ac:dyDescent="0.25">
      <c r="A17" s="14" t="str">
        <f t="shared" si="0"/>
        <v>ICTHOMEIC171Q07DA</v>
      </c>
      <c r="B17" s="123" t="s">
        <v>331</v>
      </c>
      <c r="C17" s="123" t="s">
        <v>1289</v>
      </c>
      <c r="D17" s="120">
        <v>2.7503099999999998</v>
      </c>
      <c r="E17" s="120">
        <v>3.4542200000000012</v>
      </c>
      <c r="F17" s="120"/>
      <c r="G17" s="120"/>
      <c r="H17" s="120"/>
      <c r="I17" s="120"/>
      <c r="J17" s="120"/>
    </row>
    <row r="18" spans="1:10" x14ac:dyDescent="0.25">
      <c r="A18" s="14" t="str">
        <f t="shared" si="0"/>
        <v>ICTHOMEIC171Q08DA</v>
      </c>
      <c r="B18" s="123" t="s">
        <v>331</v>
      </c>
      <c r="C18" s="123" t="s">
        <v>1291</v>
      </c>
      <c r="D18" s="120">
        <v>4.0945400000000012</v>
      </c>
      <c r="E18" s="120">
        <v>6.3806900000000013</v>
      </c>
      <c r="F18" s="120"/>
      <c r="G18" s="120"/>
      <c r="H18" s="120"/>
      <c r="I18" s="120"/>
      <c r="J18" s="120"/>
    </row>
    <row r="19" spans="1:10" x14ac:dyDescent="0.25">
      <c r="A19" s="14" t="str">
        <f t="shared" si="0"/>
        <v>ICTHOMEIC171Q09DA</v>
      </c>
      <c r="B19" s="123" t="s">
        <v>331</v>
      </c>
      <c r="C19" s="123" t="s">
        <v>1293</v>
      </c>
      <c r="D19" s="120">
        <v>3.62791</v>
      </c>
      <c r="E19" s="120">
        <v>5.8027599999999984</v>
      </c>
      <c r="F19" s="120"/>
      <c r="G19" s="120"/>
      <c r="H19" s="120"/>
      <c r="I19" s="120"/>
      <c r="J19" s="120"/>
    </row>
    <row r="20" spans="1:10" x14ac:dyDescent="0.25">
      <c r="A20" s="14" t="str">
        <f t="shared" si="0"/>
        <v>ICTHOMEIC171Q10DA</v>
      </c>
      <c r="B20" s="123" t="s">
        <v>331</v>
      </c>
      <c r="C20" s="123" t="s">
        <v>1295</v>
      </c>
      <c r="D20" s="120">
        <v>1.4658199999999999</v>
      </c>
      <c r="E20" s="120">
        <v>0.11562</v>
      </c>
      <c r="F20" s="120"/>
      <c r="G20" s="120"/>
      <c r="H20" s="120"/>
      <c r="I20" s="120"/>
      <c r="J20" s="120"/>
    </row>
    <row r="21" spans="1:10" x14ac:dyDescent="0.25">
      <c r="A21" s="14" t="str">
        <f t="shared" si="0"/>
        <v>ICTINFOIC180Q02JA</v>
      </c>
      <c r="B21" s="123" t="s">
        <v>332</v>
      </c>
      <c r="C21" s="123" t="s">
        <v>1375</v>
      </c>
      <c r="D21" s="120">
        <v>1.5479099999999999</v>
      </c>
      <c r="E21" s="120">
        <v>-0.35642000000000001</v>
      </c>
      <c r="F21" s="120">
        <v>-2.1251500000000001</v>
      </c>
      <c r="G21" s="120">
        <v>-0.88083999999999996</v>
      </c>
      <c r="H21" s="120">
        <v>3.0059900000000011</v>
      </c>
      <c r="I21" s="120"/>
      <c r="J21" s="120"/>
    </row>
    <row r="22" spans="1:10" x14ac:dyDescent="0.25">
      <c r="A22" s="14" t="str">
        <f t="shared" si="0"/>
        <v>ICTINFOIC180Q03JA</v>
      </c>
      <c r="B22" s="123" t="s">
        <v>332</v>
      </c>
      <c r="C22" s="123" t="s">
        <v>1377</v>
      </c>
      <c r="D22" s="120">
        <v>1.7279500000000001</v>
      </c>
      <c r="E22" s="120">
        <v>-0.39805000000000001</v>
      </c>
      <c r="F22" s="120">
        <v>-2.265610000000001</v>
      </c>
      <c r="G22" s="120">
        <v>-0.84923000000000004</v>
      </c>
      <c r="H22" s="120">
        <v>3.1148400000000001</v>
      </c>
      <c r="I22" s="120"/>
      <c r="J22" s="120"/>
    </row>
    <row r="23" spans="1:10" x14ac:dyDescent="0.25">
      <c r="A23" s="14" t="str">
        <f t="shared" si="0"/>
        <v>ICTINFOIC180Q04JA</v>
      </c>
      <c r="B23" s="123" t="s">
        <v>332</v>
      </c>
      <c r="C23" s="123" t="s">
        <v>1379</v>
      </c>
      <c r="D23" s="120">
        <v>1.671410000000001</v>
      </c>
      <c r="E23" s="120">
        <v>0.4325</v>
      </c>
      <c r="F23" s="120">
        <v>-2.4050699999999998</v>
      </c>
      <c r="G23" s="120">
        <v>-0.50709000000000004</v>
      </c>
      <c r="H23" s="120">
        <v>2.9121600000000001</v>
      </c>
      <c r="I23" s="120"/>
      <c r="J23" s="120"/>
    </row>
    <row r="24" spans="1:10" x14ac:dyDescent="0.25">
      <c r="A24" s="14" t="str">
        <f t="shared" si="0"/>
        <v>ICTINFOIC180Q05JA</v>
      </c>
      <c r="B24" s="123" t="s">
        <v>332</v>
      </c>
      <c r="C24" s="123" t="s">
        <v>1381</v>
      </c>
      <c r="D24" s="120">
        <v>2.3332799999999998</v>
      </c>
      <c r="E24" s="120">
        <v>-0.10001</v>
      </c>
      <c r="F24" s="120">
        <v>-2.93702</v>
      </c>
      <c r="G24" s="120">
        <v>-0.91571999999999998</v>
      </c>
      <c r="H24" s="120">
        <v>3.8527399999999989</v>
      </c>
      <c r="I24" s="120"/>
      <c r="J24" s="120"/>
    </row>
    <row r="25" spans="1:10" x14ac:dyDescent="0.25">
      <c r="A25" s="14" t="str">
        <f t="shared" si="0"/>
        <v>ICTINFOIC180Q06JA</v>
      </c>
      <c r="B25" s="123" t="s">
        <v>332</v>
      </c>
      <c r="C25" s="123" t="s">
        <v>1383</v>
      </c>
      <c r="D25" s="120">
        <v>1.81057</v>
      </c>
      <c r="E25" s="120">
        <v>7.9140000000000002E-2</v>
      </c>
      <c r="F25" s="120">
        <v>-2.3769</v>
      </c>
      <c r="G25" s="120">
        <v>-0.71487999999999996</v>
      </c>
      <c r="H25" s="120">
        <v>3.0917799999999991</v>
      </c>
      <c r="I25" s="120"/>
      <c r="J25" s="120"/>
    </row>
    <row r="26" spans="1:10" x14ac:dyDescent="0.25">
      <c r="A26" s="14" t="str">
        <f t="shared" si="0"/>
        <v>ICTINFOIC180Q07JA</v>
      </c>
      <c r="B26" s="123" t="s">
        <v>332</v>
      </c>
      <c r="C26" s="123" t="s">
        <v>1385</v>
      </c>
      <c r="D26" s="120">
        <v>1.10887</v>
      </c>
      <c r="E26" s="120">
        <v>0.34283999999999998</v>
      </c>
      <c r="F26" s="120">
        <v>-1.8480099999999999</v>
      </c>
      <c r="G26" s="120">
        <v>-0.34243000000000001</v>
      </c>
      <c r="H26" s="120">
        <v>2.1904400000000002</v>
      </c>
      <c r="I26" s="120"/>
      <c r="J26" s="120"/>
    </row>
    <row r="27" spans="1:10" x14ac:dyDescent="0.25">
      <c r="A27" s="14" t="str">
        <f t="shared" si="0"/>
        <v>ICTOUTIC176Q01JA</v>
      </c>
      <c r="B27" s="123" t="s">
        <v>333</v>
      </c>
      <c r="C27" s="123" t="s">
        <v>1319</v>
      </c>
      <c r="D27" s="120">
        <v>1.0901099999999999</v>
      </c>
      <c r="E27" s="120">
        <v>8.974E-2</v>
      </c>
      <c r="F27" s="120">
        <v>-0.47737000000000002</v>
      </c>
      <c r="G27" s="120">
        <v>-0.88839999999999997</v>
      </c>
      <c r="H27" s="120">
        <v>0.1096</v>
      </c>
      <c r="I27" s="120">
        <v>1.25617</v>
      </c>
      <c r="J27" s="120"/>
    </row>
    <row r="28" spans="1:10" x14ac:dyDescent="0.25">
      <c r="A28" s="14" t="str">
        <f t="shared" si="0"/>
        <v>ICTOUTIC176Q02JA</v>
      </c>
      <c r="B28" s="123" t="s">
        <v>333</v>
      </c>
      <c r="C28" s="123" t="s">
        <v>1321</v>
      </c>
      <c r="D28" s="120">
        <v>2.0844299999999998</v>
      </c>
      <c r="E28" s="120">
        <v>-0.27885999999999989</v>
      </c>
      <c r="F28" s="120">
        <v>-1.6819500000000009</v>
      </c>
      <c r="G28" s="120">
        <v>-1.1743600000000001</v>
      </c>
      <c r="H28" s="120">
        <v>0.37591000000000002</v>
      </c>
      <c r="I28" s="120">
        <v>2.4803999999999999</v>
      </c>
      <c r="J28" s="120"/>
    </row>
    <row r="29" spans="1:10" x14ac:dyDescent="0.25">
      <c r="A29" s="14" t="str">
        <f t="shared" si="0"/>
        <v>ICTOUTIC176Q03JA</v>
      </c>
      <c r="B29" s="123" t="s">
        <v>333</v>
      </c>
      <c r="C29" s="123" t="s">
        <v>1323</v>
      </c>
      <c r="D29" s="120">
        <v>2.0482100000000001</v>
      </c>
      <c r="E29" s="120">
        <v>6.9540000000000018E-2</v>
      </c>
      <c r="F29" s="120">
        <v>-1.4337800000000001</v>
      </c>
      <c r="G29" s="120">
        <v>-1.28077</v>
      </c>
      <c r="H29" s="120">
        <v>0.33206999999999992</v>
      </c>
      <c r="I29" s="120">
        <v>2.382480000000001</v>
      </c>
      <c r="J29" s="120"/>
    </row>
    <row r="30" spans="1:10" x14ac:dyDescent="0.25">
      <c r="A30" s="14" t="str">
        <f t="shared" si="0"/>
        <v>ICTOUTIC176Q04JA</v>
      </c>
      <c r="B30" s="123" t="s">
        <v>333</v>
      </c>
      <c r="C30" s="123" t="s">
        <v>1325</v>
      </c>
      <c r="D30" s="120">
        <v>2.080610000000001</v>
      </c>
      <c r="E30" s="120">
        <v>0.10987</v>
      </c>
      <c r="F30" s="120">
        <v>-1.5488299999999999</v>
      </c>
      <c r="G30" s="120">
        <v>-1.3106100000000001</v>
      </c>
      <c r="H30" s="120">
        <v>0.30464000000000008</v>
      </c>
      <c r="I30" s="120">
        <v>2.5548000000000002</v>
      </c>
      <c r="J30" s="120"/>
    </row>
    <row r="31" spans="1:10" x14ac:dyDescent="0.25">
      <c r="A31" s="14" t="str">
        <f t="shared" si="0"/>
        <v>ICTOUTIC176Q05JA</v>
      </c>
      <c r="B31" s="123" t="s">
        <v>333</v>
      </c>
      <c r="C31" s="123" t="s">
        <v>1327</v>
      </c>
      <c r="D31" s="120">
        <v>1.56477</v>
      </c>
      <c r="E31" s="120">
        <v>0.2495</v>
      </c>
      <c r="F31" s="120">
        <v>-0.93558000000000019</v>
      </c>
      <c r="G31" s="120">
        <v>-1.23556</v>
      </c>
      <c r="H31" s="120">
        <v>0.21601000000000001</v>
      </c>
      <c r="I31" s="120">
        <v>1.95513</v>
      </c>
      <c r="J31" s="120"/>
    </row>
    <row r="32" spans="1:10" x14ac:dyDescent="0.25">
      <c r="A32" s="14" t="str">
        <f t="shared" si="0"/>
        <v>ICTOUTIC176Q06JA</v>
      </c>
      <c r="B32" s="123" t="s">
        <v>333</v>
      </c>
      <c r="C32" s="123" t="s">
        <v>1329</v>
      </c>
      <c r="D32" s="120">
        <v>1.0667599999999999</v>
      </c>
      <c r="E32" s="120">
        <v>0.25990999999999997</v>
      </c>
      <c r="F32" s="120">
        <v>-0.76051999999999997</v>
      </c>
      <c r="G32" s="120">
        <v>-0.97982999999999998</v>
      </c>
      <c r="H32" s="120">
        <v>0.30206</v>
      </c>
      <c r="I32" s="120">
        <v>1.4382900000000001</v>
      </c>
      <c r="J32" s="120"/>
    </row>
    <row r="33" spans="1:10" x14ac:dyDescent="0.25">
      <c r="A33" s="14" t="str">
        <f t="shared" si="0"/>
        <v>ICTOUTIC176Q07JA</v>
      </c>
      <c r="B33" s="123" t="s">
        <v>333</v>
      </c>
      <c r="C33" s="123" t="s">
        <v>1331</v>
      </c>
      <c r="D33" s="120">
        <v>1.1462699999999999</v>
      </c>
      <c r="E33" s="120">
        <v>-0.22553000000000001</v>
      </c>
      <c r="F33" s="120">
        <v>-0.39709</v>
      </c>
      <c r="G33" s="120">
        <v>-0.84455000000000013</v>
      </c>
      <c r="H33" s="120">
        <v>4.36E-2</v>
      </c>
      <c r="I33" s="120">
        <v>1.19804</v>
      </c>
      <c r="J33" s="120"/>
    </row>
    <row r="34" spans="1:10" x14ac:dyDescent="0.25">
      <c r="A34" s="14" t="str">
        <f t="shared" ref="A34:A65" si="1">_xlfn.CONCAT(B34,C34)</f>
        <v>ICTOUTIC176Q08JA</v>
      </c>
      <c r="B34" s="123" t="s">
        <v>333</v>
      </c>
      <c r="C34" s="123" t="s">
        <v>1333</v>
      </c>
      <c r="D34" s="120">
        <v>1.61226</v>
      </c>
      <c r="E34" s="120">
        <v>-6.2680000000000013E-2</v>
      </c>
      <c r="F34" s="120">
        <v>-0.92947000000000002</v>
      </c>
      <c r="G34" s="120">
        <v>-1.0853699999999999</v>
      </c>
      <c r="H34" s="120">
        <v>0.16322</v>
      </c>
      <c r="I34" s="120">
        <v>1.85162</v>
      </c>
      <c r="J34" s="120"/>
    </row>
    <row r="35" spans="1:10" x14ac:dyDescent="0.25">
      <c r="A35" s="14" t="str">
        <f t="shared" si="1"/>
        <v>ICTQUALIC172Q01JA</v>
      </c>
      <c r="B35" s="123" t="s">
        <v>334</v>
      </c>
      <c r="C35" s="123" t="s">
        <v>1297</v>
      </c>
      <c r="D35" s="120">
        <v>1.7474000000000001</v>
      </c>
      <c r="E35" s="120">
        <v>-4.4970000000000003E-2</v>
      </c>
      <c r="F35" s="120">
        <v>-2.1213299999999999</v>
      </c>
      <c r="G35" s="120">
        <v>-0.91171000000000002</v>
      </c>
      <c r="H35" s="120">
        <v>3.0330400000000002</v>
      </c>
      <c r="I35" s="120"/>
      <c r="J35" s="120"/>
    </row>
    <row r="36" spans="1:10" x14ac:dyDescent="0.25">
      <c r="A36" s="14" t="str">
        <f t="shared" si="1"/>
        <v>ICTQUALIC172Q02JA</v>
      </c>
      <c r="B36" s="123" t="s">
        <v>334</v>
      </c>
      <c r="C36" s="123" t="s">
        <v>1299</v>
      </c>
      <c r="D36" s="120">
        <v>2.1187999999999998</v>
      </c>
      <c r="E36" s="120">
        <v>-0.24</v>
      </c>
      <c r="F36" s="120">
        <v>-2.7236699999999998</v>
      </c>
      <c r="G36" s="120">
        <v>-0.92754999999999999</v>
      </c>
      <c r="H36" s="120">
        <v>3.6512200000000008</v>
      </c>
      <c r="I36" s="120"/>
      <c r="J36" s="120"/>
    </row>
    <row r="37" spans="1:10" x14ac:dyDescent="0.25">
      <c r="A37" s="14" t="str">
        <f t="shared" si="1"/>
        <v>ICTQUALIC172Q03JA</v>
      </c>
      <c r="B37" s="123" t="s">
        <v>334</v>
      </c>
      <c r="C37" s="123" t="s">
        <v>1301</v>
      </c>
      <c r="D37" s="120">
        <v>1.23844</v>
      </c>
      <c r="E37" s="120">
        <v>0.54573000000000005</v>
      </c>
      <c r="F37" s="120">
        <v>-1.9115899999999999</v>
      </c>
      <c r="G37" s="120">
        <v>-0.60630999999999979</v>
      </c>
      <c r="H37" s="120">
        <v>2.5179</v>
      </c>
      <c r="I37" s="120"/>
      <c r="J37" s="120"/>
    </row>
    <row r="38" spans="1:10" x14ac:dyDescent="0.25">
      <c r="A38" s="14" t="str">
        <f t="shared" si="1"/>
        <v>ICTQUALIC172Q04JA</v>
      </c>
      <c r="B38" s="123" t="s">
        <v>334</v>
      </c>
      <c r="C38" s="123" t="s">
        <v>1303</v>
      </c>
      <c r="D38" s="120">
        <v>2.00143</v>
      </c>
      <c r="E38" s="120">
        <v>-2.6450000000000001E-2</v>
      </c>
      <c r="F38" s="120">
        <v>-2.8827999999999991</v>
      </c>
      <c r="G38" s="120">
        <v>-1.0360400000000001</v>
      </c>
      <c r="H38" s="120">
        <v>3.9188399999999999</v>
      </c>
      <c r="I38" s="120"/>
      <c r="J38" s="120"/>
    </row>
    <row r="39" spans="1:10" x14ac:dyDescent="0.25">
      <c r="A39" s="14" t="str">
        <f t="shared" si="1"/>
        <v>ICTQUALIC172Q07JA</v>
      </c>
      <c r="B39" s="123" t="s">
        <v>334</v>
      </c>
      <c r="C39" s="123" t="s">
        <v>1305</v>
      </c>
      <c r="D39" s="120">
        <v>2.08657</v>
      </c>
      <c r="E39" s="120">
        <v>4.9519999999999988E-2</v>
      </c>
      <c r="F39" s="120">
        <v>-2.846779999999999</v>
      </c>
      <c r="G39" s="120">
        <v>-1.03573</v>
      </c>
      <c r="H39" s="120">
        <v>3.8825099999999999</v>
      </c>
      <c r="I39" s="120"/>
      <c r="J39" s="120"/>
    </row>
    <row r="40" spans="1:10" x14ac:dyDescent="0.25">
      <c r="A40" s="14" t="str">
        <f t="shared" si="1"/>
        <v>ICTQUALIC172Q08JA</v>
      </c>
      <c r="B40" s="123" t="s">
        <v>334</v>
      </c>
      <c r="C40" s="123" t="s">
        <v>1307</v>
      </c>
      <c r="D40" s="120">
        <v>1.46113</v>
      </c>
      <c r="E40" s="120">
        <v>-0.13508000000000001</v>
      </c>
      <c r="F40" s="120">
        <v>-2.19774</v>
      </c>
      <c r="G40" s="120">
        <v>-0.9153199999999998</v>
      </c>
      <c r="H40" s="120">
        <v>3.1130600000000008</v>
      </c>
      <c r="I40" s="120"/>
      <c r="J40" s="120"/>
    </row>
    <row r="41" spans="1:10" x14ac:dyDescent="0.25">
      <c r="A41" s="14" t="str">
        <f t="shared" si="1"/>
        <v>ICTQUALIC172Q10DA</v>
      </c>
      <c r="B41" s="123" t="s">
        <v>334</v>
      </c>
      <c r="C41" s="123" t="s">
        <v>1309</v>
      </c>
      <c r="D41" s="120">
        <v>1.58439</v>
      </c>
      <c r="E41" s="120">
        <v>0.65795000000000003</v>
      </c>
      <c r="F41" s="120">
        <v>-2.324619999999999</v>
      </c>
      <c r="G41" s="120">
        <v>-0.71913000000000005</v>
      </c>
      <c r="H41" s="120">
        <v>3.0437500000000002</v>
      </c>
      <c r="I41" s="120"/>
      <c r="J41" s="120"/>
    </row>
    <row r="42" spans="1:10" x14ac:dyDescent="0.25">
      <c r="A42" s="14" t="str">
        <f t="shared" si="1"/>
        <v>ICTREGIC179Q01JA</v>
      </c>
      <c r="B42" s="123" t="s">
        <v>335</v>
      </c>
      <c r="C42" s="123" t="s">
        <v>1363</v>
      </c>
      <c r="D42" s="120">
        <v>1.0628599999999999</v>
      </c>
      <c r="E42" s="120">
        <v>0.33170000000000011</v>
      </c>
      <c r="F42" s="120">
        <v>-1.24434</v>
      </c>
      <c r="G42" s="120">
        <v>0.17476</v>
      </c>
      <c r="H42" s="120">
        <v>1.06958</v>
      </c>
      <c r="I42" s="120"/>
      <c r="J42" s="120"/>
    </row>
    <row r="43" spans="1:10" x14ac:dyDescent="0.25">
      <c r="A43" s="14" t="str">
        <f t="shared" si="1"/>
        <v>ICTREGIC179Q02JA</v>
      </c>
      <c r="B43" s="123" t="s">
        <v>335</v>
      </c>
      <c r="C43" s="123" t="s">
        <v>1365</v>
      </c>
      <c r="D43" s="120">
        <v>0.95408000000000015</v>
      </c>
      <c r="E43" s="120">
        <v>0.25305</v>
      </c>
      <c r="F43" s="120">
        <v>-1.2807500000000001</v>
      </c>
      <c r="G43" s="120">
        <v>-9.2200000000000008E-3</v>
      </c>
      <c r="H43" s="120">
        <v>1.2899700000000001</v>
      </c>
      <c r="I43" s="120"/>
      <c r="J43" s="120"/>
    </row>
    <row r="44" spans="1:10" x14ac:dyDescent="0.25">
      <c r="A44" s="14" t="str">
        <f t="shared" si="1"/>
        <v>ICTREGIC179Q03JA</v>
      </c>
      <c r="B44" s="123" t="s">
        <v>335</v>
      </c>
      <c r="C44" s="123" t="s">
        <v>1367</v>
      </c>
      <c r="D44" s="120">
        <v>0.40737000000000012</v>
      </c>
      <c r="E44" s="120">
        <v>-0.48298999999999992</v>
      </c>
      <c r="F44" s="120">
        <v>-0.51731999999999989</v>
      </c>
      <c r="G44" s="120">
        <v>-0.96958999999999995</v>
      </c>
      <c r="H44" s="120">
        <v>1.48691</v>
      </c>
      <c r="I44" s="120"/>
      <c r="J44" s="120"/>
    </row>
    <row r="45" spans="1:10" x14ac:dyDescent="0.25">
      <c r="A45" s="14" t="str">
        <f t="shared" si="1"/>
        <v>ICTREGIC179Q04JA</v>
      </c>
      <c r="B45" s="123" t="s">
        <v>335</v>
      </c>
      <c r="C45" s="123" t="s">
        <v>1369</v>
      </c>
      <c r="D45" s="120">
        <v>2.8302999999999998</v>
      </c>
      <c r="E45" s="120">
        <v>-9.6930000000000002E-2</v>
      </c>
      <c r="F45" s="120">
        <v>-3.21245</v>
      </c>
      <c r="G45" s="120">
        <v>-3.603E-2</v>
      </c>
      <c r="H45" s="120">
        <v>3.2484799999999998</v>
      </c>
      <c r="I45" s="120"/>
      <c r="J45" s="120"/>
    </row>
    <row r="46" spans="1:10" x14ac:dyDescent="0.25">
      <c r="A46" s="14" t="str">
        <f t="shared" si="1"/>
        <v>ICTREGIC179Q05JA</v>
      </c>
      <c r="B46" s="123" t="s">
        <v>335</v>
      </c>
      <c r="C46" s="123" t="s">
        <v>1371</v>
      </c>
      <c r="D46" s="120">
        <v>2.4664600000000001</v>
      </c>
      <c r="E46" s="120">
        <v>-0.25553999999999988</v>
      </c>
      <c r="F46" s="120">
        <v>-2.814249999999999</v>
      </c>
      <c r="G46" s="120">
        <v>-0.19996</v>
      </c>
      <c r="H46" s="120">
        <v>3.0142099999999998</v>
      </c>
      <c r="I46" s="120"/>
      <c r="J46" s="120"/>
    </row>
    <row r="47" spans="1:10" x14ac:dyDescent="0.25">
      <c r="A47" s="14" t="str">
        <f t="shared" si="1"/>
        <v>ICTREGIC179Q06JA</v>
      </c>
      <c r="B47" s="123" t="s">
        <v>335</v>
      </c>
      <c r="C47" s="123" t="s">
        <v>1373</v>
      </c>
      <c r="D47" s="120">
        <v>1.2547900000000001</v>
      </c>
      <c r="E47" s="120">
        <v>2.7040000000000008E-2</v>
      </c>
      <c r="F47" s="120">
        <v>-1.4312</v>
      </c>
      <c r="G47" s="120">
        <v>-0.34750999999999999</v>
      </c>
      <c r="H47" s="120">
        <v>1.77871</v>
      </c>
      <c r="I47" s="120"/>
      <c r="J47" s="120"/>
    </row>
    <row r="48" spans="1:10" x14ac:dyDescent="0.25">
      <c r="A48" s="14" t="str">
        <f t="shared" si="1"/>
        <v>ICTSCHIC170Q01JA</v>
      </c>
      <c r="B48" s="123" t="s">
        <v>336</v>
      </c>
      <c r="C48" s="123" t="s">
        <v>1256</v>
      </c>
      <c r="D48" s="120">
        <v>1.26308</v>
      </c>
      <c r="E48" s="120">
        <v>-0.98780999999999997</v>
      </c>
      <c r="F48" s="120"/>
      <c r="G48" s="120"/>
      <c r="H48" s="120"/>
      <c r="I48" s="120"/>
      <c r="J48" s="120"/>
    </row>
    <row r="49" spans="1:10" x14ac:dyDescent="0.25">
      <c r="A49" s="14" t="str">
        <f t="shared" si="1"/>
        <v>ICTSCHIC170Q02JA</v>
      </c>
      <c r="B49" s="123" t="s">
        <v>336</v>
      </c>
      <c r="C49" s="123" t="s">
        <v>1259</v>
      </c>
      <c r="D49" s="120">
        <v>1.46627</v>
      </c>
      <c r="E49" s="120">
        <v>-0.11728</v>
      </c>
      <c r="F49" s="120"/>
      <c r="G49" s="120"/>
      <c r="H49" s="120"/>
      <c r="I49" s="120"/>
      <c r="J49" s="120"/>
    </row>
    <row r="50" spans="1:10" x14ac:dyDescent="0.25">
      <c r="A50" s="14" t="str">
        <f t="shared" si="1"/>
        <v>ICTSCHIC170Q03JA</v>
      </c>
      <c r="B50" s="123" t="s">
        <v>336</v>
      </c>
      <c r="C50" s="123" t="s">
        <v>1261</v>
      </c>
      <c r="D50" s="120">
        <v>1.26759</v>
      </c>
      <c r="E50" s="120">
        <v>0.64106999999999981</v>
      </c>
      <c r="F50" s="120"/>
      <c r="G50" s="120"/>
      <c r="H50" s="120"/>
      <c r="I50" s="120"/>
      <c r="J50" s="120"/>
    </row>
    <row r="51" spans="1:10" x14ac:dyDescent="0.25">
      <c r="A51" s="14" t="str">
        <f t="shared" si="1"/>
        <v>ICTSCHIC170Q04JA</v>
      </c>
      <c r="B51" s="123" t="s">
        <v>336</v>
      </c>
      <c r="C51" s="123" t="s">
        <v>1263</v>
      </c>
      <c r="D51" s="120">
        <v>1.89385</v>
      </c>
      <c r="E51" s="120">
        <v>-0.14388000000000001</v>
      </c>
      <c r="F51" s="120"/>
      <c r="G51" s="120"/>
      <c r="H51" s="120"/>
      <c r="I51" s="120"/>
      <c r="J51" s="120"/>
    </row>
    <row r="52" spans="1:10" x14ac:dyDescent="0.25">
      <c r="A52" s="14" t="str">
        <f t="shared" si="1"/>
        <v>ICTSCHIC170Q05JA</v>
      </c>
      <c r="B52" s="123" t="s">
        <v>336</v>
      </c>
      <c r="C52" s="123" t="s">
        <v>1265</v>
      </c>
      <c r="D52" s="120">
        <v>2.0110700000000001</v>
      </c>
      <c r="E52" s="120">
        <v>-9.4509999999999997E-2</v>
      </c>
      <c r="F52" s="120"/>
      <c r="G52" s="120"/>
      <c r="H52" s="120"/>
      <c r="I52" s="120"/>
      <c r="J52" s="120"/>
    </row>
    <row r="53" spans="1:10" x14ac:dyDescent="0.25">
      <c r="A53" s="14" t="str">
        <f t="shared" si="1"/>
        <v>ICTSCHIC170Q06JA</v>
      </c>
      <c r="B53" s="123" t="s">
        <v>336</v>
      </c>
      <c r="C53" s="123" t="s">
        <v>1267</v>
      </c>
      <c r="D53" s="120">
        <v>2.17062</v>
      </c>
      <c r="E53" s="120">
        <v>0.51727999999999996</v>
      </c>
      <c r="F53" s="120"/>
      <c r="G53" s="120"/>
      <c r="H53" s="120"/>
      <c r="I53" s="120"/>
      <c r="J53" s="120"/>
    </row>
    <row r="54" spans="1:10" x14ac:dyDescent="0.25">
      <c r="A54" s="14" t="str">
        <f t="shared" si="1"/>
        <v>ICTSCHIC170Q07JA</v>
      </c>
      <c r="B54" s="123" t="s">
        <v>336</v>
      </c>
      <c r="C54" s="123" t="s">
        <v>1269</v>
      </c>
      <c r="D54" s="120">
        <v>1.82752</v>
      </c>
      <c r="E54" s="120">
        <v>0.18512999999999999</v>
      </c>
      <c r="F54" s="120"/>
      <c r="G54" s="120"/>
      <c r="H54" s="120"/>
      <c r="I54" s="120"/>
      <c r="J54" s="120"/>
    </row>
    <row r="55" spans="1:10" x14ac:dyDescent="0.25">
      <c r="A55" s="14" t="str">
        <f t="shared" si="1"/>
        <v>ICTSCHIC170Q08DA</v>
      </c>
      <c r="B55" s="123" t="s">
        <v>336</v>
      </c>
      <c r="C55" s="123" t="s">
        <v>1271</v>
      </c>
      <c r="D55" s="120">
        <v>2.9368799999999999</v>
      </c>
      <c r="E55" s="120">
        <v>2.9594100000000001</v>
      </c>
      <c r="F55" s="120"/>
      <c r="G55" s="120"/>
      <c r="H55" s="120"/>
      <c r="I55" s="120"/>
      <c r="J55" s="120"/>
    </row>
    <row r="56" spans="1:10" x14ac:dyDescent="0.25">
      <c r="A56" s="14" t="str">
        <f t="shared" si="1"/>
        <v>ICTSCHIC170Q09DA</v>
      </c>
      <c r="B56" s="123" t="s">
        <v>336</v>
      </c>
      <c r="C56" s="123" t="s">
        <v>1273</v>
      </c>
      <c r="D56" s="120">
        <v>2.8664900000000002</v>
      </c>
      <c r="E56" s="120">
        <v>2.4274499999999999</v>
      </c>
      <c r="F56" s="120"/>
      <c r="G56" s="120"/>
      <c r="H56" s="120"/>
      <c r="I56" s="120"/>
      <c r="J56" s="120"/>
    </row>
    <row r="57" spans="1:10" x14ac:dyDescent="0.25">
      <c r="A57" s="14" t="str">
        <f t="shared" si="1"/>
        <v>ICTSCHIC170Q10DA</v>
      </c>
      <c r="B57" s="123" t="s">
        <v>336</v>
      </c>
      <c r="C57" s="123" t="s">
        <v>1275</v>
      </c>
      <c r="D57" s="120">
        <v>1.8044</v>
      </c>
      <c r="E57" s="120">
        <v>0.20596999999999999</v>
      </c>
      <c r="F57" s="120"/>
      <c r="G57" s="120"/>
      <c r="H57" s="120"/>
      <c r="I57" s="120"/>
      <c r="J57" s="120"/>
    </row>
    <row r="58" spans="1:10" x14ac:dyDescent="0.25">
      <c r="A58" s="14" t="str">
        <f t="shared" si="1"/>
        <v>ICTWKDYIC177Q01JA</v>
      </c>
      <c r="B58" s="123" t="s">
        <v>337</v>
      </c>
      <c r="C58" s="123" t="s">
        <v>1335</v>
      </c>
      <c r="D58" s="120">
        <v>0.81645000000000001</v>
      </c>
      <c r="E58" s="120">
        <v>2.4670000000000001E-2</v>
      </c>
      <c r="F58" s="120">
        <v>-0.58270999999999995</v>
      </c>
      <c r="G58" s="120">
        <v>-0.55393999999999999</v>
      </c>
      <c r="H58" s="120">
        <v>0.31267000000000011</v>
      </c>
      <c r="I58" s="120">
        <v>0.62067000000000017</v>
      </c>
      <c r="J58" s="120">
        <v>0.20330999999999991</v>
      </c>
    </row>
    <row r="59" spans="1:10" x14ac:dyDescent="0.25">
      <c r="A59" s="14" t="str">
        <f t="shared" si="1"/>
        <v>ICTWKDYIC177Q02JA</v>
      </c>
      <c r="B59" s="123" t="s">
        <v>337</v>
      </c>
      <c r="C59" s="123" t="s">
        <v>1337</v>
      </c>
      <c r="D59" s="120">
        <v>1.49814</v>
      </c>
      <c r="E59" s="120">
        <v>-0.53332999999999997</v>
      </c>
      <c r="F59" s="120">
        <v>-1.79687</v>
      </c>
      <c r="G59" s="120">
        <v>-0.94154000000000004</v>
      </c>
      <c r="H59" s="120">
        <v>0.51998</v>
      </c>
      <c r="I59" s="120">
        <v>1.1229100000000001</v>
      </c>
      <c r="J59" s="120">
        <v>1.09552</v>
      </c>
    </row>
    <row r="60" spans="1:10" x14ac:dyDescent="0.25">
      <c r="A60" s="14" t="str">
        <f t="shared" si="1"/>
        <v>ICTWKDYIC177Q03JA</v>
      </c>
      <c r="B60" s="123" t="s">
        <v>337</v>
      </c>
      <c r="C60" s="123" t="s">
        <v>1339</v>
      </c>
      <c r="D60" s="120">
        <v>1.89334</v>
      </c>
      <c r="E60" s="120">
        <v>-0.49641999999999997</v>
      </c>
      <c r="F60" s="120">
        <v>-2.1912500000000001</v>
      </c>
      <c r="G60" s="120">
        <v>-0.85670000000000002</v>
      </c>
      <c r="H60" s="120">
        <v>0.5213000000000001</v>
      </c>
      <c r="I60" s="120">
        <v>1.22848</v>
      </c>
      <c r="J60" s="120">
        <v>1.29817</v>
      </c>
    </row>
    <row r="61" spans="1:10" x14ac:dyDescent="0.25">
      <c r="A61" s="14" t="str">
        <f t="shared" si="1"/>
        <v>ICTWKDYIC177Q04JA</v>
      </c>
      <c r="B61" s="123" t="s">
        <v>337</v>
      </c>
      <c r="C61" s="123" t="s">
        <v>1341</v>
      </c>
      <c r="D61" s="120">
        <v>2.86355</v>
      </c>
      <c r="E61" s="120">
        <v>0.15354999999999999</v>
      </c>
      <c r="F61" s="120">
        <v>-2.77481</v>
      </c>
      <c r="G61" s="120">
        <v>-0.50173999999999996</v>
      </c>
      <c r="H61" s="120">
        <v>0.24343999999999999</v>
      </c>
      <c r="I61" s="120">
        <v>1.2288300000000001</v>
      </c>
      <c r="J61" s="120">
        <v>1.8042800000000001</v>
      </c>
    </row>
    <row r="62" spans="1:10" x14ac:dyDescent="0.25">
      <c r="A62" s="14" t="str">
        <f t="shared" si="1"/>
        <v>ICTWKDYIC177Q05JA</v>
      </c>
      <c r="B62" s="123" t="s">
        <v>337</v>
      </c>
      <c r="C62" s="123" t="s">
        <v>1343</v>
      </c>
      <c r="D62" s="120">
        <v>1.6823300000000001</v>
      </c>
      <c r="E62" s="120">
        <v>-0.20091999999999999</v>
      </c>
      <c r="F62" s="120">
        <v>-1.6467000000000001</v>
      </c>
      <c r="G62" s="120">
        <v>-0.62397000000000014</v>
      </c>
      <c r="H62" s="120">
        <v>0.34028000000000003</v>
      </c>
      <c r="I62" s="120">
        <v>0.85414999999999985</v>
      </c>
      <c r="J62" s="120">
        <v>1.0762400000000001</v>
      </c>
    </row>
    <row r="63" spans="1:10" x14ac:dyDescent="0.25">
      <c r="A63" s="14" t="str">
        <f t="shared" si="1"/>
        <v>ICTWKDYIC177Q06JA</v>
      </c>
      <c r="B63" s="123" t="s">
        <v>337</v>
      </c>
      <c r="C63" s="123" t="s">
        <v>1345</v>
      </c>
      <c r="D63" s="120">
        <v>2.3182</v>
      </c>
      <c r="E63" s="120">
        <v>2.538E-2</v>
      </c>
      <c r="F63" s="120">
        <v>-1.9280900000000001</v>
      </c>
      <c r="G63" s="120">
        <v>-0.53839000000000004</v>
      </c>
      <c r="H63" s="120">
        <v>0.32674999999999998</v>
      </c>
      <c r="I63" s="120">
        <v>0.93772999999999995</v>
      </c>
      <c r="J63" s="120">
        <v>1.202</v>
      </c>
    </row>
    <row r="64" spans="1:10" x14ac:dyDescent="0.25">
      <c r="A64" s="14" t="str">
        <f t="shared" si="1"/>
        <v>ICTWKDYIC177Q07JA</v>
      </c>
      <c r="B64" s="123" t="s">
        <v>337</v>
      </c>
      <c r="C64" s="123" t="s">
        <v>1347</v>
      </c>
      <c r="D64" s="120">
        <v>2.125160000000001</v>
      </c>
      <c r="E64" s="120">
        <v>0.12421</v>
      </c>
      <c r="F64" s="120">
        <v>-1.2501899999999999</v>
      </c>
      <c r="G64" s="120">
        <v>-0.44988</v>
      </c>
      <c r="H64" s="120">
        <v>0.14913000000000001</v>
      </c>
      <c r="I64" s="120">
        <v>0.69616</v>
      </c>
      <c r="J64" s="120">
        <v>0.85478000000000021</v>
      </c>
    </row>
    <row r="65" spans="1:10" x14ac:dyDescent="0.25">
      <c r="A65" s="14" t="str">
        <f t="shared" si="1"/>
        <v>ICTWKENDIC178Q01JA</v>
      </c>
      <c r="B65" s="123" t="s">
        <v>338</v>
      </c>
      <c r="C65" s="123" t="s">
        <v>1349</v>
      </c>
      <c r="D65" s="120">
        <v>0.52239000000000013</v>
      </c>
      <c r="E65" s="120">
        <v>-0.13392000000000001</v>
      </c>
      <c r="F65" s="120">
        <v>-0.27194000000000002</v>
      </c>
      <c r="G65" s="120">
        <v>-0.52207000000000003</v>
      </c>
      <c r="H65" s="120">
        <v>0.17512</v>
      </c>
      <c r="I65" s="120">
        <v>0.53571000000000002</v>
      </c>
      <c r="J65" s="120">
        <v>8.3180000000000143E-2</v>
      </c>
    </row>
    <row r="66" spans="1:10" x14ac:dyDescent="0.25">
      <c r="A66" s="14" t="str">
        <f t="shared" ref="A66:A97" si="2">_xlfn.CONCAT(B66,C66)</f>
        <v>ICTWKENDIC178Q02JA</v>
      </c>
      <c r="B66" s="123" t="s">
        <v>338</v>
      </c>
      <c r="C66" s="123" t="s">
        <v>1351</v>
      </c>
      <c r="D66" s="120">
        <v>1.1944699999999999</v>
      </c>
      <c r="E66" s="120">
        <v>-0.77493000000000001</v>
      </c>
      <c r="F66" s="120">
        <v>-1.6965699999999999</v>
      </c>
      <c r="G66" s="120">
        <v>-0.87970000000000004</v>
      </c>
      <c r="H66" s="120">
        <v>0.43535000000000001</v>
      </c>
      <c r="I66" s="120">
        <v>1.08788</v>
      </c>
      <c r="J66" s="120">
        <v>1.05304</v>
      </c>
    </row>
    <row r="67" spans="1:10" x14ac:dyDescent="0.25">
      <c r="A67" s="14" t="str">
        <f t="shared" si="2"/>
        <v>ICTWKENDIC178Q03JA</v>
      </c>
      <c r="B67" s="123" t="s">
        <v>338</v>
      </c>
      <c r="C67" s="123" t="s">
        <v>1353</v>
      </c>
      <c r="D67" s="120">
        <v>1.45377</v>
      </c>
      <c r="E67" s="120">
        <v>-0.72204999999999997</v>
      </c>
      <c r="F67" s="120">
        <v>-1.9855700000000001</v>
      </c>
      <c r="G67" s="120">
        <v>-0.82094999999999996</v>
      </c>
      <c r="H67" s="120">
        <v>0.42637000000000003</v>
      </c>
      <c r="I67" s="120">
        <v>1.17737</v>
      </c>
      <c r="J67" s="120">
        <v>1.20278</v>
      </c>
    </row>
    <row r="68" spans="1:10" x14ac:dyDescent="0.25">
      <c r="A68" s="14" t="str">
        <f t="shared" si="2"/>
        <v>ICTWKENDIC178Q04JA</v>
      </c>
      <c r="B68" s="123" t="s">
        <v>338</v>
      </c>
      <c r="C68" s="123" t="s">
        <v>1355</v>
      </c>
      <c r="D68" s="120">
        <v>1.98912</v>
      </c>
      <c r="E68" s="120">
        <v>-0.11817999999999999</v>
      </c>
      <c r="F68" s="120">
        <v>-2.3325499999999999</v>
      </c>
      <c r="G68" s="120">
        <v>-0.48831999999999992</v>
      </c>
      <c r="H68" s="120">
        <v>0.21789</v>
      </c>
      <c r="I68" s="120">
        <v>1.12198</v>
      </c>
      <c r="J68" s="120">
        <v>1.4810000000000001</v>
      </c>
    </row>
    <row r="69" spans="1:10" x14ac:dyDescent="0.25">
      <c r="A69" s="14" t="str">
        <f t="shared" si="2"/>
        <v>ICTWKENDIC178Q05JA</v>
      </c>
      <c r="B69" s="123" t="s">
        <v>338</v>
      </c>
      <c r="C69" s="123" t="s">
        <v>1357</v>
      </c>
      <c r="D69" s="120">
        <v>1.9921899999999999</v>
      </c>
      <c r="E69" s="120">
        <v>-0.69498000000000004</v>
      </c>
      <c r="F69" s="120">
        <v>-2.1574800000000001</v>
      </c>
      <c r="G69" s="120">
        <v>-0.87639</v>
      </c>
      <c r="H69" s="120">
        <v>0.31235000000000002</v>
      </c>
      <c r="I69" s="120">
        <v>1.13042</v>
      </c>
      <c r="J69" s="120">
        <v>1.5911</v>
      </c>
    </row>
    <row r="70" spans="1:10" x14ac:dyDescent="0.25">
      <c r="A70" s="14" t="str">
        <f t="shared" si="2"/>
        <v>ICTWKENDIC178Q06JA</v>
      </c>
      <c r="B70" s="123" t="s">
        <v>338</v>
      </c>
      <c r="C70" s="123" t="s">
        <v>1359</v>
      </c>
      <c r="D70" s="120">
        <v>1.27891</v>
      </c>
      <c r="E70" s="120">
        <v>-4.777E-2</v>
      </c>
      <c r="F70" s="120">
        <v>-1.3057399999999999</v>
      </c>
      <c r="G70" s="120">
        <v>-0.39594000000000001</v>
      </c>
      <c r="H70" s="120">
        <v>0.21942999999999999</v>
      </c>
      <c r="I70" s="120">
        <v>0.68823999999999996</v>
      </c>
      <c r="J70" s="120">
        <v>0.79400999999999999</v>
      </c>
    </row>
    <row r="71" spans="1:10" x14ac:dyDescent="0.25">
      <c r="A71" s="14" t="str">
        <f t="shared" si="2"/>
        <v>ICTWKENDIC178Q07JA</v>
      </c>
      <c r="B71" s="123" t="s">
        <v>338</v>
      </c>
      <c r="C71" s="123" t="s">
        <v>1361</v>
      </c>
      <c r="D71" s="120">
        <v>1.1449800000000001</v>
      </c>
      <c r="E71" s="120">
        <v>9.5099999999999976E-3</v>
      </c>
      <c r="F71" s="120">
        <v>-0.75793000000000021</v>
      </c>
      <c r="G71" s="120">
        <v>-0.30174000000000001</v>
      </c>
      <c r="H71" s="120">
        <v>0.10589</v>
      </c>
      <c r="I71" s="120">
        <v>0.50460000000000005</v>
      </c>
      <c r="J71" s="120">
        <v>0.44918000000000008</v>
      </c>
    </row>
    <row r="72" spans="1:10" x14ac:dyDescent="0.25">
      <c r="A72" s="14" t="str">
        <f t="shared" si="2"/>
        <v>INTICTIC400Q01DA</v>
      </c>
      <c r="B72" s="123" t="s">
        <v>339</v>
      </c>
      <c r="C72" s="123" t="s">
        <v>1397</v>
      </c>
      <c r="D72" s="120">
        <v>0.85836000000000012</v>
      </c>
      <c r="E72" s="120">
        <v>0.38800000000000001</v>
      </c>
      <c r="F72" s="120">
        <v>-1.2509699999999999</v>
      </c>
      <c r="G72" s="120">
        <v>-0.34227000000000002</v>
      </c>
      <c r="H72" s="120">
        <v>1.59324</v>
      </c>
      <c r="I72" s="120"/>
      <c r="J72" s="120"/>
    </row>
    <row r="73" spans="1:10" x14ac:dyDescent="0.25">
      <c r="A73" s="14" t="str">
        <f t="shared" si="2"/>
        <v>INTICTIC400Q02DA</v>
      </c>
      <c r="B73" s="123" t="s">
        <v>339</v>
      </c>
      <c r="C73" s="123" t="s">
        <v>1399</v>
      </c>
      <c r="D73" s="120">
        <v>1.90012</v>
      </c>
      <c r="E73" s="120">
        <v>-0.33074999999999999</v>
      </c>
      <c r="F73" s="120">
        <v>-1.65951</v>
      </c>
      <c r="G73" s="120">
        <v>-0.97994999999999999</v>
      </c>
      <c r="H73" s="120">
        <v>2.6394600000000001</v>
      </c>
      <c r="I73" s="120"/>
      <c r="J73" s="120"/>
    </row>
    <row r="74" spans="1:10" x14ac:dyDescent="0.25">
      <c r="A74" s="14" t="str">
        <f t="shared" si="2"/>
        <v>INTICTIC400Q03DA</v>
      </c>
      <c r="B74" s="123" t="s">
        <v>339</v>
      </c>
      <c r="C74" s="123" t="s">
        <v>1401</v>
      </c>
      <c r="D74" s="120">
        <v>2.3919199999999989</v>
      </c>
      <c r="E74" s="120">
        <v>-0.13395000000000001</v>
      </c>
      <c r="F74" s="120">
        <v>-2.3963399999999999</v>
      </c>
      <c r="G74" s="120">
        <v>-0.92290000000000005</v>
      </c>
      <c r="H74" s="120">
        <v>3.3192399999999989</v>
      </c>
      <c r="I74" s="120"/>
      <c r="J74" s="120"/>
    </row>
    <row r="75" spans="1:10" x14ac:dyDescent="0.25">
      <c r="A75" s="14" t="str">
        <f t="shared" si="2"/>
        <v>INTICTIC400Q04DA</v>
      </c>
      <c r="B75" s="123" t="s">
        <v>339</v>
      </c>
      <c r="C75" s="123" t="s">
        <v>1403</v>
      </c>
      <c r="D75" s="120">
        <v>1.6201300000000001</v>
      </c>
      <c r="E75" s="120">
        <v>0.32427</v>
      </c>
      <c r="F75" s="120">
        <v>-2.0689600000000001</v>
      </c>
      <c r="G75" s="120">
        <v>-0.39551999999999993</v>
      </c>
      <c r="H75" s="120">
        <v>2.46448</v>
      </c>
      <c r="I75" s="120"/>
      <c r="J75" s="120"/>
    </row>
    <row r="76" spans="1:10" x14ac:dyDescent="0.25">
      <c r="A76" s="14" t="str">
        <f t="shared" si="2"/>
        <v>INTICTIC400Q05DA</v>
      </c>
      <c r="B76" s="123" t="s">
        <v>339</v>
      </c>
      <c r="C76" s="123" t="s">
        <v>1405</v>
      </c>
      <c r="D76" s="120">
        <v>0.96674000000000004</v>
      </c>
      <c r="E76" s="120">
        <v>0.30032999999999987</v>
      </c>
      <c r="F76" s="120">
        <v>-1.48367</v>
      </c>
      <c r="G76" s="120">
        <v>-5.7019999999999987E-2</v>
      </c>
      <c r="H76" s="120">
        <v>1.5406899999999999</v>
      </c>
      <c r="I76" s="120"/>
      <c r="J76" s="120"/>
    </row>
    <row r="77" spans="1:10" x14ac:dyDescent="0.25">
      <c r="A77" s="14" t="str">
        <f t="shared" si="2"/>
        <v>INTICTIC400Q06DA</v>
      </c>
      <c r="B77" s="123" t="s">
        <v>339</v>
      </c>
      <c r="C77" s="123" t="s">
        <v>1407</v>
      </c>
      <c r="D77" s="120">
        <v>2.46271</v>
      </c>
      <c r="E77" s="120">
        <v>-0.54790000000000005</v>
      </c>
      <c r="F77" s="120">
        <v>-2.2079399999999998</v>
      </c>
      <c r="G77" s="120">
        <v>-1.17577</v>
      </c>
      <c r="H77" s="120">
        <v>3.3837100000000002</v>
      </c>
      <c r="I77" s="120"/>
      <c r="J77" s="120"/>
    </row>
    <row r="78" spans="1:10" x14ac:dyDescent="0.25">
      <c r="A78" s="14" t="str">
        <f t="shared" si="2"/>
        <v>SOIAICTIC401Q01DA</v>
      </c>
      <c r="B78" s="123" t="s">
        <v>340</v>
      </c>
      <c r="C78" s="123" t="s">
        <v>1409</v>
      </c>
      <c r="D78" s="120">
        <v>1.62957</v>
      </c>
      <c r="E78" s="120">
        <v>-0.11867999999999999</v>
      </c>
      <c r="F78" s="120">
        <v>-2.4357700000000002</v>
      </c>
      <c r="G78" s="120">
        <v>-0.78090999999999999</v>
      </c>
      <c r="H78" s="120">
        <v>3.2166800000000002</v>
      </c>
      <c r="I78" s="120"/>
      <c r="J78" s="120"/>
    </row>
    <row r="79" spans="1:10" x14ac:dyDescent="0.25">
      <c r="A79" s="14" t="str">
        <f t="shared" si="2"/>
        <v>SOIAICTIC401Q02DA</v>
      </c>
      <c r="B79" s="123" t="s">
        <v>340</v>
      </c>
      <c r="C79" s="123" t="s">
        <v>1411</v>
      </c>
      <c r="D79" s="120">
        <v>1.8388199999999999</v>
      </c>
      <c r="E79" s="120">
        <v>0.29309000000000007</v>
      </c>
      <c r="F79" s="120">
        <v>-2.9579300000000002</v>
      </c>
      <c r="G79" s="120">
        <v>-0.44439000000000001</v>
      </c>
      <c r="H79" s="120">
        <v>3.4023200000000009</v>
      </c>
      <c r="I79" s="120"/>
      <c r="J79" s="120"/>
    </row>
    <row r="80" spans="1:10" x14ac:dyDescent="0.25">
      <c r="A80" s="14" t="str">
        <f t="shared" si="2"/>
        <v>SOIAICTIC401Q03DA</v>
      </c>
      <c r="B80" s="123" t="s">
        <v>340</v>
      </c>
      <c r="C80" s="123" t="s">
        <v>1413</v>
      </c>
      <c r="D80" s="120">
        <v>0.94055999999999984</v>
      </c>
      <c r="E80" s="120">
        <v>-4.9349999999999991E-2</v>
      </c>
      <c r="F80" s="120">
        <v>-1.1888799999999999</v>
      </c>
      <c r="G80" s="120">
        <v>-0.49879000000000001</v>
      </c>
      <c r="H80" s="120">
        <v>1.68767</v>
      </c>
      <c r="I80" s="120"/>
      <c r="J80" s="120"/>
    </row>
    <row r="81" spans="1:10" x14ac:dyDescent="0.25">
      <c r="A81" s="14" t="str">
        <f t="shared" si="2"/>
        <v>SOIAICTIC401Q04DA</v>
      </c>
      <c r="B81" s="123" t="s">
        <v>340</v>
      </c>
      <c r="C81" s="123" t="s">
        <v>1415</v>
      </c>
      <c r="D81" s="120">
        <v>2.3188300000000002</v>
      </c>
      <c r="E81" s="120">
        <v>-5.5540000000000013E-2</v>
      </c>
      <c r="F81" s="120">
        <v>-3.3992</v>
      </c>
      <c r="G81" s="120">
        <v>-0.63534000000000013</v>
      </c>
      <c r="H81" s="120">
        <v>4.0345399999999989</v>
      </c>
      <c r="I81" s="120"/>
      <c r="J81" s="120"/>
    </row>
    <row r="82" spans="1:10" x14ac:dyDescent="0.25">
      <c r="A82" s="14" t="str">
        <f t="shared" si="2"/>
        <v>SOIAICTIC401Q05DA</v>
      </c>
      <c r="B82" s="123" t="s">
        <v>340</v>
      </c>
      <c r="C82" s="123" t="s">
        <v>1417</v>
      </c>
      <c r="D82" s="120">
        <v>1.7722199999999999</v>
      </c>
      <c r="E82" s="120">
        <v>-6.9519999999999985E-2</v>
      </c>
      <c r="F82" s="120">
        <v>-2.66554</v>
      </c>
      <c r="G82" s="120">
        <v>-0.63057000000000019</v>
      </c>
      <c r="H82" s="120">
        <v>3.2961100000000001</v>
      </c>
      <c r="I82" s="120"/>
      <c r="J82" s="120"/>
    </row>
    <row r="83" spans="1:10" x14ac:dyDescent="0.25">
      <c r="A83" s="14" t="str">
        <f t="shared" si="2"/>
        <v/>
      </c>
      <c r="B83" s="33"/>
      <c r="C83" s="33"/>
      <c r="D83" s="33"/>
      <c r="E83" s="33"/>
      <c r="F83" s="33"/>
      <c r="G83" s="33"/>
      <c r="H83" s="33"/>
      <c r="I83" s="33"/>
      <c r="J83" s="33"/>
    </row>
    <row r="84" spans="1:10" x14ac:dyDescent="0.25">
      <c r="A84" s="14" t="str">
        <f t="shared" si="2"/>
        <v/>
      </c>
      <c r="B84" s="33"/>
      <c r="C84" s="33"/>
      <c r="D84" s="33"/>
      <c r="E84" s="33"/>
      <c r="F84" s="33"/>
      <c r="G84" s="33"/>
      <c r="H84" s="33"/>
      <c r="I84" s="33"/>
      <c r="J84" s="33"/>
    </row>
    <row r="85" spans="1:10" x14ac:dyDescent="0.25">
      <c r="A85" s="14" t="str">
        <f t="shared" si="2"/>
        <v/>
      </c>
      <c r="B85" s="33"/>
      <c r="C85" s="33"/>
      <c r="D85" s="33"/>
      <c r="E85" s="33"/>
      <c r="F85" s="33"/>
      <c r="G85" s="33"/>
      <c r="H85" s="33"/>
      <c r="I85" s="33"/>
      <c r="J85" s="33"/>
    </row>
    <row r="86" spans="1:10" x14ac:dyDescent="0.25">
      <c r="A86" s="14" t="str">
        <f t="shared" si="2"/>
        <v/>
      </c>
      <c r="B86" s="33"/>
      <c r="C86" s="33"/>
      <c r="D86" s="33"/>
      <c r="E86" s="33"/>
      <c r="F86" s="33"/>
      <c r="G86" s="33"/>
      <c r="H86" s="33"/>
      <c r="I86" s="33"/>
      <c r="J86" s="33"/>
    </row>
    <row r="87" spans="1:10" x14ac:dyDescent="0.25">
      <c r="A87" s="14" t="str">
        <f t="shared" si="2"/>
        <v/>
      </c>
      <c r="B87" s="33"/>
      <c r="C87" s="33"/>
      <c r="D87" s="33"/>
      <c r="E87" s="33"/>
      <c r="F87" s="33"/>
      <c r="G87" s="33"/>
      <c r="H87" s="33"/>
      <c r="I87" s="33"/>
      <c r="J87" s="33"/>
    </row>
    <row r="88" spans="1:10" x14ac:dyDescent="0.25">
      <c r="A88" s="14" t="str">
        <f t="shared" si="2"/>
        <v/>
      </c>
      <c r="B88" s="33"/>
      <c r="C88" s="33"/>
      <c r="D88" s="33"/>
      <c r="E88" s="33"/>
      <c r="F88" s="33"/>
      <c r="G88" s="33"/>
      <c r="H88" s="33"/>
      <c r="I88" s="33"/>
      <c r="J88" s="33"/>
    </row>
    <row r="89" spans="1:10" x14ac:dyDescent="0.25">
      <c r="A89" s="14" t="str">
        <f t="shared" si="2"/>
        <v/>
      </c>
      <c r="B89" s="33"/>
      <c r="C89" s="33"/>
      <c r="D89" s="33"/>
      <c r="E89" s="33"/>
      <c r="F89" s="33"/>
      <c r="G89" s="33"/>
      <c r="H89" s="33"/>
      <c r="I89" s="33"/>
      <c r="J89" s="33"/>
    </row>
    <row r="90" spans="1:10" x14ac:dyDescent="0.25">
      <c r="A90" s="14" t="str">
        <f t="shared" si="2"/>
        <v/>
      </c>
      <c r="B90" s="33"/>
      <c r="C90" s="33"/>
      <c r="D90" s="33"/>
      <c r="E90" s="33"/>
      <c r="F90" s="33"/>
      <c r="G90" s="33"/>
      <c r="H90" s="33"/>
      <c r="I90" s="33"/>
      <c r="J90" s="33"/>
    </row>
    <row r="91" spans="1:10" x14ac:dyDescent="0.25">
      <c r="A91" s="14" t="str">
        <f t="shared" si="2"/>
        <v/>
      </c>
      <c r="B91" s="33"/>
      <c r="C91" s="33"/>
      <c r="D91" s="33"/>
      <c r="E91" s="33"/>
      <c r="F91" s="33"/>
      <c r="G91" s="33"/>
      <c r="H91" s="33"/>
      <c r="I91" s="33"/>
      <c r="J91" s="33"/>
    </row>
    <row r="92" spans="1:10" x14ac:dyDescent="0.25">
      <c r="A92" s="14" t="str">
        <f t="shared" si="2"/>
        <v/>
      </c>
      <c r="B92" s="33"/>
      <c r="C92" s="33"/>
      <c r="D92" s="33"/>
      <c r="E92" s="33"/>
      <c r="F92" s="33"/>
      <c r="G92" s="33"/>
      <c r="H92" s="33"/>
      <c r="I92" s="33"/>
      <c r="J92" s="33"/>
    </row>
    <row r="93" spans="1:10" x14ac:dyDescent="0.25">
      <c r="A93" s="14" t="str">
        <f t="shared" si="2"/>
        <v/>
      </c>
      <c r="B93" s="33"/>
      <c r="C93" s="33"/>
      <c r="D93" s="33"/>
      <c r="E93" s="33"/>
      <c r="F93" s="33"/>
      <c r="G93" s="33"/>
      <c r="H93" s="33"/>
      <c r="I93" s="33"/>
      <c r="J93" s="33"/>
    </row>
    <row r="94" spans="1:10" x14ac:dyDescent="0.25">
      <c r="A94" s="14" t="str">
        <f t="shared" si="2"/>
        <v/>
      </c>
      <c r="B94" s="33"/>
      <c r="C94" s="33"/>
      <c r="D94" s="33"/>
      <c r="E94" s="33"/>
      <c r="F94" s="33"/>
      <c r="G94" s="33"/>
      <c r="H94" s="33"/>
      <c r="I94" s="33"/>
      <c r="J94" s="33"/>
    </row>
    <row r="95" spans="1:10" x14ac:dyDescent="0.25">
      <c r="A95" s="14" t="str">
        <f t="shared" si="2"/>
        <v/>
      </c>
      <c r="B95" s="33"/>
      <c r="C95" s="33"/>
      <c r="D95" s="33"/>
      <c r="E95" s="33"/>
      <c r="F95" s="33"/>
      <c r="G95" s="33"/>
      <c r="H95" s="33"/>
      <c r="I95" s="33"/>
      <c r="J95" s="33"/>
    </row>
    <row r="96" spans="1:10" x14ac:dyDescent="0.25">
      <c r="A96" s="14" t="str">
        <f t="shared" si="2"/>
        <v/>
      </c>
      <c r="B96" s="33"/>
      <c r="C96" s="33"/>
      <c r="D96" s="33"/>
      <c r="E96" s="33"/>
      <c r="F96" s="33"/>
      <c r="G96" s="33"/>
      <c r="H96" s="33"/>
      <c r="I96" s="33"/>
      <c r="J96" s="33"/>
    </row>
    <row r="97" spans="1:10" x14ac:dyDescent="0.25">
      <c r="A97" s="14" t="str">
        <f t="shared" si="2"/>
        <v/>
      </c>
      <c r="B97" s="33"/>
      <c r="C97" s="33"/>
      <c r="D97" s="33"/>
      <c r="E97" s="33"/>
      <c r="F97" s="33"/>
      <c r="G97" s="33"/>
      <c r="H97" s="33"/>
      <c r="I97" s="33"/>
      <c r="J97" s="33"/>
    </row>
    <row r="98" spans="1:10" x14ac:dyDescent="0.25">
      <c r="A98" s="14" t="str">
        <f t="shared" ref="A98:A129" si="3">_xlfn.CONCAT(B98,C98)</f>
        <v/>
      </c>
      <c r="B98" s="33"/>
      <c r="C98" s="33"/>
      <c r="D98" s="33"/>
      <c r="E98" s="33"/>
      <c r="F98" s="33"/>
      <c r="G98" s="33"/>
      <c r="H98" s="33"/>
      <c r="I98" s="33"/>
      <c r="J98" s="33"/>
    </row>
    <row r="99" spans="1:10" x14ac:dyDescent="0.25">
      <c r="A99" s="14" t="str">
        <f t="shared" si="3"/>
        <v/>
      </c>
      <c r="B99" s="33"/>
      <c r="C99" s="33"/>
      <c r="D99" s="33"/>
      <c r="E99" s="33"/>
      <c r="F99" s="33"/>
      <c r="G99" s="33"/>
      <c r="H99" s="33"/>
      <c r="I99" s="33"/>
      <c r="J99" s="33"/>
    </row>
    <row r="100" spans="1:10" x14ac:dyDescent="0.25">
      <c r="A100" s="14" t="str">
        <f t="shared" si="3"/>
        <v/>
      </c>
      <c r="B100" s="33"/>
      <c r="C100" s="33"/>
      <c r="D100" s="33"/>
      <c r="E100" s="33"/>
      <c r="F100" s="33"/>
      <c r="G100" s="33"/>
      <c r="H100" s="33"/>
      <c r="I100" s="33"/>
      <c r="J100" s="33"/>
    </row>
    <row r="101" spans="1:10" x14ac:dyDescent="0.25">
      <c r="A101" s="14" t="str">
        <f t="shared" si="3"/>
        <v/>
      </c>
      <c r="B101" s="33"/>
      <c r="C101" s="33"/>
      <c r="D101" s="33"/>
      <c r="E101" s="33"/>
      <c r="F101" s="33"/>
      <c r="G101" s="33"/>
      <c r="H101" s="33"/>
      <c r="I101" s="33"/>
      <c r="J101" s="33"/>
    </row>
    <row r="102" spans="1:10" x14ac:dyDescent="0.25">
      <c r="A102" s="14" t="str">
        <f t="shared" si="3"/>
        <v/>
      </c>
      <c r="B102" s="33"/>
      <c r="C102" s="33"/>
      <c r="D102" s="33"/>
      <c r="E102" s="33"/>
      <c r="F102" s="33"/>
      <c r="G102" s="33"/>
      <c r="H102" s="33"/>
      <c r="I102" s="33"/>
      <c r="J102" s="33"/>
    </row>
    <row r="103" spans="1:10" x14ac:dyDescent="0.25">
      <c r="A103" s="14" t="str">
        <f t="shared" si="3"/>
        <v/>
      </c>
      <c r="B103" s="33"/>
      <c r="C103" s="33"/>
      <c r="D103" s="33"/>
      <c r="E103" s="33"/>
      <c r="F103" s="33"/>
      <c r="G103" s="33"/>
      <c r="H103" s="33"/>
      <c r="I103" s="33"/>
      <c r="J103" s="33"/>
    </row>
    <row r="104" spans="1:10" x14ac:dyDescent="0.25">
      <c r="A104" s="14" t="str">
        <f t="shared" si="3"/>
        <v/>
      </c>
      <c r="B104" s="33"/>
      <c r="C104" s="33"/>
      <c r="D104" s="33"/>
      <c r="E104" s="33"/>
      <c r="F104" s="33"/>
      <c r="G104" s="33"/>
      <c r="H104" s="33"/>
      <c r="I104" s="33"/>
      <c r="J104" s="33"/>
    </row>
    <row r="105" spans="1:10" x14ac:dyDescent="0.25">
      <c r="A105" s="14" t="str">
        <f t="shared" si="3"/>
        <v/>
      </c>
      <c r="B105" s="33"/>
      <c r="C105" s="33"/>
      <c r="D105" s="33"/>
      <c r="E105" s="33"/>
      <c r="F105" s="33"/>
      <c r="G105" s="33"/>
      <c r="H105" s="33"/>
      <c r="I105" s="33"/>
      <c r="J105" s="33"/>
    </row>
    <row r="106" spans="1:10" x14ac:dyDescent="0.25">
      <c r="A106" s="14" t="str">
        <f t="shared" si="3"/>
        <v/>
      </c>
      <c r="B106" s="33"/>
      <c r="C106" s="33"/>
      <c r="D106" s="33"/>
      <c r="E106" s="33"/>
      <c r="F106" s="33"/>
      <c r="G106" s="33"/>
      <c r="H106" s="33"/>
      <c r="I106" s="33"/>
      <c r="J106" s="33"/>
    </row>
    <row r="107" spans="1:10" x14ac:dyDescent="0.25">
      <c r="A107" s="14" t="str">
        <f t="shared" si="3"/>
        <v/>
      </c>
      <c r="B107" s="33"/>
      <c r="C107" s="33"/>
      <c r="D107" s="33"/>
      <c r="E107" s="33"/>
      <c r="F107" s="33"/>
      <c r="G107" s="33"/>
      <c r="H107" s="33"/>
      <c r="I107" s="33"/>
      <c r="J107" s="33"/>
    </row>
    <row r="108" spans="1:10" x14ac:dyDescent="0.25">
      <c r="A108" s="14" t="str">
        <f t="shared" si="3"/>
        <v/>
      </c>
      <c r="B108" s="33"/>
      <c r="C108" s="33"/>
      <c r="D108" s="33"/>
      <c r="E108" s="33"/>
      <c r="F108" s="33"/>
      <c r="G108" s="33"/>
      <c r="H108" s="33"/>
      <c r="I108" s="33"/>
      <c r="J108" s="33"/>
    </row>
    <row r="109" spans="1:10" x14ac:dyDescent="0.25">
      <c r="A109" s="14" t="str">
        <f t="shared" si="3"/>
        <v/>
      </c>
      <c r="B109" s="33"/>
      <c r="C109" s="33"/>
      <c r="D109" s="33"/>
      <c r="E109" s="33"/>
      <c r="F109" s="33"/>
      <c r="G109" s="33"/>
      <c r="H109" s="33"/>
      <c r="I109" s="33"/>
      <c r="J109" s="33"/>
    </row>
    <row r="110" spans="1:10" x14ac:dyDescent="0.25">
      <c r="A110" s="14" t="str">
        <f t="shared" si="3"/>
        <v/>
      </c>
      <c r="B110" s="33"/>
      <c r="C110" s="33"/>
      <c r="D110" s="33"/>
      <c r="E110" s="33"/>
      <c r="F110" s="33"/>
      <c r="G110" s="33"/>
      <c r="H110" s="33"/>
      <c r="I110" s="33"/>
      <c r="J110" s="33"/>
    </row>
    <row r="111" spans="1:10" x14ac:dyDescent="0.25">
      <c r="A111" s="14" t="str">
        <f t="shared" si="3"/>
        <v/>
      </c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10" x14ac:dyDescent="0.25">
      <c r="A112" s="14" t="str">
        <f t="shared" si="3"/>
        <v/>
      </c>
      <c r="B112" s="33"/>
      <c r="C112" s="33"/>
      <c r="D112" s="33"/>
      <c r="E112" s="33"/>
      <c r="F112" s="33"/>
      <c r="G112" s="33"/>
      <c r="H112" s="33"/>
      <c r="I112" s="33"/>
      <c r="J112" s="33"/>
    </row>
    <row r="113" spans="1:10" x14ac:dyDescent="0.25">
      <c r="A113" s="14" t="str">
        <f t="shared" si="3"/>
        <v/>
      </c>
      <c r="B113" s="33"/>
      <c r="C113" s="33"/>
      <c r="D113" s="33"/>
      <c r="E113" s="33"/>
      <c r="F113" s="33"/>
      <c r="G113" s="33"/>
      <c r="H113" s="33"/>
      <c r="I113" s="33"/>
      <c r="J113" s="33"/>
    </row>
    <row r="114" spans="1:10" x14ac:dyDescent="0.25">
      <c r="A114" s="14" t="str">
        <f t="shared" si="3"/>
        <v/>
      </c>
      <c r="B114" s="33"/>
      <c r="C114" s="33"/>
      <c r="D114" s="33"/>
      <c r="E114" s="33"/>
      <c r="F114" s="33"/>
      <c r="G114" s="33"/>
      <c r="H114" s="33"/>
      <c r="I114" s="33"/>
      <c r="J114" s="33"/>
    </row>
    <row r="115" spans="1:10" x14ac:dyDescent="0.25">
      <c r="A115" s="14" t="str">
        <f t="shared" si="3"/>
        <v/>
      </c>
      <c r="B115" s="33"/>
      <c r="C115" s="33"/>
      <c r="D115" s="33"/>
      <c r="E115" s="33"/>
      <c r="F115" s="33"/>
      <c r="G115" s="33"/>
      <c r="H115" s="33"/>
      <c r="I115" s="33"/>
      <c r="J115" s="33"/>
    </row>
    <row r="116" spans="1:10" x14ac:dyDescent="0.25">
      <c r="A116" s="14" t="str">
        <f t="shared" si="3"/>
        <v/>
      </c>
      <c r="B116" s="33"/>
      <c r="C116" s="33"/>
      <c r="D116" s="33"/>
      <c r="E116" s="33"/>
      <c r="F116" s="33"/>
      <c r="G116" s="33"/>
      <c r="H116" s="33"/>
      <c r="I116" s="33"/>
      <c r="J116" s="33"/>
    </row>
    <row r="117" spans="1:10" x14ac:dyDescent="0.25">
      <c r="A117" s="14" t="str">
        <f t="shared" si="3"/>
        <v/>
      </c>
      <c r="B117" s="33"/>
      <c r="C117" s="33"/>
      <c r="D117" s="33"/>
      <c r="E117" s="33"/>
      <c r="F117" s="33"/>
      <c r="G117" s="33"/>
      <c r="H117" s="33"/>
      <c r="I117" s="33"/>
      <c r="J117" s="33"/>
    </row>
    <row r="118" spans="1:10" x14ac:dyDescent="0.25">
      <c r="A118" s="14" t="str">
        <f t="shared" si="3"/>
        <v/>
      </c>
      <c r="B118" s="33"/>
      <c r="C118" s="33"/>
      <c r="D118" s="33"/>
      <c r="E118" s="33"/>
      <c r="F118" s="33"/>
      <c r="G118" s="33"/>
      <c r="H118" s="33"/>
      <c r="I118" s="33"/>
      <c r="J118" s="33"/>
    </row>
    <row r="119" spans="1:10" x14ac:dyDescent="0.25">
      <c r="A119" s="14" t="str">
        <f t="shared" si="3"/>
        <v/>
      </c>
      <c r="B119" s="33"/>
      <c r="C119" s="33"/>
      <c r="D119" s="33"/>
      <c r="E119" s="33"/>
      <c r="F119" s="33"/>
      <c r="G119" s="33"/>
      <c r="H119" s="33"/>
      <c r="I119" s="33"/>
      <c r="J119" s="33"/>
    </row>
    <row r="120" spans="1:10" x14ac:dyDescent="0.25">
      <c r="A120" s="14" t="str">
        <f t="shared" si="3"/>
        <v/>
      </c>
      <c r="B120" s="33"/>
      <c r="C120" s="33"/>
      <c r="D120" s="33"/>
      <c r="E120" s="33"/>
      <c r="F120" s="33"/>
      <c r="G120" s="33"/>
      <c r="H120" s="33"/>
      <c r="I120" s="33"/>
      <c r="J120" s="33"/>
    </row>
    <row r="121" spans="1:10" x14ac:dyDescent="0.25">
      <c r="A121" s="14" t="str">
        <f t="shared" si="3"/>
        <v/>
      </c>
      <c r="B121" s="33"/>
      <c r="C121" s="33"/>
      <c r="D121" s="33"/>
      <c r="E121" s="33"/>
      <c r="F121" s="33"/>
      <c r="G121" s="33"/>
      <c r="H121" s="33"/>
      <c r="I121" s="33"/>
      <c r="J121" s="33"/>
    </row>
    <row r="122" spans="1:10" x14ac:dyDescent="0.25">
      <c r="A122" s="14" t="str">
        <f t="shared" si="3"/>
        <v/>
      </c>
      <c r="B122" s="33"/>
      <c r="C122" s="33"/>
      <c r="D122" s="33"/>
      <c r="E122" s="33"/>
      <c r="F122" s="33"/>
      <c r="G122" s="33"/>
      <c r="H122" s="33"/>
      <c r="I122" s="33"/>
      <c r="J122" s="33"/>
    </row>
    <row r="123" spans="1:10" x14ac:dyDescent="0.25">
      <c r="A123" s="14" t="str">
        <f t="shared" si="3"/>
        <v/>
      </c>
      <c r="B123" s="33"/>
      <c r="C123" s="33"/>
      <c r="D123" s="33"/>
      <c r="E123" s="33"/>
      <c r="F123" s="33"/>
      <c r="G123" s="33"/>
      <c r="H123" s="33"/>
      <c r="I123" s="33"/>
      <c r="J123" s="33"/>
    </row>
    <row r="124" spans="1:10" x14ac:dyDescent="0.25">
      <c r="A124" s="14" t="str">
        <f t="shared" si="3"/>
        <v/>
      </c>
      <c r="B124" s="33"/>
      <c r="C124" s="33"/>
      <c r="D124" s="33"/>
      <c r="E124" s="33"/>
      <c r="F124" s="33"/>
      <c r="G124" s="33"/>
      <c r="H124" s="33"/>
      <c r="I124" s="33"/>
      <c r="J124" s="33"/>
    </row>
    <row r="125" spans="1:10" x14ac:dyDescent="0.25">
      <c r="A125" s="14" t="str">
        <f t="shared" si="3"/>
        <v/>
      </c>
      <c r="B125" s="33"/>
      <c r="C125" s="33"/>
      <c r="D125" s="33"/>
      <c r="E125" s="33"/>
      <c r="F125" s="33"/>
      <c r="G125" s="33"/>
      <c r="H125" s="33"/>
      <c r="I125" s="33"/>
      <c r="J125" s="33"/>
    </row>
    <row r="126" spans="1:10" x14ac:dyDescent="0.25">
      <c r="A126" s="14" t="str">
        <f t="shared" si="3"/>
        <v/>
      </c>
      <c r="B126" s="33"/>
      <c r="C126" s="33"/>
      <c r="D126" s="33"/>
      <c r="E126" s="33"/>
      <c r="F126" s="33"/>
      <c r="G126" s="33"/>
      <c r="H126" s="33"/>
      <c r="I126" s="33"/>
      <c r="J126" s="33"/>
    </row>
    <row r="127" spans="1:10" x14ac:dyDescent="0.25">
      <c r="A127" s="14" t="str">
        <f t="shared" si="3"/>
        <v/>
      </c>
      <c r="B127" s="33"/>
      <c r="C127" s="33"/>
      <c r="D127" s="33"/>
      <c r="E127" s="33"/>
      <c r="F127" s="33"/>
      <c r="G127" s="33"/>
      <c r="H127" s="33"/>
      <c r="I127" s="33"/>
      <c r="J127" s="33"/>
    </row>
    <row r="128" spans="1:10" x14ac:dyDescent="0.25">
      <c r="A128" s="14" t="str">
        <f t="shared" si="3"/>
        <v/>
      </c>
      <c r="B128" s="33"/>
      <c r="C128" s="33"/>
      <c r="D128" s="33"/>
      <c r="E128" s="33"/>
      <c r="F128" s="33"/>
      <c r="G128" s="33"/>
      <c r="H128" s="33"/>
      <c r="I128" s="33"/>
      <c r="J128" s="33"/>
    </row>
    <row r="129" spans="1:10" x14ac:dyDescent="0.25">
      <c r="A129" s="14" t="str">
        <f t="shared" si="3"/>
        <v/>
      </c>
      <c r="B129" s="33"/>
      <c r="C129" s="33"/>
      <c r="D129" s="33"/>
      <c r="E129" s="33"/>
      <c r="F129" s="33"/>
      <c r="G129" s="33"/>
      <c r="H129" s="33"/>
      <c r="I129" s="33"/>
      <c r="J129" s="33"/>
    </row>
  </sheetData>
  <sheetProtection sheet="1" formatColumns="0" formatRows="0"/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92"/>
  <dimension ref="A1:K129"/>
  <sheetViews>
    <sheetView workbookViewId="0">
      <pane ySplit="6" topLeftCell="A7" activePane="bottomLeft" state="frozen"/>
      <selection pane="bottomLeft" sqref="A1:A1048576"/>
    </sheetView>
  </sheetViews>
  <sheetFormatPr defaultColWidth="9.140625" defaultRowHeight="15" x14ac:dyDescent="0.25"/>
  <cols>
    <col min="1" max="1" width="22.42578125" style="22" customWidth="1"/>
    <col min="2" max="2" width="19" style="21" customWidth="1"/>
    <col min="3" max="3" width="26" style="21" customWidth="1"/>
    <col min="4" max="9" width="13" style="21" customWidth="1"/>
    <col min="10" max="10" width="9.140625" style="21" customWidth="1"/>
    <col min="11" max="16384" width="9.140625" style="21"/>
  </cols>
  <sheetData>
    <row r="1" spans="1:11" x14ac:dyDescent="0.25">
      <c r="A1" s="87" t="s">
        <v>2642</v>
      </c>
      <c r="B1" s="122" t="s">
        <v>317</v>
      </c>
      <c r="C1" s="123" t="s">
        <v>2643</v>
      </c>
      <c r="D1" s="123" t="s">
        <v>2644</v>
      </c>
      <c r="E1" s="123" t="s">
        <v>2645</v>
      </c>
      <c r="F1" s="123" t="s">
        <v>2646</v>
      </c>
      <c r="G1" s="123" t="s">
        <v>2647</v>
      </c>
      <c r="H1" s="123" t="s">
        <v>2648</v>
      </c>
      <c r="I1" s="123" t="s">
        <v>2649</v>
      </c>
      <c r="J1" s="123" t="s">
        <v>2651</v>
      </c>
      <c r="K1" s="123" t="s">
        <v>2652</v>
      </c>
    </row>
    <row r="2" spans="1:11" x14ac:dyDescent="0.25">
      <c r="A2" s="29" t="str">
        <f t="shared" ref="A2:A33" si="0">_xlfn.CONCAT(B2,C2)</f>
        <v>FGENSUPPA003Q11JA</v>
      </c>
      <c r="B2" s="123" t="s">
        <v>385</v>
      </c>
      <c r="C2" s="123" t="s">
        <v>1480</v>
      </c>
      <c r="D2" s="120">
        <v>1.09066</v>
      </c>
      <c r="E2" s="120">
        <v>-1.4348000000000001</v>
      </c>
      <c r="F2" s="120">
        <v>-1.5140499999999999</v>
      </c>
      <c r="G2" s="120">
        <v>-0.43158000000000002</v>
      </c>
      <c r="H2" s="120">
        <v>0.93244000000000016</v>
      </c>
      <c r="I2" s="120">
        <v>1.01319</v>
      </c>
      <c r="J2" s="123"/>
      <c r="K2" s="123"/>
    </row>
    <row r="3" spans="1:11" x14ac:dyDescent="0.25">
      <c r="A3" s="29" t="str">
        <f t="shared" si="0"/>
        <v>FGENSUPPA003Q12JA</v>
      </c>
      <c r="B3" s="123" t="s">
        <v>385</v>
      </c>
      <c r="C3" s="123" t="s">
        <v>1482</v>
      </c>
      <c r="D3" s="120">
        <v>1.6495200000000001</v>
      </c>
      <c r="E3" s="120">
        <v>-2.31508</v>
      </c>
      <c r="F3" s="120">
        <v>-1.82778</v>
      </c>
      <c r="G3" s="120">
        <v>-0.96765000000000001</v>
      </c>
      <c r="H3" s="120">
        <v>0.80969000000000002</v>
      </c>
      <c r="I3" s="120">
        <v>1.9857400000000001</v>
      </c>
      <c r="J3" s="123"/>
      <c r="K3" s="123"/>
    </row>
    <row r="4" spans="1:11" x14ac:dyDescent="0.25">
      <c r="A4" s="29" t="str">
        <f t="shared" si="0"/>
        <v>FGENSUPPA003Q13JA</v>
      </c>
      <c r="B4" s="123" t="s">
        <v>385</v>
      </c>
      <c r="C4" s="123" t="s">
        <v>1484</v>
      </c>
      <c r="D4" s="120">
        <v>1.55691</v>
      </c>
      <c r="E4" s="120">
        <v>-2.3545699999999989</v>
      </c>
      <c r="F4" s="120">
        <v>-1.5550299999999999</v>
      </c>
      <c r="G4" s="120">
        <v>-1.08084</v>
      </c>
      <c r="H4" s="120">
        <v>0.68906000000000001</v>
      </c>
      <c r="I4" s="120">
        <v>1.9468099999999999</v>
      </c>
      <c r="J4" s="123"/>
      <c r="K4" s="123"/>
    </row>
    <row r="5" spans="1:11" x14ac:dyDescent="0.25">
      <c r="A5" s="29" t="str">
        <f t="shared" si="0"/>
        <v>FGENSUPPA003Q14JA</v>
      </c>
      <c r="B5" s="123" t="s">
        <v>385</v>
      </c>
      <c r="C5" s="123" t="s">
        <v>1486</v>
      </c>
      <c r="D5" s="120">
        <v>1.6410400000000001</v>
      </c>
      <c r="E5" s="120">
        <v>-2.7561200000000001</v>
      </c>
      <c r="F5" s="120">
        <v>-1.3947499999999999</v>
      </c>
      <c r="G5" s="120">
        <v>-1.10225</v>
      </c>
      <c r="H5" s="120">
        <v>0.79139999999999999</v>
      </c>
      <c r="I5" s="120">
        <v>1.7056</v>
      </c>
      <c r="J5" s="123"/>
      <c r="K5" s="123"/>
    </row>
    <row r="6" spans="1:11" x14ac:dyDescent="0.25">
      <c r="A6" s="29" t="str">
        <f t="shared" si="0"/>
        <v>FGENSUPPA003Q15JA</v>
      </c>
      <c r="B6" s="123" t="s">
        <v>385</v>
      </c>
      <c r="C6" s="123" t="s">
        <v>1488</v>
      </c>
      <c r="D6" s="120">
        <v>1.3550199999999999</v>
      </c>
      <c r="E6" s="120">
        <v>-2.3828399999999998</v>
      </c>
      <c r="F6" s="120">
        <v>-1.14619</v>
      </c>
      <c r="G6" s="120">
        <v>-1.0313099999999999</v>
      </c>
      <c r="H6" s="120">
        <v>0.55864000000000003</v>
      </c>
      <c r="I6" s="120">
        <v>1.61886</v>
      </c>
      <c r="J6" s="123"/>
      <c r="K6" s="123"/>
    </row>
    <row r="7" spans="1:11" x14ac:dyDescent="0.25">
      <c r="A7" s="29" t="str">
        <f t="shared" si="0"/>
        <v>FGENSUPPA003Q16JA</v>
      </c>
      <c r="B7" s="123" t="s">
        <v>385</v>
      </c>
      <c r="C7" s="123" t="s">
        <v>1490</v>
      </c>
      <c r="D7" s="120">
        <v>1.65811</v>
      </c>
      <c r="E7" s="120">
        <v>-2.4630800000000002</v>
      </c>
      <c r="F7" s="120">
        <v>-2.6625999999999999</v>
      </c>
      <c r="G7" s="120">
        <v>-0.86368000000000011</v>
      </c>
      <c r="H7" s="120">
        <v>1.2797099999999999</v>
      </c>
      <c r="I7" s="120">
        <v>2.2465700000000002</v>
      </c>
      <c r="J7" s="123"/>
      <c r="K7" s="123"/>
    </row>
    <row r="8" spans="1:11" x14ac:dyDescent="0.25">
      <c r="A8" s="29" t="str">
        <f t="shared" si="0"/>
        <v>FGENSUPPA003Q17JA</v>
      </c>
      <c r="B8" s="123" t="s">
        <v>385</v>
      </c>
      <c r="C8" s="123" t="s">
        <v>1492</v>
      </c>
      <c r="D8" s="120">
        <v>1.01718</v>
      </c>
      <c r="E8" s="120">
        <v>-2.01891</v>
      </c>
      <c r="F8" s="120">
        <v>-0.13309000000000001</v>
      </c>
      <c r="G8" s="120">
        <v>-0.70465000000000011</v>
      </c>
      <c r="H8" s="120">
        <v>0.14943999999999999</v>
      </c>
      <c r="I8" s="120">
        <v>0.68830000000000002</v>
      </c>
      <c r="J8" s="123"/>
      <c r="K8" s="123"/>
    </row>
    <row r="9" spans="1:11" x14ac:dyDescent="0.25">
      <c r="A9" s="29" t="str">
        <f t="shared" si="0"/>
        <v>FSCISUPPA003Q04NA</v>
      </c>
      <c r="B9" s="123" t="s">
        <v>386</v>
      </c>
      <c r="C9" s="123" t="s">
        <v>1494</v>
      </c>
      <c r="D9" s="120">
        <v>0.84013000000000015</v>
      </c>
      <c r="E9" s="120">
        <v>0.63000999999999996</v>
      </c>
      <c r="F9" s="120">
        <v>-0.70989000000000013</v>
      </c>
      <c r="G9" s="120">
        <v>-0.52520999999999995</v>
      </c>
      <c r="H9" s="120">
        <v>0.11486</v>
      </c>
      <c r="I9" s="120">
        <v>1.1202399999999999</v>
      </c>
      <c r="J9" s="123"/>
      <c r="K9" s="123"/>
    </row>
    <row r="10" spans="1:11" x14ac:dyDescent="0.25">
      <c r="A10" s="29" t="str">
        <f t="shared" si="0"/>
        <v>FSCISUPPA003Q06NA</v>
      </c>
      <c r="B10" s="123" t="s">
        <v>386</v>
      </c>
      <c r="C10" s="123" t="s">
        <v>1496</v>
      </c>
      <c r="D10" s="120">
        <v>1.23167</v>
      </c>
      <c r="E10" s="120">
        <v>1.2444200000000001</v>
      </c>
      <c r="F10" s="120">
        <v>-1.54582</v>
      </c>
      <c r="G10" s="120">
        <v>-0.35998000000000002</v>
      </c>
      <c r="H10" s="120">
        <v>0.55239000000000005</v>
      </c>
      <c r="I10" s="120">
        <v>1.35341</v>
      </c>
      <c r="J10" s="123"/>
      <c r="K10" s="123"/>
    </row>
    <row r="11" spans="1:11" x14ac:dyDescent="0.25">
      <c r="A11" s="29" t="str">
        <f t="shared" si="0"/>
        <v>FSCISUPPA003Q08NA</v>
      </c>
      <c r="B11" s="123" t="s">
        <v>386</v>
      </c>
      <c r="C11" s="123" t="s">
        <v>1500</v>
      </c>
      <c r="D11" s="120">
        <v>0.67107000000000017</v>
      </c>
      <c r="E11" s="120">
        <v>0.37148999999999999</v>
      </c>
      <c r="F11" s="120">
        <v>-0.56298000000000004</v>
      </c>
      <c r="G11" s="120">
        <v>-0.56991000000000003</v>
      </c>
      <c r="H11" s="120">
        <v>0.49645</v>
      </c>
      <c r="I11" s="120">
        <v>0.63644000000000012</v>
      </c>
      <c r="J11" s="123"/>
      <c r="K11" s="123"/>
    </row>
    <row r="12" spans="1:11" x14ac:dyDescent="0.25">
      <c r="A12" s="29" t="str">
        <f t="shared" si="0"/>
        <v>FSCISUPPA003Q21DA</v>
      </c>
      <c r="B12" s="123" t="s">
        <v>386</v>
      </c>
      <c r="C12" s="123" t="s">
        <v>1498</v>
      </c>
      <c r="D12" s="120">
        <v>0.97033999999999998</v>
      </c>
      <c r="E12" s="120">
        <v>0.48169000000000012</v>
      </c>
      <c r="F12" s="120">
        <v>-1.1352</v>
      </c>
      <c r="G12" s="120">
        <v>-0.64905000000000002</v>
      </c>
      <c r="H12" s="120">
        <v>0.60715999999999981</v>
      </c>
      <c r="I12" s="120">
        <v>1.17709</v>
      </c>
      <c r="J12" s="123"/>
      <c r="K12" s="123"/>
    </row>
    <row r="13" spans="1:11" x14ac:dyDescent="0.25">
      <c r="A13" s="29" t="str">
        <f t="shared" si="0"/>
        <v>PARINVOLPA008Q01TA</v>
      </c>
      <c r="B13" s="123" t="s">
        <v>342</v>
      </c>
      <c r="C13" s="123" t="s">
        <v>1502</v>
      </c>
      <c r="D13" s="120">
        <v>2.1192500000000001</v>
      </c>
      <c r="E13" s="120">
        <v>-0.71131999999999984</v>
      </c>
      <c r="F13" s="120"/>
      <c r="G13" s="120"/>
      <c r="H13" s="120"/>
      <c r="I13" s="120"/>
      <c r="J13" s="123"/>
      <c r="K13" s="123"/>
    </row>
    <row r="14" spans="1:11" x14ac:dyDescent="0.25">
      <c r="A14" s="29" t="str">
        <f t="shared" si="0"/>
        <v>PARINVOLPA008Q02TA</v>
      </c>
      <c r="B14" s="123" t="s">
        <v>342</v>
      </c>
      <c r="C14" s="123" t="s">
        <v>1504</v>
      </c>
      <c r="D14" s="120">
        <v>1.9207799999999999</v>
      </c>
      <c r="E14" s="120">
        <v>-0.15573999999999999</v>
      </c>
      <c r="F14" s="120"/>
      <c r="G14" s="120"/>
      <c r="H14" s="120"/>
      <c r="I14" s="120"/>
      <c r="J14" s="123"/>
      <c r="K14" s="123"/>
    </row>
    <row r="15" spans="1:11" x14ac:dyDescent="0.25">
      <c r="A15" s="29" t="str">
        <f t="shared" si="0"/>
        <v>PARINVOLPA008Q03TA</v>
      </c>
      <c r="B15" s="123" t="s">
        <v>342</v>
      </c>
      <c r="C15" s="123" t="s">
        <v>1506</v>
      </c>
      <c r="D15" s="120">
        <v>2.27651</v>
      </c>
      <c r="E15" s="120">
        <v>-0.77271999999999985</v>
      </c>
      <c r="F15" s="120"/>
      <c r="G15" s="120"/>
      <c r="H15" s="120"/>
      <c r="I15" s="120"/>
      <c r="J15" s="123"/>
      <c r="K15" s="123"/>
    </row>
    <row r="16" spans="1:11" x14ac:dyDescent="0.25">
      <c r="A16" s="29" t="str">
        <f t="shared" si="0"/>
        <v>PARINVOLPA008Q04TA</v>
      </c>
      <c r="B16" s="123" t="s">
        <v>342</v>
      </c>
      <c r="C16" s="123" t="s">
        <v>1508</v>
      </c>
      <c r="D16" s="120">
        <v>2.01797</v>
      </c>
      <c r="E16" s="120">
        <v>-0.38342999999999988</v>
      </c>
      <c r="F16" s="120"/>
      <c r="G16" s="120"/>
      <c r="H16" s="120"/>
      <c r="I16" s="120"/>
      <c r="J16" s="123"/>
      <c r="K16" s="123"/>
    </row>
    <row r="17" spans="1:11" x14ac:dyDescent="0.25">
      <c r="A17" s="29" t="str">
        <f t="shared" si="0"/>
        <v>PARINVOLPA008Q05TA</v>
      </c>
      <c r="B17" s="123" t="s">
        <v>342</v>
      </c>
      <c r="C17" s="123" t="s">
        <v>1510</v>
      </c>
      <c r="D17" s="120">
        <v>1.0436099999999999</v>
      </c>
      <c r="E17" s="120">
        <v>1.2668699999999999</v>
      </c>
      <c r="F17" s="120"/>
      <c r="G17" s="120"/>
      <c r="H17" s="120"/>
      <c r="I17" s="120"/>
      <c r="J17" s="123"/>
      <c r="K17" s="123"/>
    </row>
    <row r="18" spans="1:11" x14ac:dyDescent="0.25">
      <c r="A18" s="29" t="str">
        <f t="shared" si="0"/>
        <v>PARINVOLPA008Q05TA_UP</v>
      </c>
      <c r="B18" s="123" t="s">
        <v>342</v>
      </c>
      <c r="C18" s="123" t="s">
        <v>2870</v>
      </c>
      <c r="D18" s="120">
        <v>0.86394000000000015</v>
      </c>
      <c r="E18" s="120">
        <v>-0.43802000000000008</v>
      </c>
      <c r="F18" s="120"/>
      <c r="G18" s="120"/>
      <c r="H18" s="120"/>
      <c r="I18" s="120"/>
      <c r="J18" s="123" t="s">
        <v>748</v>
      </c>
      <c r="K18" s="123" t="s">
        <v>577</v>
      </c>
    </row>
    <row r="19" spans="1:11" x14ac:dyDescent="0.25">
      <c r="A19" s="29" t="str">
        <f t="shared" si="0"/>
        <v>PARINVOLPA008Q06NA</v>
      </c>
      <c r="B19" s="123" t="s">
        <v>342</v>
      </c>
      <c r="C19" s="123" t="s">
        <v>1512</v>
      </c>
      <c r="D19" s="120">
        <v>1.14259</v>
      </c>
      <c r="E19" s="120">
        <v>1.5013000000000001</v>
      </c>
      <c r="F19" s="120"/>
      <c r="G19" s="120"/>
      <c r="H19" s="120"/>
      <c r="I19" s="120"/>
      <c r="J19" s="123"/>
      <c r="K19" s="123"/>
    </row>
    <row r="20" spans="1:11" x14ac:dyDescent="0.25">
      <c r="A20" s="29" t="str">
        <f t="shared" si="0"/>
        <v>PARINVOLPA008Q07NA</v>
      </c>
      <c r="B20" s="123" t="s">
        <v>342</v>
      </c>
      <c r="C20" s="123" t="s">
        <v>1514</v>
      </c>
      <c r="D20" s="120">
        <v>1.42686</v>
      </c>
      <c r="E20" s="120">
        <v>1.8561399999999999</v>
      </c>
      <c r="F20" s="120"/>
      <c r="G20" s="120"/>
      <c r="H20" s="120"/>
      <c r="I20" s="120"/>
      <c r="J20" s="123"/>
      <c r="K20" s="123"/>
    </row>
    <row r="21" spans="1:11" x14ac:dyDescent="0.25">
      <c r="A21" s="29" t="str">
        <f t="shared" si="0"/>
        <v>PARINVOLPA008Q09NA</v>
      </c>
      <c r="B21" s="123" t="s">
        <v>342</v>
      </c>
      <c r="C21" s="123" t="s">
        <v>1516</v>
      </c>
      <c r="D21" s="120">
        <v>2.0466600000000001</v>
      </c>
      <c r="E21" s="120">
        <v>-0.65456000000000003</v>
      </c>
      <c r="F21" s="120"/>
      <c r="G21" s="120"/>
      <c r="H21" s="120"/>
      <c r="I21" s="120"/>
      <c r="J21" s="123"/>
      <c r="K21" s="123"/>
    </row>
    <row r="22" spans="1:11" x14ac:dyDescent="0.25">
      <c r="A22" s="29" t="str">
        <f t="shared" si="0"/>
        <v>PARINVOLPA008Q10NA</v>
      </c>
      <c r="B22" s="123" t="s">
        <v>342</v>
      </c>
      <c r="C22" s="123" t="s">
        <v>1518</v>
      </c>
      <c r="D22" s="120">
        <v>1.97719</v>
      </c>
      <c r="E22" s="120">
        <v>-2.801E-2</v>
      </c>
      <c r="F22" s="120"/>
      <c r="G22" s="120"/>
      <c r="H22" s="120"/>
      <c r="I22" s="120"/>
      <c r="J22" s="123"/>
      <c r="K22" s="123"/>
    </row>
    <row r="23" spans="1:11" x14ac:dyDescent="0.25">
      <c r="A23" s="29" t="str">
        <f t="shared" si="0"/>
        <v>PARINVOLPA008Q11DA</v>
      </c>
      <c r="B23" s="123" t="s">
        <v>342</v>
      </c>
      <c r="C23" s="123" t="s">
        <v>1520</v>
      </c>
      <c r="D23" s="120">
        <v>1.64655</v>
      </c>
      <c r="E23" s="120">
        <v>0.98314000000000012</v>
      </c>
      <c r="F23" s="120"/>
      <c r="G23" s="120"/>
      <c r="H23" s="120"/>
      <c r="I23" s="120"/>
      <c r="J23" s="123"/>
      <c r="K23" s="123"/>
    </row>
    <row r="24" spans="1:11" x14ac:dyDescent="0.25">
      <c r="A24" s="29" t="str">
        <f t="shared" si="0"/>
        <v>PARINVOLPA008Q12DA</v>
      </c>
      <c r="B24" s="123" t="s">
        <v>342</v>
      </c>
      <c r="C24" s="123" t="s">
        <v>1522</v>
      </c>
      <c r="D24" s="120">
        <v>1.7420800000000001</v>
      </c>
      <c r="E24" s="120">
        <v>0.98216999999999988</v>
      </c>
      <c r="F24" s="120"/>
      <c r="G24" s="120"/>
      <c r="H24" s="120"/>
      <c r="I24" s="120"/>
      <c r="J24" s="123"/>
      <c r="K24" s="123"/>
    </row>
    <row r="25" spans="1:11" x14ac:dyDescent="0.25">
      <c r="A25" s="29" t="str">
        <f t="shared" si="0"/>
        <v>PQDIGEFFPA205Q01DA</v>
      </c>
      <c r="B25" s="123" t="s">
        <v>387</v>
      </c>
      <c r="C25" s="123" t="s">
        <v>1590</v>
      </c>
      <c r="D25" s="120">
        <v>0.57777999999999985</v>
      </c>
      <c r="E25" s="120">
        <v>0.10505</v>
      </c>
      <c r="F25" s="120">
        <v>-1.26593</v>
      </c>
      <c r="G25" s="120">
        <v>-1.7793600000000001</v>
      </c>
      <c r="H25" s="120">
        <v>-1.459100000000001</v>
      </c>
      <c r="I25" s="120">
        <v>4.5043899999999999</v>
      </c>
      <c r="J25" s="123"/>
      <c r="K25" s="123"/>
    </row>
    <row r="26" spans="1:11" x14ac:dyDescent="0.25">
      <c r="A26" s="29" t="str">
        <f t="shared" si="0"/>
        <v>PQDIGEFFPA205Q02DA</v>
      </c>
      <c r="B26" s="123" t="s">
        <v>387</v>
      </c>
      <c r="C26" s="123" t="s">
        <v>1592</v>
      </c>
      <c r="D26" s="120">
        <v>0.67837000000000003</v>
      </c>
      <c r="E26" s="120">
        <v>5.9740000000000001E-2</v>
      </c>
      <c r="F26" s="120">
        <v>-1.58667</v>
      </c>
      <c r="G26" s="120">
        <v>-1.76535</v>
      </c>
      <c r="H26" s="120">
        <v>-0.84948999999999997</v>
      </c>
      <c r="I26" s="120">
        <v>4.201509999999999</v>
      </c>
      <c r="J26" s="123"/>
      <c r="K26" s="123"/>
    </row>
    <row r="27" spans="1:11" x14ac:dyDescent="0.25">
      <c r="A27" s="29" t="str">
        <f t="shared" si="0"/>
        <v>PQDIGEFFPA205Q03DA</v>
      </c>
      <c r="B27" s="123" t="s">
        <v>387</v>
      </c>
      <c r="C27" s="123" t="s">
        <v>1594</v>
      </c>
      <c r="D27" s="120">
        <v>1.02451</v>
      </c>
      <c r="E27" s="120">
        <v>0.27772999999999998</v>
      </c>
      <c r="F27" s="120">
        <v>-1.7538899999999999</v>
      </c>
      <c r="G27" s="120">
        <v>-1.3930499999999999</v>
      </c>
      <c r="H27" s="120">
        <v>-0.83367999999999998</v>
      </c>
      <c r="I27" s="120">
        <v>3.98062</v>
      </c>
      <c r="J27" s="123"/>
      <c r="K27" s="123"/>
    </row>
    <row r="28" spans="1:11" x14ac:dyDescent="0.25">
      <c r="A28" s="29" t="str">
        <f t="shared" si="0"/>
        <v>PQDIGEFFPA205Q04DA</v>
      </c>
      <c r="B28" s="123" t="s">
        <v>387</v>
      </c>
      <c r="C28" s="123" t="s">
        <v>1596</v>
      </c>
      <c r="D28" s="120">
        <v>1.56447</v>
      </c>
      <c r="E28" s="120">
        <v>0.78452999999999995</v>
      </c>
      <c r="F28" s="120">
        <v>-2.38306</v>
      </c>
      <c r="G28" s="120">
        <v>-1.64645</v>
      </c>
      <c r="H28" s="120">
        <v>-0.11024</v>
      </c>
      <c r="I28" s="120">
        <v>4.1397500000000003</v>
      </c>
      <c r="J28" s="123"/>
      <c r="K28" s="123"/>
    </row>
    <row r="29" spans="1:11" x14ac:dyDescent="0.25">
      <c r="A29" s="29" t="str">
        <f t="shared" si="0"/>
        <v>PQDIGEFFPA205Q05DA</v>
      </c>
      <c r="B29" s="123" t="s">
        <v>387</v>
      </c>
      <c r="C29" s="123" t="s">
        <v>1598</v>
      </c>
      <c r="D29" s="120">
        <v>1.6167899999999999</v>
      </c>
      <c r="E29" s="120">
        <v>1.0793299999999999</v>
      </c>
      <c r="F29" s="120">
        <v>-2.0472999999999999</v>
      </c>
      <c r="G29" s="120">
        <v>-1.2388399999999999</v>
      </c>
      <c r="H29" s="120">
        <v>0.45609000000000011</v>
      </c>
      <c r="I29" s="120">
        <v>2.83005</v>
      </c>
      <c r="J29" s="123"/>
      <c r="K29" s="123"/>
    </row>
    <row r="30" spans="1:11" x14ac:dyDescent="0.25">
      <c r="A30" s="29" t="str">
        <f t="shared" si="0"/>
        <v>PQDIGEFFPA205Q06DA</v>
      </c>
      <c r="B30" s="123" t="s">
        <v>387</v>
      </c>
      <c r="C30" s="123" t="s">
        <v>1600</v>
      </c>
      <c r="D30" s="120">
        <v>1.30992</v>
      </c>
      <c r="E30" s="120">
        <v>1.1347</v>
      </c>
      <c r="F30" s="120">
        <v>-1.2755799999999999</v>
      </c>
      <c r="G30" s="120">
        <v>-0.74124000000000001</v>
      </c>
      <c r="H30" s="120">
        <v>0.65102000000000004</v>
      </c>
      <c r="I30" s="120">
        <v>1.3657999999999999</v>
      </c>
      <c r="J30" s="123"/>
      <c r="K30" s="123"/>
    </row>
    <row r="31" spans="1:11" x14ac:dyDescent="0.25">
      <c r="A31" s="29" t="str">
        <f t="shared" si="0"/>
        <v>PQDIGEFFPA205Q07DA</v>
      </c>
      <c r="B31" s="123" t="s">
        <v>387</v>
      </c>
      <c r="C31" s="123" t="s">
        <v>1602</v>
      </c>
      <c r="D31" s="120">
        <v>1.0790500000000001</v>
      </c>
      <c r="E31" s="120">
        <v>1.28104</v>
      </c>
      <c r="F31" s="120">
        <v>-0.43240000000000001</v>
      </c>
      <c r="G31" s="120">
        <v>-0.45835999999999999</v>
      </c>
      <c r="H31" s="120">
        <v>0.44753999999999999</v>
      </c>
      <c r="I31" s="120">
        <v>0.44322000000000011</v>
      </c>
      <c r="J31" s="123"/>
      <c r="K31" s="123"/>
    </row>
    <row r="32" spans="1:11" x14ac:dyDescent="0.25">
      <c r="A32" s="29" t="str">
        <f t="shared" si="0"/>
        <v>PQDIGEFFPA205Q08DA</v>
      </c>
      <c r="B32" s="123" t="s">
        <v>387</v>
      </c>
      <c r="C32" s="123" t="s">
        <v>1604</v>
      </c>
      <c r="D32" s="120">
        <v>1.45</v>
      </c>
      <c r="E32" s="120">
        <v>0.9899</v>
      </c>
      <c r="F32" s="120">
        <v>-1.5089999999999999</v>
      </c>
      <c r="G32" s="120">
        <v>-1.2660199999999999</v>
      </c>
      <c r="H32" s="120">
        <v>-0.27239999999999998</v>
      </c>
      <c r="I32" s="120">
        <v>3.0474199999999998</v>
      </c>
      <c r="J32" s="123"/>
      <c r="K32" s="123"/>
    </row>
    <row r="33" spans="1:11" x14ac:dyDescent="0.25">
      <c r="A33" s="29" t="str">
        <f t="shared" si="0"/>
        <v>PQDIGEFFPA205Q09DA</v>
      </c>
      <c r="B33" s="123" t="s">
        <v>387</v>
      </c>
      <c r="C33" s="123" t="s">
        <v>1606</v>
      </c>
      <c r="D33" s="120">
        <v>1.4794799999999999</v>
      </c>
      <c r="E33" s="120">
        <v>1.53271</v>
      </c>
      <c r="F33" s="120">
        <v>-1.1296999999999999</v>
      </c>
      <c r="G33" s="120">
        <v>-0.90846000000000005</v>
      </c>
      <c r="H33" s="120">
        <v>0.46862999999999999</v>
      </c>
      <c r="I33" s="120">
        <v>1.5695300000000001</v>
      </c>
      <c r="J33" s="33"/>
      <c r="K33" s="33"/>
    </row>
    <row r="34" spans="1:11" x14ac:dyDescent="0.25">
      <c r="A34" s="29" t="str">
        <f t="shared" ref="A34:A65" si="1">_xlfn.CONCAT(B34,C34)</f>
        <v>PQDIGEFFPA205Q10DA</v>
      </c>
      <c r="B34" s="123" t="s">
        <v>387</v>
      </c>
      <c r="C34" s="123" t="s">
        <v>1608</v>
      </c>
      <c r="D34" s="120">
        <v>1.6011</v>
      </c>
      <c r="E34" s="120">
        <v>1.08639</v>
      </c>
      <c r="F34" s="120">
        <v>-1.70208</v>
      </c>
      <c r="G34" s="120">
        <v>-1.27928</v>
      </c>
      <c r="H34" s="120">
        <v>-0.15783000000000011</v>
      </c>
      <c r="I34" s="120">
        <v>3.1391899999999988</v>
      </c>
      <c r="J34" s="33"/>
      <c r="K34" s="33"/>
    </row>
    <row r="35" spans="1:11" x14ac:dyDescent="0.25">
      <c r="A35" s="29" t="str">
        <f t="shared" si="1"/>
        <v>PQDIGEFFPA205Q11DA</v>
      </c>
      <c r="B35" s="123" t="s">
        <v>387</v>
      </c>
      <c r="C35" s="123" t="s">
        <v>1610</v>
      </c>
      <c r="D35" s="120">
        <v>1.35026</v>
      </c>
      <c r="E35" s="120">
        <v>1.26735</v>
      </c>
      <c r="F35" s="120">
        <v>-1.4102699999999999</v>
      </c>
      <c r="G35" s="120">
        <v>-1.21452</v>
      </c>
      <c r="H35" s="120">
        <v>0.12831999999999999</v>
      </c>
      <c r="I35" s="120">
        <v>2.49647</v>
      </c>
      <c r="J35" s="33"/>
      <c r="K35" s="33"/>
    </row>
    <row r="36" spans="1:11" x14ac:dyDescent="0.25">
      <c r="A36" s="29" t="str">
        <f t="shared" si="1"/>
        <v>PQDIGEFFPA205Q12DA</v>
      </c>
      <c r="B36" s="123" t="s">
        <v>387</v>
      </c>
      <c r="C36" s="123" t="s">
        <v>1612</v>
      </c>
      <c r="D36" s="120">
        <v>1.1887099999999999</v>
      </c>
      <c r="E36" s="120">
        <v>0.98541000000000001</v>
      </c>
      <c r="F36" s="120">
        <v>-1.2607900000000001</v>
      </c>
      <c r="G36" s="120">
        <v>-1.0912900000000001</v>
      </c>
      <c r="H36" s="120">
        <v>0.19403999999999999</v>
      </c>
      <c r="I36" s="120">
        <v>2.1580400000000002</v>
      </c>
      <c r="J36" s="33"/>
      <c r="K36" s="33"/>
    </row>
    <row r="37" spans="1:11" x14ac:dyDescent="0.25">
      <c r="A37" s="29" t="str">
        <f t="shared" si="1"/>
        <v>PQDIGEFFPA205Q13DA</v>
      </c>
      <c r="B37" s="123" t="s">
        <v>387</v>
      </c>
      <c r="C37" s="123" t="s">
        <v>1614</v>
      </c>
      <c r="D37" s="120">
        <v>1.0115000000000001</v>
      </c>
      <c r="E37" s="120">
        <v>0.70853000000000022</v>
      </c>
      <c r="F37" s="120">
        <v>-0.84119000000000022</v>
      </c>
      <c r="G37" s="120">
        <v>-1.17215</v>
      </c>
      <c r="H37" s="120">
        <v>-0.14756</v>
      </c>
      <c r="I37" s="120">
        <v>2.1608999999999998</v>
      </c>
      <c r="J37" s="33"/>
      <c r="K37" s="33"/>
    </row>
    <row r="38" spans="1:11" x14ac:dyDescent="0.25">
      <c r="A38" s="29" t="str">
        <f t="shared" si="1"/>
        <v>PQENPERCPA035Q01TA</v>
      </c>
      <c r="B38" s="123" t="s">
        <v>343</v>
      </c>
      <c r="C38" s="123" t="s">
        <v>1534</v>
      </c>
      <c r="D38" s="120">
        <v>1.71644</v>
      </c>
      <c r="E38" s="120">
        <v>-0.68225000000000002</v>
      </c>
      <c r="F38" s="120">
        <v>-0.54025000000000001</v>
      </c>
      <c r="G38" s="120">
        <v>6.6699999999999982E-2</v>
      </c>
      <c r="H38" s="120">
        <v>0.47355000000000008</v>
      </c>
      <c r="I38" s="120"/>
      <c r="J38" s="33"/>
      <c r="K38" s="33"/>
    </row>
    <row r="39" spans="1:11" x14ac:dyDescent="0.25">
      <c r="A39" s="29" t="str">
        <f t="shared" si="1"/>
        <v>PQENPERCPA035Q02TA</v>
      </c>
      <c r="B39" s="123" t="s">
        <v>343</v>
      </c>
      <c r="C39" s="123" t="s">
        <v>1536</v>
      </c>
      <c r="D39" s="120">
        <v>1.78091</v>
      </c>
      <c r="E39" s="120">
        <v>2.894999999999999E-2</v>
      </c>
      <c r="F39" s="120">
        <v>-1.1063000000000001</v>
      </c>
      <c r="G39" s="120">
        <v>0.10743999999999999</v>
      </c>
      <c r="H39" s="120">
        <v>0.99886000000000019</v>
      </c>
      <c r="I39" s="120"/>
      <c r="J39" s="33"/>
      <c r="K39" s="33"/>
    </row>
    <row r="40" spans="1:11" x14ac:dyDescent="0.25">
      <c r="A40" s="29" t="str">
        <f t="shared" si="1"/>
        <v>PQENPERCPA035Q03TA</v>
      </c>
      <c r="B40" s="123" t="s">
        <v>343</v>
      </c>
      <c r="C40" s="123" t="s">
        <v>1538</v>
      </c>
      <c r="D40" s="120">
        <v>1.85727</v>
      </c>
      <c r="E40" s="120">
        <v>0.23691000000000001</v>
      </c>
      <c r="F40" s="120">
        <v>-1.52468</v>
      </c>
      <c r="G40" s="120">
        <v>0.44785000000000003</v>
      </c>
      <c r="H40" s="120">
        <v>1.07683</v>
      </c>
      <c r="I40" s="120"/>
      <c r="J40" s="33"/>
      <c r="K40" s="33"/>
    </row>
    <row r="41" spans="1:11" x14ac:dyDescent="0.25">
      <c r="A41" s="29" t="str">
        <f t="shared" si="1"/>
        <v>PQENPERCPA035Q04TA</v>
      </c>
      <c r="B41" s="123" t="s">
        <v>343</v>
      </c>
      <c r="C41" s="123" t="s">
        <v>1540</v>
      </c>
      <c r="D41" s="120">
        <v>1.9138900000000001</v>
      </c>
      <c r="E41" s="120">
        <v>0.26380999999999988</v>
      </c>
      <c r="F41" s="120">
        <v>-1.6994199999999999</v>
      </c>
      <c r="G41" s="120">
        <v>1.23102</v>
      </c>
      <c r="H41" s="120">
        <v>0.46839999999999993</v>
      </c>
      <c r="I41" s="120"/>
      <c r="J41" s="33"/>
      <c r="K41" s="33"/>
    </row>
    <row r="42" spans="1:11" x14ac:dyDescent="0.25">
      <c r="A42" s="29" t="str">
        <f t="shared" si="1"/>
        <v>PQENPERCPA035Q05TA</v>
      </c>
      <c r="B42" s="123" t="s">
        <v>343</v>
      </c>
      <c r="C42" s="123" t="s">
        <v>1542</v>
      </c>
      <c r="D42" s="120">
        <v>1.82216</v>
      </c>
      <c r="E42" s="120">
        <v>-5.8659999999999983E-2</v>
      </c>
      <c r="F42" s="120">
        <v>-1.52806</v>
      </c>
      <c r="G42" s="120">
        <v>0.85192999999999997</v>
      </c>
      <c r="H42" s="120">
        <v>0.67613000000000001</v>
      </c>
      <c r="I42" s="120"/>
      <c r="J42" s="33"/>
      <c r="K42" s="33"/>
    </row>
    <row r="43" spans="1:11" x14ac:dyDescent="0.25">
      <c r="A43" s="29" t="str">
        <f t="shared" si="1"/>
        <v>PQENPERCPA035Q06TA</v>
      </c>
      <c r="B43" s="123" t="s">
        <v>343</v>
      </c>
      <c r="C43" s="123" t="s">
        <v>1544</v>
      </c>
      <c r="D43" s="120">
        <v>1.6543600000000001</v>
      </c>
      <c r="E43" s="120">
        <v>0.16974</v>
      </c>
      <c r="F43" s="120">
        <v>-1.51433</v>
      </c>
      <c r="G43" s="120">
        <v>0.83904000000000001</v>
      </c>
      <c r="H43" s="120">
        <v>0.67528999999999995</v>
      </c>
      <c r="I43" s="120"/>
      <c r="J43" s="33"/>
      <c r="K43" s="33"/>
    </row>
    <row r="44" spans="1:11" x14ac:dyDescent="0.25">
      <c r="A44" s="29" t="str">
        <f t="shared" si="1"/>
        <v>PQENPERCPA035Q07NA</v>
      </c>
      <c r="B44" s="123" t="s">
        <v>343</v>
      </c>
      <c r="C44" s="123" t="s">
        <v>1546</v>
      </c>
      <c r="D44" s="120">
        <v>1.72688</v>
      </c>
      <c r="E44" s="120">
        <v>0.20807</v>
      </c>
      <c r="F44" s="120">
        <v>-0.92596000000000001</v>
      </c>
      <c r="G44" s="120">
        <v>0.33317000000000002</v>
      </c>
      <c r="H44" s="120">
        <v>0.59279000000000004</v>
      </c>
      <c r="I44" s="120"/>
      <c r="J44" s="33"/>
      <c r="K44" s="33"/>
    </row>
    <row r="45" spans="1:11" x14ac:dyDescent="0.25">
      <c r="A45" s="29" t="str">
        <f t="shared" si="1"/>
        <v>PQENPERCPA035Q09DA</v>
      </c>
      <c r="B45" s="123" t="s">
        <v>343</v>
      </c>
      <c r="C45" s="123" t="s">
        <v>1550</v>
      </c>
      <c r="D45" s="120">
        <v>2.32918</v>
      </c>
      <c r="E45" s="120">
        <v>0.44346999999999992</v>
      </c>
      <c r="F45" s="120">
        <v>-0.82996999999999999</v>
      </c>
      <c r="G45" s="120">
        <v>-0.29544999999999999</v>
      </c>
      <c r="H45" s="120">
        <v>1.1254200000000001</v>
      </c>
      <c r="I45" s="120"/>
      <c r="J45" s="33"/>
      <c r="K45" s="33"/>
    </row>
    <row r="46" spans="1:11" x14ac:dyDescent="0.25">
      <c r="A46" s="29" t="str">
        <f t="shared" si="1"/>
        <v>PQENPERCPA035Q10DA</v>
      </c>
      <c r="B46" s="123" t="s">
        <v>343</v>
      </c>
      <c r="C46" s="123" t="s">
        <v>1552</v>
      </c>
      <c r="D46" s="120">
        <v>2.3790900000000001</v>
      </c>
      <c r="E46" s="120">
        <v>0.29371000000000008</v>
      </c>
      <c r="F46" s="120">
        <v>-0.82709999999999995</v>
      </c>
      <c r="G46" s="120">
        <v>-0.21612999999999999</v>
      </c>
      <c r="H46" s="120">
        <v>1.0432300000000001</v>
      </c>
      <c r="I46" s="120"/>
      <c r="J46" s="33"/>
      <c r="K46" s="33"/>
    </row>
    <row r="47" spans="1:11" x14ac:dyDescent="0.25">
      <c r="A47" s="29" t="str">
        <f t="shared" si="1"/>
        <v>PQENPERCPA035Q11DA</v>
      </c>
      <c r="B47" s="123" t="s">
        <v>343</v>
      </c>
      <c r="C47" s="123" t="s">
        <v>1554</v>
      </c>
      <c r="D47" s="120">
        <v>2.67557</v>
      </c>
      <c r="E47" s="120">
        <v>-0.17585000000000001</v>
      </c>
      <c r="F47" s="120">
        <v>-1.6822600000000001</v>
      </c>
      <c r="G47" s="120">
        <v>0.53819000000000006</v>
      </c>
      <c r="H47" s="120">
        <v>1.1440699999999999</v>
      </c>
      <c r="I47" s="120"/>
      <c r="J47" s="33"/>
      <c r="K47" s="33"/>
    </row>
    <row r="48" spans="1:11" x14ac:dyDescent="0.25">
      <c r="A48" s="29" t="str">
        <f t="shared" si="1"/>
        <v>PQENPERCPA035Q12DA</v>
      </c>
      <c r="B48" s="123" t="s">
        <v>343</v>
      </c>
      <c r="C48" s="123" t="s">
        <v>1548</v>
      </c>
      <c r="D48" s="120">
        <v>1.52704</v>
      </c>
      <c r="E48" s="120">
        <v>2.5200000000000001E-3</v>
      </c>
      <c r="F48" s="120">
        <v>-1.0785800000000001</v>
      </c>
      <c r="G48" s="120">
        <v>0.53082999999999991</v>
      </c>
      <c r="H48" s="120">
        <v>0.54774999999999996</v>
      </c>
      <c r="I48" s="120"/>
      <c r="J48" s="33"/>
      <c r="K48" s="33"/>
    </row>
    <row r="49" spans="1:11" x14ac:dyDescent="0.25">
      <c r="A49" s="29" t="str">
        <f t="shared" si="1"/>
        <v>PQENVOPTPA036Q01TA</v>
      </c>
      <c r="B49" s="123" t="s">
        <v>344</v>
      </c>
      <c r="C49" s="123" t="s">
        <v>1580</v>
      </c>
      <c r="D49" s="120">
        <v>1.4588000000000001</v>
      </c>
      <c r="E49" s="120">
        <v>-1.5270000000000001E-2</v>
      </c>
      <c r="F49" s="120">
        <v>-0.11371000000000001</v>
      </c>
      <c r="G49" s="120">
        <v>0.11371000000000001</v>
      </c>
      <c r="H49" s="120"/>
      <c r="I49" s="120"/>
      <c r="J49" s="33"/>
      <c r="K49" s="33"/>
    </row>
    <row r="50" spans="1:11" x14ac:dyDescent="0.25">
      <c r="A50" s="29" t="str">
        <f t="shared" si="1"/>
        <v>PQENVOPTPA036Q03TA</v>
      </c>
      <c r="B50" s="123" t="s">
        <v>344</v>
      </c>
      <c r="C50" s="123" t="s">
        <v>1582</v>
      </c>
      <c r="D50" s="120">
        <v>2.0524300000000002</v>
      </c>
      <c r="E50" s="120">
        <v>1.5350000000000001E-2</v>
      </c>
      <c r="F50" s="120">
        <v>-0.89792000000000005</v>
      </c>
      <c r="G50" s="120">
        <v>0.89792000000000005</v>
      </c>
      <c r="H50" s="120"/>
      <c r="I50" s="120"/>
      <c r="J50" s="33"/>
      <c r="K50" s="33"/>
    </row>
    <row r="51" spans="1:11" x14ac:dyDescent="0.25">
      <c r="A51" s="29" t="str">
        <f t="shared" si="1"/>
        <v>PQENVOPTPA036Q04TA</v>
      </c>
      <c r="B51" s="123" t="s">
        <v>344</v>
      </c>
      <c r="C51" s="123" t="s">
        <v>1584</v>
      </c>
      <c r="D51" s="120">
        <v>1.7755099999999999</v>
      </c>
      <c r="E51" s="120">
        <v>8.771000000000001E-2</v>
      </c>
      <c r="F51" s="120">
        <v>-0.56647999999999998</v>
      </c>
      <c r="G51" s="120">
        <v>0.56647999999999998</v>
      </c>
      <c r="H51" s="120"/>
      <c r="I51" s="120"/>
      <c r="J51" s="33"/>
      <c r="K51" s="33"/>
    </row>
    <row r="52" spans="1:11" x14ac:dyDescent="0.25">
      <c r="A52" s="29" t="str">
        <f t="shared" si="1"/>
        <v>PQENVOPTPA036Q05TA</v>
      </c>
      <c r="B52" s="123" t="s">
        <v>344</v>
      </c>
      <c r="C52" s="123" t="s">
        <v>1586</v>
      </c>
      <c r="D52" s="120">
        <v>2.05064</v>
      </c>
      <c r="E52" s="120">
        <v>-1.507E-2</v>
      </c>
      <c r="F52" s="120">
        <v>-0.87248999999999999</v>
      </c>
      <c r="G52" s="120">
        <v>0.87248999999999999</v>
      </c>
      <c r="H52" s="120"/>
      <c r="I52" s="120"/>
      <c r="J52" s="33"/>
      <c r="K52" s="33"/>
    </row>
    <row r="53" spans="1:11" x14ac:dyDescent="0.25">
      <c r="A53" s="29" t="str">
        <f t="shared" si="1"/>
        <v>PQENVOPTPA036Q06TA</v>
      </c>
      <c r="B53" s="123" t="s">
        <v>344</v>
      </c>
      <c r="C53" s="123" t="s">
        <v>1588</v>
      </c>
      <c r="D53" s="120">
        <v>1.51711</v>
      </c>
      <c r="E53" s="120">
        <v>-3.406E-2</v>
      </c>
      <c r="F53" s="120">
        <v>-0.63087999999999989</v>
      </c>
      <c r="G53" s="120">
        <v>0.63087999999999989</v>
      </c>
      <c r="H53" s="120"/>
      <c r="I53" s="120"/>
      <c r="J53" s="33"/>
      <c r="K53" s="33"/>
    </row>
    <row r="54" spans="1:11" x14ac:dyDescent="0.25">
      <c r="A54" s="29" t="str">
        <f t="shared" si="1"/>
        <v>PQFEEDPA401Q01DA</v>
      </c>
      <c r="B54" s="123" t="s">
        <v>388</v>
      </c>
      <c r="C54" s="123" t="s">
        <v>1616</v>
      </c>
      <c r="D54" s="120">
        <v>1.9756400000000001</v>
      </c>
      <c r="E54" s="120">
        <v>-2.0407000000000002</v>
      </c>
      <c r="F54" s="120">
        <v>-1.0329900000000001</v>
      </c>
      <c r="G54" s="120">
        <v>-1.49902</v>
      </c>
      <c r="H54" s="120">
        <v>2.5320100000000001</v>
      </c>
      <c r="I54" s="120"/>
      <c r="J54" s="33"/>
      <c r="K54" s="33"/>
    </row>
    <row r="55" spans="1:11" x14ac:dyDescent="0.25">
      <c r="A55" s="29" t="str">
        <f t="shared" si="1"/>
        <v>PQFEEDPA401Q02DA</v>
      </c>
      <c r="B55" s="123" t="s">
        <v>388</v>
      </c>
      <c r="C55" s="123" t="s">
        <v>1618</v>
      </c>
      <c r="D55" s="120">
        <v>1.0823100000000001</v>
      </c>
      <c r="E55" s="120">
        <v>-0.99129000000000012</v>
      </c>
      <c r="F55" s="120">
        <v>-1.3422499999999999</v>
      </c>
      <c r="G55" s="120">
        <v>-0.51831000000000005</v>
      </c>
      <c r="H55" s="120">
        <v>1.86056</v>
      </c>
      <c r="I55" s="120"/>
      <c r="J55" s="33"/>
      <c r="K55" s="33"/>
    </row>
    <row r="56" spans="1:11" x14ac:dyDescent="0.25">
      <c r="A56" s="29" t="str">
        <f t="shared" si="1"/>
        <v>PQFEEDPA401Q03DA</v>
      </c>
      <c r="B56" s="123" t="s">
        <v>388</v>
      </c>
      <c r="C56" s="123" t="s">
        <v>1620</v>
      </c>
      <c r="D56" s="120">
        <v>2.0788099999999998</v>
      </c>
      <c r="E56" s="120">
        <v>-2.358470000000001</v>
      </c>
      <c r="F56" s="120">
        <v>-1.4712700000000001</v>
      </c>
      <c r="G56" s="120">
        <v>-1.4655400000000001</v>
      </c>
      <c r="H56" s="120">
        <v>2.9368100000000008</v>
      </c>
      <c r="I56" s="120"/>
      <c r="J56" s="33"/>
      <c r="K56" s="33"/>
    </row>
    <row r="57" spans="1:11" x14ac:dyDescent="0.25">
      <c r="A57" s="29" t="str">
        <f t="shared" si="1"/>
        <v>PQFEEDPA401Q04DA</v>
      </c>
      <c r="B57" s="123" t="s">
        <v>388</v>
      </c>
      <c r="C57" s="123" t="s">
        <v>1622</v>
      </c>
      <c r="D57" s="120">
        <v>3.3734000000000011</v>
      </c>
      <c r="E57" s="120">
        <v>-4.0718600000000009</v>
      </c>
      <c r="F57" s="120">
        <v>-1.70834</v>
      </c>
      <c r="G57" s="120">
        <v>-1.94587</v>
      </c>
      <c r="H57" s="120">
        <v>3.65421</v>
      </c>
      <c r="I57" s="120"/>
      <c r="J57" s="33"/>
      <c r="K57" s="33"/>
    </row>
    <row r="58" spans="1:11" x14ac:dyDescent="0.25">
      <c r="A58" s="29" t="str">
        <f t="shared" si="1"/>
        <v>PQFEEDPA401Q05DA</v>
      </c>
      <c r="B58" s="123" t="s">
        <v>388</v>
      </c>
      <c r="C58" s="123" t="s">
        <v>1624</v>
      </c>
      <c r="D58" s="120">
        <v>2.3854700000000002</v>
      </c>
      <c r="E58" s="120">
        <v>-2.7995899999999998</v>
      </c>
      <c r="F58" s="120">
        <v>-1.2962400000000001</v>
      </c>
      <c r="G58" s="120">
        <v>-1.88073</v>
      </c>
      <c r="H58" s="120">
        <v>3.1769700000000012</v>
      </c>
      <c r="I58" s="120"/>
      <c r="J58" s="33"/>
      <c r="K58" s="33"/>
    </row>
    <row r="59" spans="1:11" x14ac:dyDescent="0.25">
      <c r="A59" s="29" t="str">
        <f t="shared" si="1"/>
        <v>PQGENSCIPA033Q02TA</v>
      </c>
      <c r="B59" s="123" t="s">
        <v>436</v>
      </c>
      <c r="C59" s="123" t="s">
        <v>1570</v>
      </c>
      <c r="D59" s="120">
        <v>1.7171000000000001</v>
      </c>
      <c r="E59" s="120">
        <v>-0.64210999999999985</v>
      </c>
      <c r="F59" s="120">
        <v>-2.190970000000001</v>
      </c>
      <c r="G59" s="120">
        <v>-1.6980900000000001</v>
      </c>
      <c r="H59" s="120">
        <v>3.8890600000000002</v>
      </c>
      <c r="I59" s="120"/>
      <c r="J59" s="33"/>
      <c r="K59" s="33"/>
    </row>
    <row r="60" spans="1:11" x14ac:dyDescent="0.25">
      <c r="A60" s="29" t="str">
        <f t="shared" si="1"/>
        <v>PQGENSCIPA033Q06TA</v>
      </c>
      <c r="B60" s="123" t="s">
        <v>436</v>
      </c>
      <c r="C60" s="123" t="s">
        <v>1572</v>
      </c>
      <c r="D60" s="120">
        <v>1.9064000000000001</v>
      </c>
      <c r="E60" s="120">
        <v>-0.40921000000000002</v>
      </c>
      <c r="F60" s="120">
        <v>-2.7808000000000002</v>
      </c>
      <c r="G60" s="120">
        <v>-1.5009600000000001</v>
      </c>
      <c r="H60" s="120">
        <v>4.2817600000000011</v>
      </c>
      <c r="I60" s="120"/>
      <c r="J60" s="33"/>
      <c r="K60" s="33"/>
    </row>
    <row r="61" spans="1:11" x14ac:dyDescent="0.25">
      <c r="A61" s="29" t="str">
        <f t="shared" si="1"/>
        <v>PQGENSCIPA033Q07TA</v>
      </c>
      <c r="B61" s="123" t="s">
        <v>436</v>
      </c>
      <c r="C61" s="123" t="s">
        <v>1574</v>
      </c>
      <c r="D61" s="120">
        <v>1.7118500000000001</v>
      </c>
      <c r="E61" s="120">
        <v>1.1027199999999999</v>
      </c>
      <c r="F61" s="120">
        <v>-3.50773</v>
      </c>
      <c r="G61" s="120">
        <v>-0.52805000000000002</v>
      </c>
      <c r="H61" s="120">
        <v>4.035779999999999</v>
      </c>
      <c r="I61" s="120"/>
      <c r="J61" s="33"/>
      <c r="K61" s="33"/>
    </row>
    <row r="62" spans="1:11" x14ac:dyDescent="0.25">
      <c r="A62" s="29" t="str">
        <f t="shared" si="1"/>
        <v>PQGENSCIPA033Q08TA</v>
      </c>
      <c r="B62" s="123" t="s">
        <v>436</v>
      </c>
      <c r="C62" s="123" t="s">
        <v>1576</v>
      </c>
      <c r="D62" s="120">
        <v>2.2828300000000001</v>
      </c>
      <c r="E62" s="120">
        <v>0.84684000000000015</v>
      </c>
      <c r="F62" s="120">
        <v>-4.1697499999999996</v>
      </c>
      <c r="G62" s="120">
        <v>-1.14571</v>
      </c>
      <c r="H62" s="120">
        <v>5.3154599999999999</v>
      </c>
      <c r="I62" s="120"/>
      <c r="J62" s="33"/>
      <c r="K62" s="33"/>
    </row>
    <row r="63" spans="1:11" x14ac:dyDescent="0.25">
      <c r="A63" s="29" t="str">
        <f t="shared" si="1"/>
        <v>PQGENSCIPA033Q09TA</v>
      </c>
      <c r="B63" s="123" t="s">
        <v>436</v>
      </c>
      <c r="C63" s="123" t="s">
        <v>1578</v>
      </c>
      <c r="D63" s="120">
        <v>1.2142299999999999</v>
      </c>
      <c r="E63" s="120">
        <v>-7.2759999999999977E-2</v>
      </c>
      <c r="F63" s="120">
        <v>-2.1747000000000001</v>
      </c>
      <c r="G63" s="120">
        <v>-0.81359999999999988</v>
      </c>
      <c r="H63" s="120">
        <v>2.9883000000000002</v>
      </c>
      <c r="I63" s="120"/>
      <c r="J63" s="33"/>
      <c r="K63" s="33"/>
    </row>
    <row r="64" spans="1:11" x14ac:dyDescent="0.25">
      <c r="A64" s="29" t="str">
        <f t="shared" si="1"/>
        <v>PQSCARPA032Q01TA</v>
      </c>
      <c r="B64" s="123" t="s">
        <v>389</v>
      </c>
      <c r="C64" s="123" t="s">
        <v>1640</v>
      </c>
      <c r="D64" s="120">
        <v>0.63358999999999999</v>
      </c>
      <c r="E64" s="120">
        <v>0.91008999999999995</v>
      </c>
      <c r="F64" s="120"/>
      <c r="G64" s="120"/>
      <c r="H64" s="120"/>
      <c r="I64" s="120"/>
      <c r="J64" s="33"/>
      <c r="K64" s="33"/>
    </row>
    <row r="65" spans="1:11" x14ac:dyDescent="0.25">
      <c r="A65" s="29" t="str">
        <f t="shared" si="1"/>
        <v>PQSCARPA032Q02TA</v>
      </c>
      <c r="B65" s="123" t="s">
        <v>389</v>
      </c>
      <c r="C65" s="123" t="s">
        <v>1642</v>
      </c>
      <c r="D65" s="120">
        <v>3.562720000000001</v>
      </c>
      <c r="E65" s="120">
        <v>1.19617</v>
      </c>
      <c r="F65" s="120"/>
      <c r="G65" s="120"/>
      <c r="H65" s="120"/>
      <c r="I65" s="120"/>
      <c r="J65" s="123"/>
      <c r="K65" s="123"/>
    </row>
    <row r="66" spans="1:11" x14ac:dyDescent="0.25">
      <c r="A66" s="29" t="str">
        <f t="shared" ref="A66:A97" si="2">_xlfn.CONCAT(B66,C66)</f>
        <v>PQSCARPA032Q03TA</v>
      </c>
      <c r="B66" s="123" t="s">
        <v>389</v>
      </c>
      <c r="C66" s="123" t="s">
        <v>1644</v>
      </c>
      <c r="D66" s="120">
        <v>5</v>
      </c>
      <c r="E66" s="120">
        <v>1.2705299999999999</v>
      </c>
      <c r="F66" s="120"/>
      <c r="G66" s="120"/>
      <c r="H66" s="120"/>
      <c r="I66" s="120"/>
      <c r="J66" s="123"/>
      <c r="K66" s="123"/>
    </row>
    <row r="67" spans="1:11" x14ac:dyDescent="0.25">
      <c r="A67" s="29" t="str">
        <f t="shared" si="2"/>
        <v>PQSCARPA032Q04TA</v>
      </c>
      <c r="B67" s="123" t="s">
        <v>389</v>
      </c>
      <c r="C67" s="123" t="s">
        <v>1646</v>
      </c>
      <c r="D67" s="120">
        <v>5</v>
      </c>
      <c r="E67" s="120">
        <v>1.82883</v>
      </c>
      <c r="F67" s="120"/>
      <c r="G67" s="120"/>
      <c r="H67" s="120"/>
      <c r="I67" s="120"/>
      <c r="J67" s="123"/>
      <c r="K67" s="123"/>
    </row>
    <row r="68" spans="1:11" x14ac:dyDescent="0.25">
      <c r="A68" s="29" t="str">
        <f t="shared" si="2"/>
        <v>PQSCARPA032Q05TA</v>
      </c>
      <c r="B68" s="123" t="s">
        <v>389</v>
      </c>
      <c r="C68" s="123" t="s">
        <v>1648</v>
      </c>
      <c r="D68" s="120">
        <v>5</v>
      </c>
      <c r="E68" s="120">
        <v>1.3752800000000001</v>
      </c>
      <c r="F68" s="120"/>
      <c r="G68" s="120"/>
      <c r="H68" s="120"/>
      <c r="I68" s="120"/>
      <c r="J68" s="123"/>
      <c r="K68" s="123"/>
    </row>
    <row r="69" spans="1:11" x14ac:dyDescent="0.25">
      <c r="A69" s="29" t="str">
        <f t="shared" si="2"/>
        <v>PQSCARPA032Q05TA_DOWN</v>
      </c>
      <c r="B69" s="123" t="s">
        <v>389</v>
      </c>
      <c r="C69" s="123" t="s">
        <v>2871</v>
      </c>
      <c r="D69" s="120">
        <v>1.7669299999999999</v>
      </c>
      <c r="E69" s="120">
        <v>1.97374</v>
      </c>
      <c r="F69" s="120"/>
      <c r="G69" s="120"/>
      <c r="H69" s="120"/>
      <c r="I69" s="120"/>
      <c r="J69" s="123" t="s">
        <v>2872</v>
      </c>
      <c r="K69" s="123" t="s">
        <v>674</v>
      </c>
    </row>
    <row r="70" spans="1:11" x14ac:dyDescent="0.25">
      <c r="A70" s="29" t="str">
        <f t="shared" si="2"/>
        <v>PQSCHOOLPA007Q01TA</v>
      </c>
      <c r="B70" s="123" t="s">
        <v>345</v>
      </c>
      <c r="C70" s="123" t="s">
        <v>1626</v>
      </c>
      <c r="D70" s="120">
        <v>1.39392</v>
      </c>
      <c r="E70" s="120">
        <v>-0.34143000000000001</v>
      </c>
      <c r="F70" s="120">
        <v>-2.066380000000001</v>
      </c>
      <c r="G70" s="120">
        <v>-1.2554000000000001</v>
      </c>
      <c r="H70" s="120">
        <v>3.32178</v>
      </c>
      <c r="I70" s="120"/>
      <c r="J70" s="123"/>
      <c r="K70" s="123"/>
    </row>
    <row r="71" spans="1:11" x14ac:dyDescent="0.25">
      <c r="A71" s="29" t="str">
        <f t="shared" si="2"/>
        <v>PQSCHOOLPA007Q02TA</v>
      </c>
      <c r="B71" s="123" t="s">
        <v>345</v>
      </c>
      <c r="C71" s="123" t="s">
        <v>1628</v>
      </c>
      <c r="D71" s="120">
        <v>0.82955999999999996</v>
      </c>
      <c r="E71" s="120">
        <v>-6.6070000000000004E-2</v>
      </c>
      <c r="F71" s="120">
        <v>-2.176600000000001</v>
      </c>
      <c r="G71" s="120">
        <v>-0.29176999999999997</v>
      </c>
      <c r="H71" s="120">
        <v>2.4683700000000011</v>
      </c>
      <c r="I71" s="120"/>
      <c r="J71" s="123"/>
      <c r="K71" s="123"/>
    </row>
    <row r="72" spans="1:11" x14ac:dyDescent="0.25">
      <c r="A72" s="29" t="str">
        <f t="shared" si="2"/>
        <v>PQSCHOOLPA007Q04TA</v>
      </c>
      <c r="B72" s="123" t="s">
        <v>345</v>
      </c>
      <c r="C72" s="123" t="s">
        <v>1634</v>
      </c>
      <c r="D72" s="120">
        <v>1.4803900000000001</v>
      </c>
      <c r="E72" s="120">
        <v>-2.9250000000000009E-2</v>
      </c>
      <c r="F72" s="120">
        <v>-2.2128399999999999</v>
      </c>
      <c r="G72" s="120">
        <v>-1.0072099999999999</v>
      </c>
      <c r="H72" s="120">
        <v>3.2200500000000001</v>
      </c>
      <c r="I72" s="120"/>
      <c r="J72" s="123"/>
      <c r="K72" s="123"/>
    </row>
    <row r="73" spans="1:11" x14ac:dyDescent="0.25">
      <c r="A73" s="29" t="str">
        <f t="shared" si="2"/>
        <v>PQSCHOOLPA007Q05TA</v>
      </c>
      <c r="B73" s="123" t="s">
        <v>345</v>
      </c>
      <c r="C73" s="123" t="s">
        <v>1636</v>
      </c>
      <c r="D73" s="120">
        <v>2.1406499999999999</v>
      </c>
      <c r="E73" s="120">
        <v>0.25135999999999997</v>
      </c>
      <c r="F73" s="120">
        <v>-3.75895</v>
      </c>
      <c r="G73" s="120">
        <v>-0.91571000000000002</v>
      </c>
      <c r="H73" s="120">
        <v>4.6746600000000003</v>
      </c>
      <c r="I73" s="120"/>
      <c r="J73" s="123"/>
      <c r="K73" s="123"/>
    </row>
    <row r="74" spans="1:11" x14ac:dyDescent="0.25">
      <c r="A74" s="29" t="str">
        <f t="shared" si="2"/>
        <v>PQSCHOOLPA007Q06TA</v>
      </c>
      <c r="B74" s="123" t="s">
        <v>345</v>
      </c>
      <c r="C74" s="123" t="s">
        <v>1638</v>
      </c>
      <c r="D74" s="120">
        <v>1.40557</v>
      </c>
      <c r="E74" s="120">
        <v>0.24995000000000001</v>
      </c>
      <c r="F74" s="120">
        <v>-2.5604900000000002</v>
      </c>
      <c r="G74" s="120">
        <v>-0.56276000000000004</v>
      </c>
      <c r="H74" s="120">
        <v>3.123250000000001</v>
      </c>
      <c r="I74" s="120"/>
      <c r="J74" s="123"/>
      <c r="K74" s="123"/>
    </row>
    <row r="75" spans="1:11" x14ac:dyDescent="0.25">
      <c r="A75" s="29" t="str">
        <f t="shared" si="2"/>
        <v>PQSCHOOLPA007Q07TA</v>
      </c>
      <c r="B75" s="123" t="s">
        <v>345</v>
      </c>
      <c r="C75" s="123" t="s">
        <v>2873</v>
      </c>
      <c r="D75" s="120">
        <v>2.604919999999999</v>
      </c>
      <c r="E75" s="120">
        <v>-0.23355000000000001</v>
      </c>
      <c r="F75" s="120">
        <v>-3.9834499999999999</v>
      </c>
      <c r="G75" s="120">
        <v>-1.51539</v>
      </c>
      <c r="H75" s="120">
        <v>5.4988400000000004</v>
      </c>
      <c r="I75" s="120"/>
      <c r="J75" s="123"/>
      <c r="K75" s="123"/>
    </row>
    <row r="76" spans="1:11" x14ac:dyDescent="0.25">
      <c r="A76" s="29" t="str">
        <f t="shared" si="2"/>
        <v>PQSCHOOLPA007Q16DA</v>
      </c>
      <c r="B76" s="123" t="s">
        <v>345</v>
      </c>
      <c r="C76" s="123" t="s">
        <v>1632</v>
      </c>
      <c r="D76" s="120">
        <v>3.0994100000000002</v>
      </c>
      <c r="E76" s="120">
        <v>0.47490999999999989</v>
      </c>
      <c r="F76" s="120">
        <v>-5.0884900000000011</v>
      </c>
      <c r="G76" s="120">
        <v>-1.5002800000000009</v>
      </c>
      <c r="H76" s="120">
        <v>6.5887700000000002</v>
      </c>
      <c r="I76" s="120"/>
      <c r="J76" s="123"/>
      <c r="K76" s="123"/>
    </row>
    <row r="77" spans="1:11" x14ac:dyDescent="0.25">
      <c r="A77" s="29" t="str">
        <f t="shared" si="2"/>
        <v>PQSCHOOLPA007Q23DA</v>
      </c>
      <c r="B77" s="123" t="s">
        <v>345</v>
      </c>
      <c r="C77" s="123" t="s">
        <v>1630</v>
      </c>
      <c r="D77" s="120">
        <v>2.76946</v>
      </c>
      <c r="E77" s="120">
        <v>0.14702000000000001</v>
      </c>
      <c r="F77" s="120">
        <v>-4.5256299999999996</v>
      </c>
      <c r="G77" s="120">
        <v>-1.47516</v>
      </c>
      <c r="H77" s="120">
        <v>6.0007900000000003</v>
      </c>
      <c r="I77" s="120"/>
      <c r="J77" s="123"/>
      <c r="K77" s="123"/>
    </row>
    <row r="78" spans="1:11" x14ac:dyDescent="0.25">
      <c r="A78" s="29" t="str">
        <f t="shared" si="2"/>
        <v>PQSELFREGPA204Q01DA</v>
      </c>
      <c r="B78" s="123" t="s">
        <v>390</v>
      </c>
      <c r="C78" s="123" t="s">
        <v>1556</v>
      </c>
      <c r="D78" s="120">
        <v>1.8247</v>
      </c>
      <c r="E78" s="120">
        <v>-1.5238799999999999</v>
      </c>
      <c r="F78" s="120">
        <v>-2.7671100000000002</v>
      </c>
      <c r="G78" s="120">
        <v>-1.04206</v>
      </c>
      <c r="H78" s="120">
        <v>3.8091699999999999</v>
      </c>
      <c r="I78" s="120"/>
      <c r="J78" s="123"/>
      <c r="K78" s="123"/>
    </row>
    <row r="79" spans="1:11" x14ac:dyDescent="0.25">
      <c r="A79" s="29" t="str">
        <f t="shared" si="2"/>
        <v>PQSELFREGPA204Q02DA</v>
      </c>
      <c r="B79" s="123" t="s">
        <v>390</v>
      </c>
      <c r="C79" s="123" t="s">
        <v>1558</v>
      </c>
      <c r="D79" s="120">
        <v>2.06366</v>
      </c>
      <c r="E79" s="120">
        <v>-1.88564</v>
      </c>
      <c r="F79" s="120">
        <v>-3.1102099999999999</v>
      </c>
      <c r="G79" s="120">
        <v>-0.74965000000000015</v>
      </c>
      <c r="H79" s="120">
        <v>3.8598599999999998</v>
      </c>
      <c r="I79" s="120"/>
      <c r="J79" s="123"/>
      <c r="K79" s="123"/>
    </row>
    <row r="80" spans="1:11" x14ac:dyDescent="0.25">
      <c r="A80" s="29" t="str">
        <f t="shared" si="2"/>
        <v>PQSELFREGPA204Q03DA</v>
      </c>
      <c r="B80" s="123" t="s">
        <v>390</v>
      </c>
      <c r="C80" s="123" t="s">
        <v>1560</v>
      </c>
      <c r="D80" s="120">
        <v>1.8111699999999999</v>
      </c>
      <c r="E80" s="120">
        <v>-1.6154299999999999</v>
      </c>
      <c r="F80" s="120">
        <v>-2.8040699999999998</v>
      </c>
      <c r="G80" s="120">
        <v>-0.65929000000000004</v>
      </c>
      <c r="H80" s="120">
        <v>3.4633600000000002</v>
      </c>
      <c r="I80" s="120"/>
      <c r="J80" s="123"/>
      <c r="K80" s="123"/>
    </row>
    <row r="81" spans="1:11" x14ac:dyDescent="0.25">
      <c r="A81" s="29" t="str">
        <f t="shared" si="2"/>
        <v>PQSELFREGPA204Q04DA</v>
      </c>
      <c r="B81" s="123" t="s">
        <v>390</v>
      </c>
      <c r="C81" s="123" t="s">
        <v>1562</v>
      </c>
      <c r="D81" s="120">
        <v>1.0788899999999999</v>
      </c>
      <c r="E81" s="120">
        <v>-0.56742000000000004</v>
      </c>
      <c r="F81" s="120">
        <v>-2.1616599999999999</v>
      </c>
      <c r="G81" s="120">
        <v>-0.52717000000000003</v>
      </c>
      <c r="H81" s="120">
        <v>2.6888299999999998</v>
      </c>
      <c r="I81" s="120"/>
      <c r="J81" s="33"/>
      <c r="K81" s="33"/>
    </row>
    <row r="82" spans="1:11" x14ac:dyDescent="0.25">
      <c r="A82" s="29" t="str">
        <f t="shared" si="2"/>
        <v>PQSELFREGPA204Q07DA</v>
      </c>
      <c r="B82" s="123" t="s">
        <v>390</v>
      </c>
      <c r="C82" s="123" t="s">
        <v>1564</v>
      </c>
      <c r="D82" s="120">
        <v>1.9250400000000001</v>
      </c>
      <c r="E82" s="120">
        <v>-1.9219900000000001</v>
      </c>
      <c r="F82" s="120">
        <v>-2.5264099999999998</v>
      </c>
      <c r="G82" s="120">
        <v>-1.1725300000000001</v>
      </c>
      <c r="H82" s="120">
        <v>3.698939999999999</v>
      </c>
      <c r="I82" s="120"/>
      <c r="J82" s="33"/>
      <c r="K82" s="33"/>
    </row>
    <row r="83" spans="1:11" x14ac:dyDescent="0.25">
      <c r="A83" s="29" t="str">
        <f t="shared" si="2"/>
        <v>PQSELFREGPA204Q08DA</v>
      </c>
      <c r="B83" s="123" t="s">
        <v>390</v>
      </c>
      <c r="C83" s="123" t="s">
        <v>1566</v>
      </c>
      <c r="D83" s="120">
        <v>1.3860399999999999</v>
      </c>
      <c r="E83" s="120">
        <v>-0.84070999999999996</v>
      </c>
      <c r="F83" s="120">
        <v>-2.3600500000000002</v>
      </c>
      <c r="G83" s="120">
        <v>-0.68439000000000016</v>
      </c>
      <c r="H83" s="120">
        <v>3.0444399999999998</v>
      </c>
      <c r="I83" s="120"/>
      <c r="J83" s="33"/>
      <c r="K83" s="33"/>
    </row>
    <row r="84" spans="1:11" x14ac:dyDescent="0.25">
      <c r="A84" s="29" t="str">
        <f t="shared" si="2"/>
        <v>PQSELFREGPA204Q09DA</v>
      </c>
      <c r="B84" s="123" t="s">
        <v>390</v>
      </c>
      <c r="C84" s="123" t="s">
        <v>1568</v>
      </c>
      <c r="D84" s="120">
        <v>1.6632499999999999</v>
      </c>
      <c r="E84" s="120">
        <v>-1.70459</v>
      </c>
      <c r="F84" s="120">
        <v>-2.27386</v>
      </c>
      <c r="G84" s="120">
        <v>-1.2973699999999999</v>
      </c>
      <c r="H84" s="120">
        <v>3.5712299999999999</v>
      </c>
      <c r="I84" s="120"/>
      <c r="J84" s="33"/>
      <c r="K84" s="33"/>
    </row>
    <row r="85" spans="1:11" x14ac:dyDescent="0.25">
      <c r="A85" s="29" t="str">
        <f t="shared" si="2"/>
        <v>PRESUPPPA002Q01TA</v>
      </c>
      <c r="B85" s="123" t="s">
        <v>346</v>
      </c>
      <c r="C85" s="123" t="s">
        <v>1454</v>
      </c>
      <c r="D85" s="120">
        <v>2.22431</v>
      </c>
      <c r="E85" s="120">
        <v>-0.75492999999999999</v>
      </c>
      <c r="F85" s="120">
        <v>-2.39697</v>
      </c>
      <c r="G85" s="120">
        <v>1.19265</v>
      </c>
      <c r="H85" s="120">
        <v>1.2043200000000001</v>
      </c>
      <c r="I85" s="120"/>
      <c r="J85" s="33"/>
      <c r="K85" s="33"/>
    </row>
    <row r="86" spans="1:11" x14ac:dyDescent="0.25">
      <c r="A86" s="29" t="str">
        <f t="shared" si="2"/>
        <v>PRESUPPPA002Q02TA</v>
      </c>
      <c r="B86" s="123" t="s">
        <v>346</v>
      </c>
      <c r="C86" s="123" t="s">
        <v>1456</v>
      </c>
      <c r="D86" s="120">
        <v>2.09239</v>
      </c>
      <c r="E86" s="120">
        <v>-5.3170000000000002E-2</v>
      </c>
      <c r="F86" s="120">
        <v>-1.7696400000000001</v>
      </c>
      <c r="G86" s="120">
        <v>0.93528000000000011</v>
      </c>
      <c r="H86" s="120">
        <v>0.83436000000000021</v>
      </c>
      <c r="I86" s="120"/>
      <c r="J86" s="33"/>
      <c r="K86" s="33"/>
    </row>
    <row r="87" spans="1:11" x14ac:dyDescent="0.25">
      <c r="A87" s="29" t="str">
        <f t="shared" si="2"/>
        <v>PRESUPPPA002Q03TA</v>
      </c>
      <c r="B87" s="123" t="s">
        <v>346</v>
      </c>
      <c r="C87" s="123" t="s">
        <v>1458</v>
      </c>
      <c r="D87" s="120">
        <v>1.42276</v>
      </c>
      <c r="E87" s="120">
        <v>-0.41969000000000001</v>
      </c>
      <c r="F87" s="120">
        <v>-1.48031</v>
      </c>
      <c r="G87" s="120">
        <v>0.73460000000000014</v>
      </c>
      <c r="H87" s="120">
        <v>0.74570999999999998</v>
      </c>
      <c r="I87" s="120"/>
      <c r="J87" s="33"/>
      <c r="K87" s="33"/>
    </row>
    <row r="88" spans="1:11" x14ac:dyDescent="0.25">
      <c r="A88" s="29" t="str">
        <f t="shared" si="2"/>
        <v>PRESUPPPA002Q04TA</v>
      </c>
      <c r="B88" s="123" t="s">
        <v>346</v>
      </c>
      <c r="C88" s="123" t="s">
        <v>1460</v>
      </c>
      <c r="D88" s="120">
        <v>2.5375000000000001</v>
      </c>
      <c r="E88" s="120">
        <v>0.17052</v>
      </c>
      <c r="F88" s="120">
        <v>-1.69746</v>
      </c>
      <c r="G88" s="120">
        <v>0.82448999999999995</v>
      </c>
      <c r="H88" s="120">
        <v>0.87297000000000002</v>
      </c>
      <c r="I88" s="120"/>
      <c r="J88" s="33"/>
      <c r="K88" s="33"/>
    </row>
    <row r="89" spans="1:11" x14ac:dyDescent="0.25">
      <c r="A89" s="29" t="str">
        <f t="shared" si="2"/>
        <v>PRESUPPPA002Q05TA</v>
      </c>
      <c r="B89" s="123" t="s">
        <v>346</v>
      </c>
      <c r="C89" s="123" t="s">
        <v>1462</v>
      </c>
      <c r="D89" s="120">
        <v>1.4825699999999999</v>
      </c>
      <c r="E89" s="120">
        <v>1.1910799999999999</v>
      </c>
      <c r="F89" s="120">
        <v>-8.4390000000000007E-2</v>
      </c>
      <c r="G89" s="120">
        <v>0.20852000000000001</v>
      </c>
      <c r="H89" s="120">
        <v>-0.12413</v>
      </c>
      <c r="I89" s="120"/>
      <c r="J89" s="33"/>
      <c r="K89" s="33"/>
    </row>
    <row r="90" spans="1:11" x14ac:dyDescent="0.25">
      <c r="A90" s="29" t="str">
        <f t="shared" si="2"/>
        <v>PRESUPPPA002Q06NA</v>
      </c>
      <c r="B90" s="123" t="s">
        <v>346</v>
      </c>
      <c r="C90" s="123" t="s">
        <v>1464</v>
      </c>
      <c r="D90" s="120">
        <v>0.74489000000000016</v>
      </c>
      <c r="E90" s="120">
        <v>-0.57215000000000005</v>
      </c>
      <c r="F90" s="120">
        <v>-0.73050000000000015</v>
      </c>
      <c r="G90" s="120">
        <v>0.58996000000000004</v>
      </c>
      <c r="H90" s="120">
        <v>0.14054</v>
      </c>
      <c r="I90" s="120"/>
      <c r="J90" s="33"/>
      <c r="K90" s="33"/>
    </row>
    <row r="91" spans="1:11" x14ac:dyDescent="0.25">
      <c r="A91" s="29" t="str">
        <f t="shared" si="2"/>
        <v>PRESUPPPA002Q07NA</v>
      </c>
      <c r="B91" s="123" t="s">
        <v>346</v>
      </c>
      <c r="C91" s="123" t="s">
        <v>1466</v>
      </c>
      <c r="D91" s="120">
        <v>1.4752099999999999</v>
      </c>
      <c r="E91" s="120">
        <v>7.7600000000000002E-2</v>
      </c>
      <c r="F91" s="120">
        <v>-0.43946000000000002</v>
      </c>
      <c r="G91" s="120">
        <v>0.66066000000000003</v>
      </c>
      <c r="H91" s="120">
        <v>-0.22120000000000001</v>
      </c>
      <c r="I91" s="120"/>
      <c r="J91" s="33"/>
      <c r="K91" s="33"/>
    </row>
    <row r="92" spans="1:11" x14ac:dyDescent="0.25">
      <c r="A92" s="29" t="str">
        <f t="shared" si="2"/>
        <v>PRESUPPPA002Q08NA</v>
      </c>
      <c r="B92" s="123" t="s">
        <v>346</v>
      </c>
      <c r="C92" s="123" t="s">
        <v>1468</v>
      </c>
      <c r="D92" s="120">
        <v>1.4049799999999999</v>
      </c>
      <c r="E92" s="120">
        <v>0.16450000000000001</v>
      </c>
      <c r="F92" s="120">
        <v>-0.52034999999999987</v>
      </c>
      <c r="G92" s="120">
        <v>0.74668000000000012</v>
      </c>
      <c r="H92" s="120">
        <v>-0.22633</v>
      </c>
      <c r="I92" s="120"/>
      <c r="J92" s="33"/>
      <c r="K92" s="33"/>
    </row>
    <row r="93" spans="1:11" x14ac:dyDescent="0.25">
      <c r="A93" s="29" t="str">
        <f t="shared" si="2"/>
        <v>PRESUPPPA002Q09NA</v>
      </c>
      <c r="B93" s="123" t="s">
        <v>346</v>
      </c>
      <c r="C93" s="123" t="s">
        <v>1470</v>
      </c>
      <c r="D93" s="120">
        <v>1.69764</v>
      </c>
      <c r="E93" s="120">
        <v>0.31844</v>
      </c>
      <c r="F93" s="120">
        <v>-1.10066</v>
      </c>
      <c r="G93" s="120">
        <v>0.70340000000000014</v>
      </c>
      <c r="H93" s="120">
        <v>0.39725999999999989</v>
      </c>
      <c r="I93" s="120"/>
      <c r="J93" s="33"/>
      <c r="K93" s="33"/>
    </row>
    <row r="94" spans="1:11" x14ac:dyDescent="0.25">
      <c r="A94" s="29" t="str">
        <f t="shared" si="2"/>
        <v>PRESUPPPA002Q10NA</v>
      </c>
      <c r="B94" s="123" t="s">
        <v>346</v>
      </c>
      <c r="C94" s="123" t="s">
        <v>1472</v>
      </c>
      <c r="D94" s="120">
        <v>1.91774</v>
      </c>
      <c r="E94" s="120">
        <v>-0.1222</v>
      </c>
      <c r="F94" s="120">
        <v>-1.27318</v>
      </c>
      <c r="G94" s="120">
        <v>0.79596</v>
      </c>
      <c r="H94" s="120">
        <v>0.47721999999999992</v>
      </c>
      <c r="I94" s="120"/>
      <c r="J94" s="33"/>
      <c r="K94" s="33"/>
    </row>
    <row r="95" spans="1:11" x14ac:dyDescent="0.25">
      <c r="A95" s="29" t="str">
        <f t="shared" si="2"/>
        <v>PRESUPPPA002Q11DA</v>
      </c>
      <c r="B95" s="123" t="s">
        <v>346</v>
      </c>
      <c r="C95" s="123" t="s">
        <v>1474</v>
      </c>
      <c r="D95" s="120">
        <v>1.0145900000000001</v>
      </c>
      <c r="E95" s="120">
        <v>-0.42316999999999999</v>
      </c>
      <c r="F95" s="120">
        <v>-1.16334</v>
      </c>
      <c r="G95" s="120">
        <v>0.74356999999999984</v>
      </c>
      <c r="H95" s="120">
        <v>0.41977000000000009</v>
      </c>
      <c r="I95" s="120"/>
      <c r="J95" s="33"/>
      <c r="K95" s="33"/>
    </row>
    <row r="96" spans="1:11" x14ac:dyDescent="0.25">
      <c r="A96" s="29" t="str">
        <f t="shared" si="2"/>
        <v>PRESUPPPA002Q12DA</v>
      </c>
      <c r="B96" s="123" t="s">
        <v>346</v>
      </c>
      <c r="C96" s="123" t="s">
        <v>1476</v>
      </c>
      <c r="D96" s="120">
        <v>0.92600000000000005</v>
      </c>
      <c r="E96" s="120">
        <v>-2.9790000000000001E-2</v>
      </c>
      <c r="F96" s="120">
        <v>-1.1109</v>
      </c>
      <c r="G96" s="120">
        <v>0.74116000000000004</v>
      </c>
      <c r="H96" s="120">
        <v>0.36974000000000001</v>
      </c>
      <c r="I96" s="120"/>
      <c r="J96" s="33"/>
      <c r="K96" s="33"/>
    </row>
    <row r="97" spans="1:11" x14ac:dyDescent="0.25">
      <c r="A97" s="29" t="str">
        <f t="shared" si="2"/>
        <v>PRESUPPPA002Q13DA</v>
      </c>
      <c r="B97" s="123" t="s">
        <v>346</v>
      </c>
      <c r="C97" s="123" t="s">
        <v>1478</v>
      </c>
      <c r="D97" s="120">
        <v>1.35548</v>
      </c>
      <c r="E97" s="120">
        <v>0.13078000000000001</v>
      </c>
      <c r="F97" s="120">
        <v>-1.63446</v>
      </c>
      <c r="G97" s="120">
        <v>1.0229900000000001</v>
      </c>
      <c r="H97" s="120">
        <v>0.61146999999999985</v>
      </c>
      <c r="I97" s="120"/>
      <c r="J97" s="33"/>
      <c r="K97" s="33"/>
    </row>
    <row r="98" spans="1:11" x14ac:dyDescent="0.25">
      <c r="A98" s="29" t="str">
        <f t="shared" ref="A98:A129" si="3">_xlfn.CONCAT(B98,C98)</f>
        <v>PVDRSCUSEPA203Q01DA</v>
      </c>
      <c r="B98" s="123" t="s">
        <v>391</v>
      </c>
      <c r="C98" s="123" t="s">
        <v>1524</v>
      </c>
      <c r="D98" s="120">
        <v>1.19974</v>
      </c>
      <c r="E98" s="120">
        <v>-0.60428000000000015</v>
      </c>
      <c r="F98" s="120">
        <v>-1.31349</v>
      </c>
      <c r="G98" s="120">
        <v>-1.4600599999999999</v>
      </c>
      <c r="H98" s="120">
        <v>2.7735500000000002</v>
      </c>
      <c r="I98" s="120"/>
      <c r="J98" s="33"/>
      <c r="K98" s="33"/>
    </row>
    <row r="99" spans="1:11" x14ac:dyDescent="0.25">
      <c r="A99" s="29" t="str">
        <f t="shared" si="3"/>
        <v>PVDRSCUSEPA203Q02DA</v>
      </c>
      <c r="B99" s="123" t="s">
        <v>391</v>
      </c>
      <c r="C99" s="123" t="s">
        <v>1526</v>
      </c>
      <c r="D99" s="120">
        <v>1.3713299999999999</v>
      </c>
      <c r="E99" s="120">
        <v>-0.6963499999999998</v>
      </c>
      <c r="F99" s="120">
        <v>-1.77129</v>
      </c>
      <c r="G99" s="120">
        <v>-1.2523200000000001</v>
      </c>
      <c r="H99" s="120">
        <v>3.0236100000000001</v>
      </c>
      <c r="I99" s="120"/>
      <c r="J99" s="33"/>
      <c r="K99" s="33"/>
    </row>
    <row r="100" spans="1:11" x14ac:dyDescent="0.25">
      <c r="A100" s="29" t="str">
        <f t="shared" si="3"/>
        <v>PVDRSCUSEPA203Q03DA</v>
      </c>
      <c r="B100" s="123" t="s">
        <v>391</v>
      </c>
      <c r="C100" s="123" t="s">
        <v>1528</v>
      </c>
      <c r="D100" s="120">
        <v>1.37134</v>
      </c>
      <c r="E100" s="120">
        <v>-0.64356999999999986</v>
      </c>
      <c r="F100" s="120">
        <v>-2.289029999999999</v>
      </c>
      <c r="G100" s="120">
        <v>-0.63809000000000016</v>
      </c>
      <c r="H100" s="120">
        <v>2.9271199999999999</v>
      </c>
      <c r="I100" s="120"/>
      <c r="J100" s="33"/>
      <c r="K100" s="33"/>
    </row>
    <row r="101" spans="1:11" x14ac:dyDescent="0.25">
      <c r="A101" s="29" t="str">
        <f t="shared" si="3"/>
        <v>PVDRSCUSEPA203Q04DA</v>
      </c>
      <c r="B101" s="123" t="s">
        <v>391</v>
      </c>
      <c r="C101" s="123" t="s">
        <v>1530</v>
      </c>
      <c r="D101" s="120">
        <v>3.2677999999999989</v>
      </c>
      <c r="E101" s="120">
        <v>-2.00082</v>
      </c>
      <c r="F101" s="120">
        <v>-3.73753</v>
      </c>
      <c r="G101" s="120">
        <v>-1.33779</v>
      </c>
      <c r="H101" s="120">
        <v>5.0753199999999996</v>
      </c>
      <c r="I101" s="120"/>
      <c r="J101" s="33"/>
      <c r="K101" s="33"/>
    </row>
    <row r="102" spans="1:11" x14ac:dyDescent="0.25">
      <c r="A102" s="29" t="str">
        <f t="shared" si="3"/>
        <v>PVDRSCUSEPA203Q05DA</v>
      </c>
      <c r="B102" s="123" t="s">
        <v>391</v>
      </c>
      <c r="C102" s="123" t="s">
        <v>1532</v>
      </c>
      <c r="D102" s="120">
        <v>2.9197700000000011</v>
      </c>
      <c r="E102" s="120">
        <v>-2.4899499999999999</v>
      </c>
      <c r="F102" s="120">
        <v>-2.3545699999999989</v>
      </c>
      <c r="G102" s="120">
        <v>-1.8526</v>
      </c>
      <c r="H102" s="120">
        <v>4.2071699999999996</v>
      </c>
      <c r="I102" s="120"/>
      <c r="J102" s="33"/>
      <c r="K102" s="33"/>
    </row>
    <row r="103" spans="1:11" x14ac:dyDescent="0.25">
      <c r="A103" s="29" t="str">
        <f t="shared" si="3"/>
        <v/>
      </c>
      <c r="B103" s="123"/>
      <c r="C103" s="123"/>
      <c r="D103" s="123"/>
      <c r="E103" s="123"/>
      <c r="F103" s="123"/>
      <c r="G103" s="123"/>
      <c r="H103" s="123"/>
      <c r="I103" s="123"/>
      <c r="J103" s="33"/>
      <c r="K103" s="33"/>
    </row>
    <row r="104" spans="1:11" x14ac:dyDescent="0.25">
      <c r="A104" s="29" t="str">
        <f t="shared" si="3"/>
        <v/>
      </c>
      <c r="B104" s="123"/>
      <c r="C104" s="123"/>
      <c r="D104" s="123"/>
      <c r="E104" s="123"/>
      <c r="F104" s="123"/>
      <c r="G104" s="123"/>
      <c r="H104" s="123"/>
      <c r="I104" s="123"/>
      <c r="J104" s="33"/>
      <c r="K104" s="33"/>
    </row>
    <row r="105" spans="1:11" x14ac:dyDescent="0.25">
      <c r="A105" s="29" t="str">
        <f t="shared" si="3"/>
        <v/>
      </c>
      <c r="B105" s="123"/>
      <c r="C105" s="123"/>
      <c r="D105" s="123"/>
      <c r="E105" s="123"/>
      <c r="F105" s="123"/>
      <c r="G105" s="123"/>
      <c r="H105" s="123"/>
      <c r="I105" s="123"/>
      <c r="J105" s="33"/>
      <c r="K105" s="33"/>
    </row>
    <row r="106" spans="1:11" x14ac:dyDescent="0.25">
      <c r="A106" s="29" t="str">
        <f t="shared" si="3"/>
        <v/>
      </c>
      <c r="B106" s="123"/>
      <c r="C106" s="123"/>
      <c r="D106" s="123"/>
      <c r="E106" s="123"/>
      <c r="F106" s="123"/>
      <c r="G106" s="123"/>
      <c r="H106" s="123"/>
      <c r="I106" s="123"/>
      <c r="J106" s="33"/>
      <c r="K106" s="33"/>
    </row>
    <row r="107" spans="1:11" x14ac:dyDescent="0.25">
      <c r="A107" s="29" t="str">
        <f t="shared" si="3"/>
        <v/>
      </c>
      <c r="B107" s="123"/>
      <c r="C107" s="123"/>
      <c r="D107" s="123"/>
      <c r="E107" s="123"/>
      <c r="F107" s="123"/>
      <c r="G107" s="123"/>
      <c r="H107" s="123"/>
      <c r="I107" s="123"/>
      <c r="J107" s="33"/>
      <c r="K107" s="33"/>
    </row>
    <row r="108" spans="1:11" x14ac:dyDescent="0.25">
      <c r="A108" s="29" t="str">
        <f t="shared" si="3"/>
        <v/>
      </c>
      <c r="B108" s="123"/>
      <c r="C108" s="123"/>
      <c r="D108" s="123"/>
      <c r="E108" s="123"/>
      <c r="F108" s="123"/>
      <c r="G108" s="123"/>
      <c r="H108" s="123"/>
      <c r="I108" s="123"/>
      <c r="J108" s="33"/>
      <c r="K108" s="33"/>
    </row>
    <row r="109" spans="1:11" x14ac:dyDescent="0.25">
      <c r="A109" s="29" t="str">
        <f t="shared" si="3"/>
        <v/>
      </c>
      <c r="B109" s="123"/>
      <c r="C109" s="123"/>
      <c r="D109" s="123"/>
      <c r="E109" s="123"/>
      <c r="F109" s="123"/>
      <c r="G109" s="123"/>
      <c r="H109" s="123"/>
      <c r="I109" s="123"/>
      <c r="J109" s="33"/>
      <c r="K109" s="33"/>
    </row>
    <row r="110" spans="1:11" x14ac:dyDescent="0.25">
      <c r="A110" s="29" t="str">
        <f t="shared" si="3"/>
        <v/>
      </c>
      <c r="B110" s="123"/>
      <c r="C110" s="123"/>
      <c r="D110" s="123"/>
      <c r="E110" s="123"/>
      <c r="F110" s="123"/>
      <c r="G110" s="123"/>
      <c r="H110" s="123"/>
      <c r="I110" s="123"/>
      <c r="J110" s="33"/>
      <c r="K110" s="33"/>
    </row>
    <row r="111" spans="1:11" x14ac:dyDescent="0.25">
      <c r="A111" s="29" t="str">
        <f t="shared" si="3"/>
        <v/>
      </c>
      <c r="B111" s="123"/>
      <c r="C111" s="123"/>
      <c r="D111" s="123"/>
      <c r="E111" s="123"/>
      <c r="F111" s="123"/>
      <c r="G111" s="123"/>
      <c r="H111" s="123"/>
      <c r="I111" s="123"/>
      <c r="J111" s="33"/>
      <c r="K111" s="33"/>
    </row>
    <row r="112" spans="1:11" x14ac:dyDescent="0.25">
      <c r="A112" s="29" t="str">
        <f t="shared" si="3"/>
        <v/>
      </c>
      <c r="B112" s="123"/>
      <c r="C112" s="123"/>
      <c r="D112" s="123"/>
      <c r="E112" s="123"/>
      <c r="F112" s="123"/>
      <c r="G112" s="123"/>
      <c r="H112" s="123"/>
      <c r="I112" s="123"/>
      <c r="J112" s="33"/>
      <c r="K112" s="33"/>
    </row>
    <row r="113" spans="1:11" x14ac:dyDescent="0.25">
      <c r="A113" s="29" t="str">
        <f t="shared" si="3"/>
        <v/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 spans="1:11" x14ac:dyDescent="0.25">
      <c r="A114" s="29" t="str">
        <f t="shared" si="3"/>
        <v/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 spans="1:11" x14ac:dyDescent="0.25">
      <c r="A115" s="29" t="str">
        <f t="shared" si="3"/>
        <v/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x14ac:dyDescent="0.25">
      <c r="A116" s="29" t="str">
        <f t="shared" si="3"/>
        <v/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 spans="1:11" x14ac:dyDescent="0.25">
      <c r="A117" s="29" t="str">
        <f t="shared" si="3"/>
        <v/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 spans="1:11" x14ac:dyDescent="0.25">
      <c r="A118" s="29" t="str">
        <f t="shared" si="3"/>
        <v/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spans="1:11" x14ac:dyDescent="0.25">
      <c r="A119" s="29" t="str">
        <f t="shared" si="3"/>
        <v/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 spans="1:11" x14ac:dyDescent="0.25">
      <c r="A120" s="29" t="str">
        <f t="shared" si="3"/>
        <v/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 spans="1:11" x14ac:dyDescent="0.25">
      <c r="A121" s="29" t="str">
        <f t="shared" si="3"/>
        <v/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 spans="1:11" x14ac:dyDescent="0.25">
      <c r="A122" s="29" t="str">
        <f t="shared" si="3"/>
        <v/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x14ac:dyDescent="0.25">
      <c r="A123" s="29" t="str">
        <f t="shared" si="3"/>
        <v/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 spans="1:11" x14ac:dyDescent="0.25">
      <c r="A124" s="29" t="str">
        <f t="shared" si="3"/>
        <v/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25">
      <c r="A125" s="29" t="str">
        <f t="shared" si="3"/>
        <v/>
      </c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 spans="1:11" x14ac:dyDescent="0.25">
      <c r="A126" s="29" t="str">
        <f t="shared" si="3"/>
        <v/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 spans="1:11" x14ac:dyDescent="0.25">
      <c r="A127" s="29" t="str">
        <f t="shared" si="3"/>
        <v/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 x14ac:dyDescent="0.25">
      <c r="A128" s="29" t="str">
        <f t="shared" si="3"/>
        <v/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 x14ac:dyDescent="0.25">
      <c r="A129" s="29" t="str">
        <f t="shared" si="3"/>
        <v/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</sheetData>
  <sheetProtection sheet="1" formatColumns="0" formatRows="0"/>
  <autoFilter ref="B1:K102" xr:uid="{00000000-0009-0000-0000-0000A0000000}"/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93"/>
  <dimension ref="A1:I253"/>
  <sheetViews>
    <sheetView workbookViewId="0">
      <selection activeCell="O17" sqref="O17"/>
    </sheetView>
  </sheetViews>
  <sheetFormatPr defaultColWidth="9.140625" defaultRowHeight="15" x14ac:dyDescent="0.25"/>
  <cols>
    <col min="1" max="1" width="22.42578125" style="22" customWidth="1"/>
    <col min="2" max="2" width="19" style="21" customWidth="1"/>
    <col min="3" max="3" width="21" style="21" customWidth="1"/>
    <col min="4" max="9" width="13" style="21" customWidth="1"/>
    <col min="10" max="10" width="9.140625" style="21" customWidth="1"/>
    <col min="11" max="16384" width="9.140625" style="21"/>
  </cols>
  <sheetData>
    <row r="1" spans="1:9" x14ac:dyDescent="0.25">
      <c r="A1" s="87" t="s">
        <v>2642</v>
      </c>
      <c r="B1" s="122" t="s">
        <v>317</v>
      </c>
      <c r="C1" s="123" t="s">
        <v>2643</v>
      </c>
      <c r="D1" s="123" t="s">
        <v>2644</v>
      </c>
      <c r="E1" s="123" t="s">
        <v>2645</v>
      </c>
      <c r="F1" s="123" t="s">
        <v>2646</v>
      </c>
      <c r="G1" s="123" t="s">
        <v>2647</v>
      </c>
      <c r="H1" s="123" t="s">
        <v>2648</v>
      </c>
      <c r="I1" s="123" t="s">
        <v>2649</v>
      </c>
    </row>
    <row r="2" spans="1:9" x14ac:dyDescent="0.25">
      <c r="A2" s="29" t="str">
        <f t="shared" ref="A2:A65" si="0">_xlfn.CONCAT(B2,C2)</f>
        <v>ALLACTIVSC053Q01TA</v>
      </c>
      <c r="B2" s="123" t="s">
        <v>348</v>
      </c>
      <c r="C2" s="123" t="s">
        <v>1878</v>
      </c>
      <c r="D2" s="120">
        <v>1.4939199999999999</v>
      </c>
      <c r="E2" s="123">
        <v>0.3999299999999999</v>
      </c>
      <c r="F2" s="123"/>
      <c r="G2" s="123"/>
      <c r="H2" s="123"/>
      <c r="I2" s="123"/>
    </row>
    <row r="3" spans="1:9" x14ac:dyDescent="0.25">
      <c r="A3" s="29" t="str">
        <f t="shared" si="0"/>
        <v>ALLACTIVSC053Q02TA</v>
      </c>
      <c r="B3" s="123" t="s">
        <v>348</v>
      </c>
      <c r="C3" s="123" t="s">
        <v>1880</v>
      </c>
      <c r="D3" s="120">
        <v>1.2752399999999999</v>
      </c>
      <c r="E3" s="123">
        <v>0.47924</v>
      </c>
      <c r="F3" s="123"/>
      <c r="G3" s="123"/>
      <c r="H3" s="123"/>
      <c r="I3" s="123"/>
    </row>
    <row r="4" spans="1:9" x14ac:dyDescent="0.25">
      <c r="A4" s="29" t="str">
        <f t="shared" si="0"/>
        <v>ALLACTIVSC053Q03TA</v>
      </c>
      <c r="B4" s="123" t="s">
        <v>348</v>
      </c>
      <c r="C4" s="123" t="s">
        <v>1882</v>
      </c>
      <c r="D4" s="120">
        <v>1.2428999999999999</v>
      </c>
      <c r="E4" s="123">
        <v>0.59860000000000002</v>
      </c>
      <c r="F4" s="123"/>
      <c r="G4" s="123"/>
      <c r="H4" s="123"/>
      <c r="I4" s="123"/>
    </row>
    <row r="5" spans="1:9" x14ac:dyDescent="0.25">
      <c r="A5" s="29" t="str">
        <f t="shared" si="0"/>
        <v>ALLACTIVSC053Q04TA</v>
      </c>
      <c r="B5" s="123" t="s">
        <v>348</v>
      </c>
      <c r="C5" s="123" t="s">
        <v>1884</v>
      </c>
      <c r="D5" s="120">
        <v>1.2838000000000001</v>
      </c>
      <c r="E5" s="123">
        <v>-1.3853800000000001</v>
      </c>
      <c r="F5" s="123"/>
      <c r="G5" s="123"/>
      <c r="H5" s="123"/>
      <c r="I5" s="123"/>
    </row>
    <row r="6" spans="1:9" x14ac:dyDescent="0.25">
      <c r="A6" s="29" t="str">
        <f t="shared" si="0"/>
        <v>ALLACTIVSC053Q05NA</v>
      </c>
      <c r="B6" s="123" t="s">
        <v>348</v>
      </c>
      <c r="C6" s="123" t="s">
        <v>1886</v>
      </c>
      <c r="D6" s="120">
        <v>2.2040700000000002</v>
      </c>
      <c r="E6" s="123">
        <v>1.38561</v>
      </c>
      <c r="F6" s="123"/>
      <c r="G6" s="123"/>
      <c r="H6" s="123"/>
      <c r="I6" s="123"/>
    </row>
    <row r="7" spans="1:9" x14ac:dyDescent="0.25">
      <c r="A7" s="29" t="str">
        <f t="shared" si="0"/>
        <v>ALLACTIVSC053Q06NA</v>
      </c>
      <c r="B7" s="123" t="s">
        <v>348</v>
      </c>
      <c r="C7" s="123" t="s">
        <v>1888</v>
      </c>
      <c r="D7" s="120">
        <v>1.9020999999999999</v>
      </c>
      <c r="E7" s="123">
        <v>-0.85363</v>
      </c>
      <c r="F7" s="123"/>
      <c r="G7" s="123"/>
      <c r="H7" s="123"/>
      <c r="I7" s="123"/>
    </row>
    <row r="8" spans="1:9" x14ac:dyDescent="0.25">
      <c r="A8" s="29" t="str">
        <f t="shared" si="0"/>
        <v>ALLACTIVSC053Q07TA</v>
      </c>
      <c r="B8" s="123" t="s">
        <v>348</v>
      </c>
      <c r="C8" s="123" t="s">
        <v>1890</v>
      </c>
      <c r="D8" s="120">
        <v>1.3310500000000001</v>
      </c>
      <c r="E8" s="123">
        <v>1.36538</v>
      </c>
      <c r="F8" s="123"/>
      <c r="G8" s="123"/>
      <c r="H8" s="123"/>
      <c r="I8" s="123"/>
    </row>
    <row r="9" spans="1:9" x14ac:dyDescent="0.25">
      <c r="A9" s="29" t="str">
        <f t="shared" si="0"/>
        <v>ALLACTIVSC053Q08TA</v>
      </c>
      <c r="B9" s="123" t="s">
        <v>348</v>
      </c>
      <c r="C9" s="123" t="s">
        <v>1892</v>
      </c>
      <c r="D9" s="120">
        <v>2.2299099999999998</v>
      </c>
      <c r="E9" s="123">
        <v>0.73843000000000014</v>
      </c>
      <c r="F9" s="123"/>
      <c r="G9" s="123"/>
      <c r="H9" s="123"/>
      <c r="I9" s="123"/>
    </row>
    <row r="10" spans="1:9" x14ac:dyDescent="0.25">
      <c r="A10" s="29" t="str">
        <f t="shared" si="0"/>
        <v>ALLACTIVSC053Q09TA</v>
      </c>
      <c r="B10" s="123" t="s">
        <v>348</v>
      </c>
      <c r="C10" s="123" t="s">
        <v>1894</v>
      </c>
      <c r="D10" s="120">
        <v>1.88191</v>
      </c>
      <c r="E10" s="123">
        <v>-0.39632000000000001</v>
      </c>
      <c r="F10" s="123"/>
      <c r="G10" s="123"/>
      <c r="H10" s="123"/>
      <c r="I10" s="123"/>
    </row>
    <row r="11" spans="1:9" x14ac:dyDescent="0.25">
      <c r="A11" s="29" t="str">
        <f t="shared" si="0"/>
        <v>ALLACTIVSC053Q10TA</v>
      </c>
      <c r="B11" s="123" t="s">
        <v>348</v>
      </c>
      <c r="C11" s="123" t="s">
        <v>1896</v>
      </c>
      <c r="D11" s="120">
        <v>2.155110000000001</v>
      </c>
      <c r="E11" s="123">
        <v>-2.3318599999999998</v>
      </c>
      <c r="F11" s="123"/>
      <c r="G11" s="123"/>
      <c r="H11" s="123"/>
      <c r="I11" s="123"/>
    </row>
    <row r="12" spans="1:9" x14ac:dyDescent="0.25">
      <c r="A12" s="29" t="str">
        <f t="shared" si="0"/>
        <v>ALLACTIVSC053Q17DA</v>
      </c>
      <c r="B12" s="123" t="s">
        <v>348</v>
      </c>
      <c r="C12" s="123" t="s">
        <v>1898</v>
      </c>
      <c r="D12" s="120">
        <v>1.6013900000000001</v>
      </c>
      <c r="E12" s="123">
        <v>-0.47045999999999988</v>
      </c>
      <c r="F12" s="123"/>
      <c r="G12" s="123"/>
      <c r="H12" s="123"/>
      <c r="I12" s="123"/>
    </row>
    <row r="13" spans="1:9" x14ac:dyDescent="0.25">
      <c r="A13" s="29" t="str">
        <f t="shared" si="0"/>
        <v>AVLRSOFTSC261Q01DA</v>
      </c>
      <c r="B13" s="123" t="s">
        <v>392</v>
      </c>
      <c r="C13" s="123" t="s">
        <v>1900</v>
      </c>
      <c r="D13" s="120">
        <v>1.2304200000000001</v>
      </c>
      <c r="E13" s="123">
        <v>-1.4519200000000001</v>
      </c>
      <c r="F13" s="123">
        <v>-0.64883000000000013</v>
      </c>
      <c r="G13" s="123">
        <v>0.91200999999999999</v>
      </c>
      <c r="H13" s="123">
        <v>0.55323999999999995</v>
      </c>
      <c r="I13" s="123">
        <v>-0.81642000000000003</v>
      </c>
    </row>
    <row r="14" spans="1:9" x14ac:dyDescent="0.25">
      <c r="A14" s="29" t="str">
        <f t="shared" si="0"/>
        <v>AVLRSOFTSC261Q02DA</v>
      </c>
      <c r="B14" s="123" t="s">
        <v>392</v>
      </c>
      <c r="C14" s="123" t="s">
        <v>1902</v>
      </c>
      <c r="D14" s="120">
        <v>1.40052</v>
      </c>
      <c r="E14" s="123">
        <v>-1.44526</v>
      </c>
      <c r="F14" s="123">
        <v>-0.84297999999999995</v>
      </c>
      <c r="G14" s="123">
        <v>0.64566000000000001</v>
      </c>
      <c r="H14" s="123">
        <v>0.50982000000000005</v>
      </c>
      <c r="I14" s="123">
        <v>-0.31250000000000011</v>
      </c>
    </row>
    <row r="15" spans="1:9" x14ac:dyDescent="0.25">
      <c r="A15" s="29" t="str">
        <f t="shared" si="0"/>
        <v>AVLRSOFTSC261Q03DA</v>
      </c>
      <c r="B15" s="123" t="s">
        <v>392</v>
      </c>
      <c r="C15" s="123" t="s">
        <v>1904</v>
      </c>
      <c r="D15" s="120">
        <v>1.0363</v>
      </c>
      <c r="E15" s="123">
        <v>0.42146</v>
      </c>
      <c r="F15" s="123">
        <v>-0.86389000000000005</v>
      </c>
      <c r="G15" s="123">
        <v>0.27485999999999988</v>
      </c>
      <c r="H15" s="123">
        <v>0.37030999999999997</v>
      </c>
      <c r="I15" s="123">
        <v>0.21872000000000011</v>
      </c>
    </row>
    <row r="16" spans="1:9" x14ac:dyDescent="0.25">
      <c r="A16" s="29" t="str">
        <f t="shared" si="0"/>
        <v>AVLRSOFTSC261Q04DA</v>
      </c>
      <c r="B16" s="123" t="s">
        <v>392</v>
      </c>
      <c r="C16" s="123" t="s">
        <v>1906</v>
      </c>
      <c r="D16" s="120">
        <v>1.0535099999999999</v>
      </c>
      <c r="E16" s="123">
        <v>0.90634000000000003</v>
      </c>
      <c r="F16" s="123">
        <v>-0.86263000000000012</v>
      </c>
      <c r="G16" s="123">
        <v>0.28349999999999997</v>
      </c>
      <c r="H16" s="123">
        <v>0.41154000000000007</v>
      </c>
      <c r="I16" s="123">
        <v>0.16758999999999999</v>
      </c>
    </row>
    <row r="17" spans="1:9" x14ac:dyDescent="0.25">
      <c r="A17" s="29" t="str">
        <f t="shared" si="0"/>
        <v>AVLRSOFTSC261Q05DA</v>
      </c>
      <c r="B17" s="123" t="s">
        <v>392</v>
      </c>
      <c r="C17" s="123" t="s">
        <v>1908</v>
      </c>
      <c r="D17" s="120">
        <v>0.83060999999999985</v>
      </c>
      <c r="E17" s="123">
        <v>0.42832999999999999</v>
      </c>
      <c r="F17" s="123">
        <v>-0.60307999999999984</v>
      </c>
      <c r="G17" s="123">
        <v>0.18842</v>
      </c>
      <c r="H17" s="123">
        <v>0.48176999999999992</v>
      </c>
      <c r="I17" s="123">
        <v>-6.7110000000000058E-2</v>
      </c>
    </row>
    <row r="18" spans="1:9" x14ac:dyDescent="0.25">
      <c r="A18" s="29" t="str">
        <f t="shared" si="0"/>
        <v>AVLRSOFTSC261Q06DA</v>
      </c>
      <c r="B18" s="123" t="s">
        <v>392</v>
      </c>
      <c r="C18" s="123" t="s">
        <v>1910</v>
      </c>
      <c r="D18" s="120">
        <v>0.87588000000000021</v>
      </c>
      <c r="E18" s="123">
        <v>-0.45350000000000001</v>
      </c>
      <c r="F18" s="123">
        <v>-0.41060999999999992</v>
      </c>
      <c r="G18" s="123">
        <v>0.53580000000000005</v>
      </c>
      <c r="H18" s="123">
        <v>0.54405000000000003</v>
      </c>
      <c r="I18" s="123">
        <v>-0.66923999999999995</v>
      </c>
    </row>
    <row r="19" spans="1:9" x14ac:dyDescent="0.25">
      <c r="A19" s="29" t="str">
        <f t="shared" si="0"/>
        <v>AVLRSOFTSC261Q07DA</v>
      </c>
      <c r="B19" s="123" t="s">
        <v>392</v>
      </c>
      <c r="C19" s="123" t="s">
        <v>1912</v>
      </c>
      <c r="D19" s="120">
        <v>0.88161999999999996</v>
      </c>
      <c r="E19" s="123">
        <v>0.53934999999999989</v>
      </c>
      <c r="F19" s="123">
        <v>-0.56752000000000002</v>
      </c>
      <c r="G19" s="123">
        <v>0.46994000000000008</v>
      </c>
      <c r="H19" s="123">
        <v>0.41088999999999998</v>
      </c>
      <c r="I19" s="123">
        <v>-0.31330999999999992</v>
      </c>
    </row>
    <row r="20" spans="1:9" x14ac:dyDescent="0.25">
      <c r="A20" s="29" t="str">
        <f t="shared" si="0"/>
        <v>AVLRSOFTSC261Q08DA</v>
      </c>
      <c r="B20" s="123" t="s">
        <v>392</v>
      </c>
      <c r="C20" s="123" t="s">
        <v>1914</v>
      </c>
      <c r="D20" s="120">
        <v>0.65000999999999998</v>
      </c>
      <c r="E20" s="123">
        <v>-1.393E-2</v>
      </c>
      <c r="F20" s="123">
        <v>0.17848</v>
      </c>
      <c r="G20" s="123">
        <v>0.52015999999999996</v>
      </c>
      <c r="H20" s="123">
        <v>0.41410000000000002</v>
      </c>
      <c r="I20" s="123">
        <v>-1.1127400000000001</v>
      </c>
    </row>
    <row r="21" spans="1:9" x14ac:dyDescent="0.25">
      <c r="A21" s="29" t="str">
        <f t="shared" si="0"/>
        <v>AVLRSOFTSC261Q09DA</v>
      </c>
      <c r="B21" s="123" t="s">
        <v>392</v>
      </c>
      <c r="C21" s="123" t="s">
        <v>1916</v>
      </c>
      <c r="D21" s="120">
        <v>0.62929999999999997</v>
      </c>
      <c r="E21" s="123">
        <v>0.17924999999999999</v>
      </c>
      <c r="F21" s="123">
        <v>0.26983000000000001</v>
      </c>
      <c r="G21" s="123">
        <v>0.38067999999999991</v>
      </c>
      <c r="H21" s="123">
        <v>0.39672000000000002</v>
      </c>
      <c r="I21" s="123">
        <v>-1.0472300000000001</v>
      </c>
    </row>
    <row r="22" spans="1:9" x14ac:dyDescent="0.25">
      <c r="A22" s="29" t="str">
        <f t="shared" si="0"/>
        <v>AVLRSOFTSC261Q10DA</v>
      </c>
      <c r="B22" s="123" t="s">
        <v>392</v>
      </c>
      <c r="C22" s="123" t="s">
        <v>1918</v>
      </c>
      <c r="D22" s="120">
        <v>0.57798999999999989</v>
      </c>
      <c r="E22" s="123">
        <v>1.10877</v>
      </c>
      <c r="F22" s="123">
        <v>-0.11855</v>
      </c>
      <c r="G22" s="123">
        <v>0.32332</v>
      </c>
      <c r="H22" s="123">
        <v>0.19958000000000001</v>
      </c>
      <c r="I22" s="123">
        <v>-0.40434999999999999</v>
      </c>
    </row>
    <row r="23" spans="1:9" x14ac:dyDescent="0.25">
      <c r="A23" s="29" t="str">
        <f t="shared" si="0"/>
        <v>DELGLOBSC158Q01HA</v>
      </c>
      <c r="B23" s="123" t="s">
        <v>393</v>
      </c>
      <c r="C23" s="123" t="s">
        <v>1959</v>
      </c>
      <c r="D23" s="120">
        <v>3.792759999999999</v>
      </c>
      <c r="E23" s="123">
        <v>-2.9071400000000001</v>
      </c>
      <c r="F23" s="123"/>
      <c r="G23" s="123"/>
      <c r="H23" s="123"/>
      <c r="I23" s="123"/>
    </row>
    <row r="24" spans="1:9" x14ac:dyDescent="0.25">
      <c r="A24" s="29" t="str">
        <f t="shared" si="0"/>
        <v>DELGLOBSC158Q13DA</v>
      </c>
      <c r="B24" s="123" t="s">
        <v>393</v>
      </c>
      <c r="C24" s="123" t="s">
        <v>1961</v>
      </c>
      <c r="D24" s="120">
        <v>2.6831700000000001</v>
      </c>
      <c r="E24" s="123">
        <v>-0.87492999999999999</v>
      </c>
      <c r="F24" s="123"/>
      <c r="G24" s="123"/>
      <c r="H24" s="123"/>
      <c r="I24" s="123"/>
    </row>
    <row r="25" spans="1:9" x14ac:dyDescent="0.25">
      <c r="A25" s="29" t="str">
        <f t="shared" si="0"/>
        <v>DELGLOBSC158Q04HA</v>
      </c>
      <c r="B25" s="123" t="s">
        <v>393</v>
      </c>
      <c r="C25" s="123" t="s">
        <v>1963</v>
      </c>
      <c r="D25" s="120">
        <v>5</v>
      </c>
      <c r="E25" s="123">
        <v>-1.57735</v>
      </c>
      <c r="F25" s="123"/>
      <c r="G25" s="123"/>
      <c r="H25" s="123"/>
      <c r="I25" s="123"/>
    </row>
    <row r="26" spans="1:9" x14ac:dyDescent="0.25">
      <c r="A26" s="29" t="str">
        <f t="shared" si="0"/>
        <v>DELGLOBSC158Q07HA</v>
      </c>
      <c r="B26" s="123" t="s">
        <v>393</v>
      </c>
      <c r="C26" s="123" t="s">
        <v>1965</v>
      </c>
      <c r="D26" s="120">
        <v>4.7517500000000004</v>
      </c>
      <c r="E26" s="123">
        <v>-1.3162400000000001</v>
      </c>
      <c r="F26" s="123"/>
      <c r="G26" s="123"/>
      <c r="H26" s="123"/>
      <c r="I26" s="123"/>
    </row>
    <row r="27" spans="1:9" x14ac:dyDescent="0.25">
      <c r="A27" s="29" t="str">
        <f t="shared" si="0"/>
        <v>DELGLOBSC158Q08HA</v>
      </c>
      <c r="B27" s="123" t="s">
        <v>393</v>
      </c>
      <c r="C27" s="123" t="s">
        <v>1967</v>
      </c>
      <c r="D27" s="120">
        <v>5</v>
      </c>
      <c r="E27" s="123">
        <v>-1.65459</v>
      </c>
      <c r="F27" s="123"/>
      <c r="G27" s="123"/>
      <c r="H27" s="123"/>
      <c r="I27" s="123"/>
    </row>
    <row r="28" spans="1:9" x14ac:dyDescent="0.25">
      <c r="A28" s="29" t="str">
        <f t="shared" si="0"/>
        <v>DELGLOBSC158Q09HA</v>
      </c>
      <c r="B28" s="123" t="s">
        <v>393</v>
      </c>
      <c r="C28" s="123" t="s">
        <v>1969</v>
      </c>
      <c r="D28" s="120">
        <v>5</v>
      </c>
      <c r="E28" s="123">
        <v>-1.9958199999999999</v>
      </c>
      <c r="F28" s="123"/>
      <c r="G28" s="123"/>
      <c r="H28" s="123"/>
      <c r="I28" s="123"/>
    </row>
    <row r="29" spans="1:9" x14ac:dyDescent="0.25">
      <c r="A29" s="29" t="str">
        <f t="shared" si="0"/>
        <v>DELGLOBSC158Q12HA</v>
      </c>
      <c r="B29" s="123" t="s">
        <v>393</v>
      </c>
      <c r="C29" s="123" t="s">
        <v>1971</v>
      </c>
      <c r="D29" s="120">
        <v>3.48109</v>
      </c>
      <c r="E29" s="123">
        <v>-2.45702</v>
      </c>
      <c r="F29" s="123"/>
      <c r="G29" s="123"/>
      <c r="H29" s="123"/>
      <c r="I29" s="123"/>
    </row>
    <row r="30" spans="1:9" x14ac:dyDescent="0.25">
      <c r="A30" s="29" t="str">
        <f t="shared" si="0"/>
        <v>DIGPREPSC155Q01HA</v>
      </c>
      <c r="B30" s="123" t="s">
        <v>349</v>
      </c>
      <c r="C30" s="123" t="s">
        <v>1920</v>
      </c>
      <c r="D30" s="120">
        <v>3.9702899999999999</v>
      </c>
      <c r="E30" s="123">
        <v>-1.62039</v>
      </c>
      <c r="F30" s="123">
        <v>-2.3205499999999999</v>
      </c>
      <c r="G30" s="123">
        <v>-1.09179</v>
      </c>
      <c r="H30" s="123">
        <v>3.412339999999999</v>
      </c>
      <c r="I30" s="123"/>
    </row>
    <row r="31" spans="1:9" x14ac:dyDescent="0.25">
      <c r="A31" s="29" t="str">
        <f t="shared" si="0"/>
        <v>DIGPREPSC155Q02HA</v>
      </c>
      <c r="B31" s="123" t="s">
        <v>349</v>
      </c>
      <c r="C31" s="123" t="s">
        <v>1922</v>
      </c>
      <c r="D31" s="120">
        <v>3.3462200000000011</v>
      </c>
      <c r="E31" s="123">
        <v>-1.3737299999999999</v>
      </c>
      <c r="F31" s="123">
        <v>-3.081700000000001</v>
      </c>
      <c r="G31" s="123">
        <v>-0.18325</v>
      </c>
      <c r="H31" s="123">
        <v>3.2649499999999998</v>
      </c>
      <c r="I31" s="123"/>
    </row>
    <row r="32" spans="1:9" x14ac:dyDescent="0.25">
      <c r="A32" s="29" t="str">
        <f t="shared" si="0"/>
        <v>DIGPREPSC155Q03HA</v>
      </c>
      <c r="B32" s="123" t="s">
        <v>349</v>
      </c>
      <c r="C32" s="123" t="s">
        <v>1924</v>
      </c>
      <c r="D32" s="120">
        <v>5</v>
      </c>
      <c r="E32" s="123">
        <v>-1.6768799999999999</v>
      </c>
      <c r="F32" s="123">
        <v>-4.432529999999999</v>
      </c>
      <c r="G32" s="123">
        <v>-0.87022999999999995</v>
      </c>
      <c r="H32" s="123">
        <v>5.3027599999999993</v>
      </c>
      <c r="I32" s="123"/>
    </row>
    <row r="33" spans="1:9" x14ac:dyDescent="0.25">
      <c r="A33" s="29" t="str">
        <f t="shared" si="0"/>
        <v>DIGPREPSC155Q04HA</v>
      </c>
      <c r="B33" s="123" t="s">
        <v>349</v>
      </c>
      <c r="C33" s="123" t="s">
        <v>1926</v>
      </c>
      <c r="D33" s="120">
        <v>3.59144</v>
      </c>
      <c r="E33" s="123">
        <v>-1.06562</v>
      </c>
      <c r="F33" s="123">
        <v>-2.5034000000000001</v>
      </c>
      <c r="G33" s="123">
        <v>-0.84469000000000016</v>
      </c>
      <c r="H33" s="123">
        <v>3.3480899999999991</v>
      </c>
      <c r="I33" s="123"/>
    </row>
    <row r="34" spans="1:9" x14ac:dyDescent="0.25">
      <c r="A34" s="29" t="str">
        <f t="shared" si="0"/>
        <v>DIGPREPSC155Q05HA</v>
      </c>
      <c r="B34" s="123" t="s">
        <v>349</v>
      </c>
      <c r="C34" s="123" t="s">
        <v>1928</v>
      </c>
      <c r="D34" s="120">
        <v>1.99082</v>
      </c>
      <c r="E34" s="123">
        <v>-0.65276999999999985</v>
      </c>
      <c r="F34" s="123">
        <v>-1.4125399999999999</v>
      </c>
      <c r="G34" s="123">
        <v>-0.24812999999999999</v>
      </c>
      <c r="H34" s="123">
        <v>1.6606700000000001</v>
      </c>
      <c r="I34" s="123"/>
    </row>
    <row r="35" spans="1:9" x14ac:dyDescent="0.25">
      <c r="A35" s="29" t="str">
        <f t="shared" si="0"/>
        <v>DIGPREPSC155Q06HA</v>
      </c>
      <c r="B35" s="123" t="s">
        <v>349</v>
      </c>
      <c r="C35" s="123" t="s">
        <v>1930</v>
      </c>
      <c r="D35" s="120">
        <v>1.8405</v>
      </c>
      <c r="E35" s="123">
        <v>-1.5704400000000001</v>
      </c>
      <c r="F35" s="123">
        <v>-3.1851699999999998</v>
      </c>
      <c r="G35" s="123">
        <v>-0.32624999999999998</v>
      </c>
      <c r="H35" s="123">
        <v>3.5114199999999989</v>
      </c>
      <c r="I35" s="123"/>
    </row>
    <row r="36" spans="1:9" x14ac:dyDescent="0.25">
      <c r="A36" s="29" t="str">
        <f t="shared" si="0"/>
        <v>DIGPREPSC155Q07HA</v>
      </c>
      <c r="B36" s="123" t="s">
        <v>349</v>
      </c>
      <c r="C36" s="123" t="s">
        <v>1932</v>
      </c>
      <c r="D36" s="120">
        <v>1.99986</v>
      </c>
      <c r="E36" s="123">
        <v>-0.36403999999999997</v>
      </c>
      <c r="F36" s="123">
        <v>-2.3059400000000001</v>
      </c>
      <c r="G36" s="123">
        <v>-0.75553000000000015</v>
      </c>
      <c r="H36" s="123">
        <v>3.0614699999999999</v>
      </c>
      <c r="I36" s="123"/>
    </row>
    <row r="37" spans="1:9" x14ac:dyDescent="0.25">
      <c r="A37" s="29" t="str">
        <f t="shared" si="0"/>
        <v>DIGPREPSC155Q08HA</v>
      </c>
      <c r="B37" s="123" t="s">
        <v>349</v>
      </c>
      <c r="C37" s="123" t="s">
        <v>1934</v>
      </c>
      <c r="D37" s="120">
        <v>3.8128899999999999</v>
      </c>
      <c r="E37" s="123">
        <v>-1.49454</v>
      </c>
      <c r="F37" s="123">
        <v>-4.1442899999999998</v>
      </c>
      <c r="G37" s="123">
        <v>-0.87451000000000001</v>
      </c>
      <c r="H37" s="123">
        <v>5.0187999999999988</v>
      </c>
      <c r="I37" s="123"/>
    </row>
    <row r="38" spans="1:9" x14ac:dyDescent="0.25">
      <c r="A38" s="29" t="str">
        <f t="shared" si="0"/>
        <v>DIGPREPSC155Q09HA</v>
      </c>
      <c r="B38" s="123" t="s">
        <v>349</v>
      </c>
      <c r="C38" s="123" t="s">
        <v>1936</v>
      </c>
      <c r="D38" s="120">
        <v>2.2971400000000002</v>
      </c>
      <c r="E38" s="123">
        <v>-1.1341600000000001</v>
      </c>
      <c r="F38" s="123">
        <v>-2.6692300000000002</v>
      </c>
      <c r="G38" s="123">
        <v>-0.36249999999999999</v>
      </c>
      <c r="H38" s="123">
        <v>3.03173</v>
      </c>
      <c r="I38" s="123"/>
    </row>
    <row r="39" spans="1:9" x14ac:dyDescent="0.25">
      <c r="A39" s="29" t="str">
        <f t="shared" si="0"/>
        <v>DIGPREPSC155Q10HA</v>
      </c>
      <c r="B39" s="123" t="s">
        <v>349</v>
      </c>
      <c r="C39" s="123" t="s">
        <v>1938</v>
      </c>
      <c r="D39" s="120">
        <v>0.95399</v>
      </c>
      <c r="E39" s="123">
        <v>0.44213000000000008</v>
      </c>
      <c r="F39" s="123">
        <v>-1.15374</v>
      </c>
      <c r="G39" s="123">
        <v>-0.78822999999999999</v>
      </c>
      <c r="H39" s="123">
        <v>1.94197</v>
      </c>
      <c r="I39" s="123"/>
    </row>
    <row r="40" spans="1:9" x14ac:dyDescent="0.25">
      <c r="A40" s="29" t="str">
        <f t="shared" si="0"/>
        <v>DIGPREPSC155Q12DA</v>
      </c>
      <c r="B40" s="123" t="s">
        <v>349</v>
      </c>
      <c r="C40" s="123" t="s">
        <v>1940</v>
      </c>
      <c r="D40" s="120">
        <v>1.6487700000000001</v>
      </c>
      <c r="E40" s="123">
        <v>-0.82562999999999998</v>
      </c>
      <c r="F40" s="123">
        <v>-1.9571000000000001</v>
      </c>
      <c r="G40" s="123">
        <v>-0.80649999999999988</v>
      </c>
      <c r="H40" s="123">
        <v>2.7635999999999998</v>
      </c>
      <c r="I40" s="123"/>
    </row>
    <row r="41" spans="1:9" x14ac:dyDescent="0.25">
      <c r="A41" s="29" t="str">
        <f t="shared" si="0"/>
        <v>DIGPREPSC155Q13DA</v>
      </c>
      <c r="B41" s="123" t="s">
        <v>349</v>
      </c>
      <c r="C41" s="123" t="s">
        <v>1942</v>
      </c>
      <c r="D41" s="120">
        <v>1.46129</v>
      </c>
      <c r="E41" s="123">
        <v>-0.10427</v>
      </c>
      <c r="F41" s="123">
        <v>-1.4362600000000001</v>
      </c>
      <c r="G41" s="123">
        <v>-0.40117000000000008</v>
      </c>
      <c r="H41" s="123">
        <v>1.8374299999999999</v>
      </c>
      <c r="I41" s="123"/>
    </row>
    <row r="42" spans="1:9" x14ac:dyDescent="0.25">
      <c r="A42" s="29" t="str">
        <f t="shared" si="0"/>
        <v>EDULEADSC201Q03JA</v>
      </c>
      <c r="B42" s="123" t="s">
        <v>350</v>
      </c>
      <c r="C42" s="123" t="s">
        <v>1944</v>
      </c>
      <c r="D42" s="120">
        <v>1.2723899999999999</v>
      </c>
      <c r="E42" s="123">
        <v>0.11734</v>
      </c>
      <c r="F42" s="123">
        <v>-2.9577800000000001</v>
      </c>
      <c r="G42" s="123">
        <v>-0.6159300000000002</v>
      </c>
      <c r="H42" s="123">
        <v>1.42161</v>
      </c>
      <c r="I42" s="123">
        <v>2.1520999999999999</v>
      </c>
    </row>
    <row r="43" spans="1:9" x14ac:dyDescent="0.25">
      <c r="A43" s="29" t="str">
        <f t="shared" si="0"/>
        <v>EDULEADSC201Q04JA</v>
      </c>
      <c r="B43" s="123" t="s">
        <v>350</v>
      </c>
      <c r="C43" s="123" t="s">
        <v>1946</v>
      </c>
      <c r="D43" s="120">
        <v>2.3788100000000001</v>
      </c>
      <c r="E43" s="123">
        <v>-7.7299999999999982E-3</v>
      </c>
      <c r="F43" s="123">
        <v>-4.8537499999999989</v>
      </c>
      <c r="G43" s="123">
        <v>-0.92786999999999997</v>
      </c>
      <c r="H43" s="123">
        <v>2.2082899999999999</v>
      </c>
      <c r="I43" s="123">
        <v>3.5733299999999999</v>
      </c>
    </row>
    <row r="44" spans="1:9" x14ac:dyDescent="0.25">
      <c r="A44" s="29" t="str">
        <f t="shared" si="0"/>
        <v>EDULEADSC201Q05JA</v>
      </c>
      <c r="B44" s="123" t="s">
        <v>350</v>
      </c>
      <c r="C44" s="123" t="s">
        <v>1948</v>
      </c>
      <c r="D44" s="120">
        <v>3.7700600000000009</v>
      </c>
      <c r="E44" s="123">
        <v>0.27982000000000001</v>
      </c>
      <c r="F44" s="123">
        <v>-6.3948099999999988</v>
      </c>
      <c r="G44" s="123">
        <v>-1.1329199999999999</v>
      </c>
      <c r="H44" s="123">
        <v>2.78206</v>
      </c>
      <c r="I44" s="123">
        <v>4.7456699999999996</v>
      </c>
    </row>
    <row r="45" spans="1:9" x14ac:dyDescent="0.25">
      <c r="A45" s="29" t="str">
        <f t="shared" si="0"/>
        <v>EDULEADSC201Q06JA</v>
      </c>
      <c r="B45" s="123" t="s">
        <v>350</v>
      </c>
      <c r="C45" s="123" t="s">
        <v>1950</v>
      </c>
      <c r="D45" s="120">
        <v>2.4952999999999999</v>
      </c>
      <c r="E45" s="123">
        <v>-3.355000000000001E-2</v>
      </c>
      <c r="F45" s="123">
        <v>-4.06562</v>
      </c>
      <c r="G45" s="123">
        <v>-0.96148999999999996</v>
      </c>
      <c r="H45" s="123">
        <v>2.075969999999999</v>
      </c>
      <c r="I45" s="123">
        <v>2.9511400000000001</v>
      </c>
    </row>
    <row r="46" spans="1:9" x14ac:dyDescent="0.25">
      <c r="A46" s="29" t="str">
        <f t="shared" si="0"/>
        <v>EDULEADSC201Q07JA</v>
      </c>
      <c r="B46" s="123" t="s">
        <v>350</v>
      </c>
      <c r="C46" s="123" t="s">
        <v>1952</v>
      </c>
      <c r="D46" s="120">
        <v>0.68772999999999995</v>
      </c>
      <c r="E46" s="123">
        <v>-0.35576999999999998</v>
      </c>
      <c r="F46" s="123">
        <v>-2.8437199999999998</v>
      </c>
      <c r="G46" s="123">
        <v>-0.18945000000000001</v>
      </c>
      <c r="H46" s="123">
        <v>1.9096900000000001</v>
      </c>
      <c r="I46" s="123">
        <v>1.12348</v>
      </c>
    </row>
    <row r="47" spans="1:9" x14ac:dyDescent="0.25">
      <c r="A47" s="29" t="str">
        <f t="shared" si="0"/>
        <v>EDULEADSC201Q12DA</v>
      </c>
      <c r="B47" s="123" t="s">
        <v>350</v>
      </c>
      <c r="C47" s="123" t="s">
        <v>1956</v>
      </c>
      <c r="D47" s="120">
        <v>0.52915000000000001</v>
      </c>
      <c r="E47" s="123">
        <v>0.38002999999999998</v>
      </c>
      <c r="F47" s="123">
        <v>-1.7445299999999999</v>
      </c>
      <c r="G47" s="123">
        <v>-0.16047</v>
      </c>
      <c r="H47" s="123">
        <v>1.17306</v>
      </c>
      <c r="I47" s="123">
        <v>0.73193999999999981</v>
      </c>
    </row>
    <row r="48" spans="1:9" x14ac:dyDescent="0.25">
      <c r="A48" s="29" t="str">
        <f t="shared" si="0"/>
        <v>EDULEADSC201Q11JA</v>
      </c>
      <c r="B48" s="123" t="s">
        <v>350</v>
      </c>
      <c r="C48" s="123" t="s">
        <v>1954</v>
      </c>
      <c r="D48" s="120">
        <v>0.75029999999999997</v>
      </c>
      <c r="E48" s="123">
        <v>0.41641</v>
      </c>
      <c r="F48" s="123">
        <v>-2.8252799999999998</v>
      </c>
      <c r="G48" s="123">
        <v>1.0220100000000001</v>
      </c>
      <c r="H48" s="123">
        <v>1.5220100000000001</v>
      </c>
      <c r="I48" s="123">
        <v>0.28125999999999962</v>
      </c>
    </row>
    <row r="49" spans="1:9" x14ac:dyDescent="0.25">
      <c r="A49" s="29" t="str">
        <f t="shared" si="0"/>
        <v>EDUSHORTSC017Q05NA</v>
      </c>
      <c r="B49" s="123" t="s">
        <v>351</v>
      </c>
      <c r="C49" s="123" t="s">
        <v>1834</v>
      </c>
      <c r="D49" s="120">
        <v>2.3789600000000002</v>
      </c>
      <c r="E49" s="123">
        <v>-0.15845999999999999</v>
      </c>
      <c r="F49" s="123">
        <v>-2.7145999999999999</v>
      </c>
      <c r="G49" s="123">
        <v>-0.30521999999999999</v>
      </c>
      <c r="H49" s="123">
        <v>3.0198200000000002</v>
      </c>
      <c r="I49" s="33"/>
    </row>
    <row r="50" spans="1:9" x14ac:dyDescent="0.25">
      <c r="A50" s="29" t="str">
        <f t="shared" si="0"/>
        <v>EDUSHORTSC017Q06NA</v>
      </c>
      <c r="B50" s="123" t="s">
        <v>351</v>
      </c>
      <c r="C50" s="123" t="s">
        <v>1836</v>
      </c>
      <c r="D50" s="120">
        <v>2.3089499999999998</v>
      </c>
      <c r="E50" s="123">
        <v>0.14962</v>
      </c>
      <c r="F50" s="123">
        <v>-2.9456600000000002</v>
      </c>
      <c r="G50" s="123">
        <v>-0.20429</v>
      </c>
      <c r="H50" s="123">
        <v>3.14995</v>
      </c>
      <c r="I50" s="33"/>
    </row>
    <row r="51" spans="1:9" x14ac:dyDescent="0.25">
      <c r="A51" s="29" t="str">
        <f t="shared" si="0"/>
        <v>EDUSHORTSC017Q07NA</v>
      </c>
      <c r="B51" s="123" t="s">
        <v>351</v>
      </c>
      <c r="C51" s="123" t="s">
        <v>1838</v>
      </c>
      <c r="D51" s="120">
        <v>1.0462899999999999</v>
      </c>
      <c r="E51" s="123">
        <v>9.3100000000000023E-3</v>
      </c>
      <c r="F51" s="123">
        <v>-1.0538700000000001</v>
      </c>
      <c r="G51" s="123">
        <v>-0.25361000000000011</v>
      </c>
      <c r="H51" s="123">
        <v>1.30748</v>
      </c>
      <c r="I51" s="33"/>
    </row>
    <row r="52" spans="1:9" x14ac:dyDescent="0.25">
      <c r="A52" s="29" t="str">
        <f t="shared" si="0"/>
        <v>EDUSHORTSC017Q08NA</v>
      </c>
      <c r="B52" s="123" t="s">
        <v>351</v>
      </c>
      <c r="C52" s="123" t="s">
        <v>1840</v>
      </c>
      <c r="D52" s="120">
        <v>1.0658099999999999</v>
      </c>
      <c r="E52" s="123">
        <v>-4.6999999999999988E-4</v>
      </c>
      <c r="F52" s="123">
        <v>-1.1674100000000001</v>
      </c>
      <c r="G52" s="123">
        <v>-0.14166999999999999</v>
      </c>
      <c r="H52" s="123">
        <v>1.30908</v>
      </c>
      <c r="I52" s="33"/>
    </row>
    <row r="53" spans="1:9" x14ac:dyDescent="0.25">
      <c r="A53" s="29" t="str">
        <f t="shared" si="0"/>
        <v>ENCOURPGSC192Q01JA</v>
      </c>
      <c r="B53" s="123" t="s">
        <v>352</v>
      </c>
      <c r="C53" s="123" t="s">
        <v>2052</v>
      </c>
      <c r="D53" s="120">
        <v>0.87013000000000018</v>
      </c>
      <c r="E53" s="123">
        <v>1.06989</v>
      </c>
      <c r="F53" s="123">
        <v>-2.542110000000001</v>
      </c>
      <c r="G53" s="123">
        <v>1.2109099999999999</v>
      </c>
      <c r="H53" s="123">
        <v>1.3311999999999999</v>
      </c>
      <c r="I53" s="33"/>
    </row>
    <row r="54" spans="1:9" x14ac:dyDescent="0.25">
      <c r="A54" s="29" t="str">
        <f t="shared" si="0"/>
        <v>ENCOURPGSC192Q02JA</v>
      </c>
      <c r="B54" s="123" t="s">
        <v>352</v>
      </c>
      <c r="C54" s="123" t="s">
        <v>2054</v>
      </c>
      <c r="D54" s="120">
        <v>1.1578299999999999</v>
      </c>
      <c r="E54" s="123">
        <v>0.38096000000000002</v>
      </c>
      <c r="F54" s="123">
        <v>-2.9117099999999998</v>
      </c>
      <c r="G54" s="123">
        <v>0.99153000000000013</v>
      </c>
      <c r="H54" s="123">
        <v>1.92018</v>
      </c>
      <c r="I54" s="33"/>
    </row>
    <row r="55" spans="1:9" x14ac:dyDescent="0.25">
      <c r="A55" s="29" t="str">
        <f t="shared" si="0"/>
        <v>ENCOURPGSC192Q03JA</v>
      </c>
      <c r="B55" s="123" t="s">
        <v>352</v>
      </c>
      <c r="C55" s="123" t="s">
        <v>2056</v>
      </c>
      <c r="D55" s="120">
        <v>1.7178599999999999</v>
      </c>
      <c r="E55" s="123">
        <v>-1.1933800000000001</v>
      </c>
      <c r="F55" s="123">
        <v>-4.2364300000000004</v>
      </c>
      <c r="G55" s="123">
        <v>0.85053999999999996</v>
      </c>
      <c r="H55" s="123">
        <v>3.3858899999999998</v>
      </c>
      <c r="I55" s="33"/>
    </row>
    <row r="56" spans="1:9" x14ac:dyDescent="0.25">
      <c r="A56" s="29" t="str">
        <f t="shared" si="0"/>
        <v>ENCOURPGSC192Q04JA</v>
      </c>
      <c r="B56" s="123" t="s">
        <v>352</v>
      </c>
      <c r="C56" s="123" t="s">
        <v>2058</v>
      </c>
      <c r="D56" s="120">
        <v>1.2293700000000001</v>
      </c>
      <c r="E56" s="123">
        <v>0.93711999999999995</v>
      </c>
      <c r="F56" s="123">
        <v>-3.0247099999999989</v>
      </c>
      <c r="G56" s="123">
        <v>0.93994000000000011</v>
      </c>
      <c r="H56" s="123">
        <v>2.0847699999999998</v>
      </c>
      <c r="I56" s="33"/>
    </row>
    <row r="57" spans="1:9" x14ac:dyDescent="0.25">
      <c r="A57" s="29" t="str">
        <f t="shared" si="0"/>
        <v>ENCOURPGSC192Q05JA</v>
      </c>
      <c r="B57" s="123" t="s">
        <v>352</v>
      </c>
      <c r="C57" s="123" t="s">
        <v>2060</v>
      </c>
      <c r="D57" s="120">
        <v>2.725950000000001</v>
      </c>
      <c r="E57" s="123">
        <v>-1.1138300000000001</v>
      </c>
      <c r="F57" s="123">
        <v>-4.46061</v>
      </c>
      <c r="G57" s="123">
        <v>0.5788000000000002</v>
      </c>
      <c r="H57" s="123">
        <v>3.8818100000000011</v>
      </c>
      <c r="I57" s="33"/>
    </row>
    <row r="58" spans="1:9" x14ac:dyDescent="0.25">
      <c r="A58" s="29" t="str">
        <f t="shared" si="0"/>
        <v>ENCOURPGSC192Q07DA</v>
      </c>
      <c r="B58" s="123" t="s">
        <v>352</v>
      </c>
      <c r="C58" s="123" t="s">
        <v>2062</v>
      </c>
      <c r="D58" s="120">
        <v>2.7433700000000001</v>
      </c>
      <c r="E58" s="123">
        <v>0.25724000000000002</v>
      </c>
      <c r="F58" s="123">
        <v>-4.0229200000000001</v>
      </c>
      <c r="G58" s="123">
        <v>0.53252999999999995</v>
      </c>
      <c r="H58" s="123">
        <v>3.4903900000000001</v>
      </c>
      <c r="I58" s="33"/>
    </row>
    <row r="59" spans="1:9" x14ac:dyDescent="0.25">
      <c r="A59" s="29" t="str">
        <f t="shared" si="0"/>
        <v>FREESCIESC406Q01DA</v>
      </c>
      <c r="B59" s="123" t="s">
        <v>394</v>
      </c>
      <c r="C59" s="123" t="s">
        <v>1987</v>
      </c>
      <c r="D59" s="120">
        <v>2.8350499999999998</v>
      </c>
      <c r="E59" s="123">
        <v>-0.3268299999999999</v>
      </c>
      <c r="F59" s="123">
        <v>-1.4787699999999999</v>
      </c>
      <c r="G59" s="123">
        <v>1.4787699999999999</v>
      </c>
      <c r="H59" s="123"/>
      <c r="I59" s="33"/>
    </row>
    <row r="60" spans="1:9" x14ac:dyDescent="0.25">
      <c r="A60" s="29" t="str">
        <f t="shared" si="0"/>
        <v>FREESCIESC406Q02DA</v>
      </c>
      <c r="B60" s="123" t="s">
        <v>394</v>
      </c>
      <c r="C60" s="123" t="s">
        <v>1989</v>
      </c>
      <c r="D60" s="120">
        <v>1.66632</v>
      </c>
      <c r="E60" s="123">
        <v>0.86673</v>
      </c>
      <c r="F60" s="123">
        <v>-1.1775</v>
      </c>
      <c r="G60" s="123">
        <v>1.1775</v>
      </c>
      <c r="H60" s="123"/>
      <c r="I60" s="33"/>
    </row>
    <row r="61" spans="1:9" x14ac:dyDescent="0.25">
      <c r="A61" s="29" t="str">
        <f t="shared" si="0"/>
        <v>FREESCIESC406Q03DA</v>
      </c>
      <c r="B61" s="123" t="s">
        <v>394</v>
      </c>
      <c r="C61" s="123" t="s">
        <v>1991</v>
      </c>
      <c r="D61" s="120">
        <v>2.4372400000000001</v>
      </c>
      <c r="E61" s="123">
        <v>1.57934</v>
      </c>
      <c r="F61" s="123">
        <v>-1.2226300000000001</v>
      </c>
      <c r="G61" s="123">
        <v>1.2226300000000001</v>
      </c>
      <c r="H61" s="123"/>
      <c r="I61" s="33"/>
    </row>
    <row r="62" spans="1:9" x14ac:dyDescent="0.25">
      <c r="A62" s="29" t="str">
        <f t="shared" si="0"/>
        <v>FREESCIESC406Q04DA</v>
      </c>
      <c r="B62" s="123" t="s">
        <v>394</v>
      </c>
      <c r="C62" s="123" t="s">
        <v>1993</v>
      </c>
      <c r="D62" s="120">
        <v>1.02115</v>
      </c>
      <c r="E62" s="123">
        <v>1.7317199999999999</v>
      </c>
      <c r="F62" s="123">
        <v>-0.21717</v>
      </c>
      <c r="G62" s="123">
        <v>0.21717</v>
      </c>
      <c r="H62" s="123"/>
      <c r="I62" s="33"/>
    </row>
    <row r="63" spans="1:9" x14ac:dyDescent="0.25">
      <c r="A63" s="29" t="str">
        <f t="shared" si="0"/>
        <v>NEGSCLIMSC172Q01DA</v>
      </c>
      <c r="B63" s="123" t="s">
        <v>353</v>
      </c>
      <c r="C63" s="123" t="s">
        <v>1818</v>
      </c>
      <c r="D63" s="120">
        <v>0.81786000000000003</v>
      </c>
      <c r="E63" s="123">
        <v>6.5449999999999994E-2</v>
      </c>
      <c r="F63" s="123">
        <v>-2.1383899999999998</v>
      </c>
      <c r="G63" s="123">
        <v>0.34945999999999999</v>
      </c>
      <c r="H63" s="123">
        <v>1.7889299999999999</v>
      </c>
      <c r="I63" s="33"/>
    </row>
    <row r="64" spans="1:9" x14ac:dyDescent="0.25">
      <c r="A64" s="29" t="str">
        <f t="shared" si="0"/>
        <v>NEGSCLIMSC172Q02JA</v>
      </c>
      <c r="B64" s="123" t="s">
        <v>353</v>
      </c>
      <c r="C64" s="123" t="s">
        <v>1820</v>
      </c>
      <c r="D64" s="120">
        <v>1.09744</v>
      </c>
      <c r="E64" s="123">
        <v>-0.62475000000000014</v>
      </c>
      <c r="F64" s="123">
        <v>-2.5238900000000002</v>
      </c>
      <c r="G64" s="123">
        <v>0.74394000000000005</v>
      </c>
      <c r="H64" s="123">
        <v>1.7799499999999999</v>
      </c>
      <c r="I64" s="33"/>
    </row>
    <row r="65" spans="1:9" x14ac:dyDescent="0.25">
      <c r="A65" s="29" t="str">
        <f t="shared" si="0"/>
        <v>NEGSCLIMSC172Q03JA</v>
      </c>
      <c r="B65" s="123" t="s">
        <v>353</v>
      </c>
      <c r="C65" s="123" t="s">
        <v>1822</v>
      </c>
      <c r="D65" s="120">
        <v>1.7392799999999999</v>
      </c>
      <c r="E65" s="123">
        <v>-0.14610999999999999</v>
      </c>
      <c r="F65" s="123">
        <v>-2.26416</v>
      </c>
      <c r="G65" s="123">
        <v>1.2387300000000001</v>
      </c>
      <c r="H65" s="123">
        <v>1.0254300000000001</v>
      </c>
      <c r="I65" s="33"/>
    </row>
    <row r="66" spans="1:9" x14ac:dyDescent="0.25">
      <c r="A66" s="29" t="str">
        <f t="shared" ref="A66:A129" si="1">_xlfn.CONCAT(B66,C66)</f>
        <v>NEGSCLIMSC172Q04JA</v>
      </c>
      <c r="B66" s="123" t="s">
        <v>353</v>
      </c>
      <c r="C66" s="123" t="s">
        <v>1824</v>
      </c>
      <c r="D66" s="120">
        <v>1.7342900000000001</v>
      </c>
      <c r="E66" s="123">
        <v>0.52756999999999987</v>
      </c>
      <c r="F66" s="123">
        <v>-3.57395</v>
      </c>
      <c r="G66" s="123">
        <v>0.64022999999999997</v>
      </c>
      <c r="H66" s="123">
        <v>2.933720000000001</v>
      </c>
      <c r="I66" s="33"/>
    </row>
    <row r="67" spans="1:9" x14ac:dyDescent="0.25">
      <c r="A67" s="29" t="str">
        <f t="shared" si="1"/>
        <v>NEGSCLIMSC172Q05JA</v>
      </c>
      <c r="B67" s="123" t="s">
        <v>353</v>
      </c>
      <c r="C67" s="123" t="s">
        <v>1826</v>
      </c>
      <c r="D67" s="120">
        <v>1.90205</v>
      </c>
      <c r="E67" s="123">
        <v>-0.89356000000000002</v>
      </c>
      <c r="F67" s="123">
        <v>-2.88286</v>
      </c>
      <c r="G67" s="123">
        <v>1.4517100000000009</v>
      </c>
      <c r="H67" s="123">
        <v>1.4311499999999999</v>
      </c>
      <c r="I67" s="33"/>
    </row>
    <row r="68" spans="1:9" x14ac:dyDescent="0.25">
      <c r="A68" s="29" t="str">
        <f t="shared" si="1"/>
        <v>NEGSCLIMSC172Q06JA</v>
      </c>
      <c r="B68" s="123" t="s">
        <v>353</v>
      </c>
      <c r="C68" s="123" t="s">
        <v>1828</v>
      </c>
      <c r="D68" s="120">
        <v>1.9492400000000001</v>
      </c>
      <c r="E68" s="123">
        <v>0.46239000000000002</v>
      </c>
      <c r="F68" s="123">
        <v>-2.09551</v>
      </c>
      <c r="G68" s="123">
        <v>0.96067000000000002</v>
      </c>
      <c r="H68" s="123">
        <v>1.1348400000000001</v>
      </c>
      <c r="I68" s="33"/>
    </row>
    <row r="69" spans="1:9" x14ac:dyDescent="0.25">
      <c r="A69" s="29" t="str">
        <f t="shared" si="1"/>
        <v>NEGSCLIMSC172Q07JA</v>
      </c>
      <c r="B69" s="123" t="s">
        <v>353</v>
      </c>
      <c r="C69" s="123" t="s">
        <v>1830</v>
      </c>
      <c r="D69" s="120">
        <v>1.7777000000000001</v>
      </c>
      <c r="E69" s="123">
        <v>0.67447000000000001</v>
      </c>
      <c r="F69" s="123">
        <v>-1.7704599999999999</v>
      </c>
      <c r="G69" s="123">
        <v>1.1641699999999999</v>
      </c>
      <c r="H69" s="123">
        <v>0.60629</v>
      </c>
      <c r="I69" s="33"/>
    </row>
    <row r="70" spans="1:9" x14ac:dyDescent="0.25">
      <c r="A70" s="29" t="str">
        <f t="shared" si="1"/>
        <v>NEGSCLIMSC172Q08DA</v>
      </c>
      <c r="B70" s="123" t="s">
        <v>353</v>
      </c>
      <c r="C70" s="123" t="s">
        <v>1832</v>
      </c>
      <c r="D70" s="120">
        <v>1.76362</v>
      </c>
      <c r="E70" s="123">
        <v>1.74055</v>
      </c>
      <c r="F70" s="123">
        <v>-0.67508000000000001</v>
      </c>
      <c r="G70" s="123">
        <v>1.27328</v>
      </c>
      <c r="H70" s="123">
        <v>-0.59819999999999984</v>
      </c>
      <c r="I70" s="33"/>
    </row>
    <row r="71" spans="1:9" x14ac:dyDescent="0.25">
      <c r="A71" s="29" t="str">
        <f t="shared" si="1"/>
        <v>OPPACTENVSC250Q01DA</v>
      </c>
      <c r="B71" s="123" t="s">
        <v>395</v>
      </c>
      <c r="C71" s="123" t="s">
        <v>1850</v>
      </c>
      <c r="D71" s="120">
        <v>0.71399999999999986</v>
      </c>
      <c r="E71" s="123">
        <v>0.15728</v>
      </c>
      <c r="F71" s="123">
        <v>-1.2256100000000001</v>
      </c>
      <c r="G71" s="123">
        <v>0.32462000000000002</v>
      </c>
      <c r="H71" s="123">
        <v>0.90098999999999996</v>
      </c>
      <c r="I71" s="33"/>
    </row>
    <row r="72" spans="1:9" x14ac:dyDescent="0.25">
      <c r="A72" s="29" t="str">
        <f t="shared" si="1"/>
        <v>OPPACTENVSC250Q02DA</v>
      </c>
      <c r="B72" s="123" t="s">
        <v>395</v>
      </c>
      <c r="C72" s="123" t="s">
        <v>1852</v>
      </c>
      <c r="D72" s="120">
        <v>1.45052</v>
      </c>
      <c r="E72" s="123">
        <v>-0.25790000000000002</v>
      </c>
      <c r="F72" s="123">
        <v>-2.5257700000000001</v>
      </c>
      <c r="G72" s="123">
        <v>0.22212999999999999</v>
      </c>
      <c r="H72" s="123">
        <v>2.3036400000000001</v>
      </c>
      <c r="I72" s="33"/>
    </row>
    <row r="73" spans="1:9" x14ac:dyDescent="0.25">
      <c r="A73" s="29" t="str">
        <f t="shared" si="1"/>
        <v>OPPACTENVSC250Q03DA</v>
      </c>
      <c r="B73" s="123" t="s">
        <v>395</v>
      </c>
      <c r="C73" s="123" t="s">
        <v>1854</v>
      </c>
      <c r="D73" s="120">
        <v>0.75529999999999997</v>
      </c>
      <c r="E73" s="123">
        <v>-0.38921</v>
      </c>
      <c r="F73" s="123">
        <v>-1.61263</v>
      </c>
      <c r="G73" s="123">
        <v>0.43291000000000002</v>
      </c>
      <c r="H73" s="123">
        <v>1.1797200000000001</v>
      </c>
      <c r="I73" s="33"/>
    </row>
    <row r="74" spans="1:9" x14ac:dyDescent="0.25">
      <c r="A74" s="29" t="str">
        <f t="shared" si="1"/>
        <v>OPPACTENVSC250Q06DA</v>
      </c>
      <c r="B74" s="123" t="s">
        <v>395</v>
      </c>
      <c r="C74" s="123" t="s">
        <v>1856</v>
      </c>
      <c r="D74" s="120">
        <v>0.76515999999999984</v>
      </c>
      <c r="E74" s="123">
        <v>-0.30307999999999991</v>
      </c>
      <c r="F74" s="123">
        <v>-1.59056</v>
      </c>
      <c r="G74" s="123">
        <v>0.38912000000000008</v>
      </c>
      <c r="H74" s="123">
        <v>1.2014400000000001</v>
      </c>
      <c r="I74" s="33"/>
    </row>
    <row r="75" spans="1:9" x14ac:dyDescent="0.25">
      <c r="A75" s="29" t="str">
        <f t="shared" si="1"/>
        <v>OPPACTENVSC250Q08DA</v>
      </c>
      <c r="B75" s="123" t="s">
        <v>395</v>
      </c>
      <c r="C75" s="123" t="s">
        <v>1858</v>
      </c>
      <c r="D75" s="120">
        <v>0.96281999999999979</v>
      </c>
      <c r="E75" s="123">
        <v>0.75666999999999984</v>
      </c>
      <c r="F75" s="123">
        <v>-1.96671</v>
      </c>
      <c r="G75" s="123">
        <v>0.54547999999999996</v>
      </c>
      <c r="H75" s="123">
        <v>1.42123</v>
      </c>
      <c r="I75" s="33"/>
    </row>
    <row r="76" spans="1:9" x14ac:dyDescent="0.25">
      <c r="A76" s="29" t="str">
        <f t="shared" si="1"/>
        <v>OPPACTENVSC250Q09DA</v>
      </c>
      <c r="B76" s="123" t="s">
        <v>395</v>
      </c>
      <c r="C76" s="123" t="s">
        <v>1860</v>
      </c>
      <c r="D76" s="120">
        <v>1.58219</v>
      </c>
      <c r="E76" s="123">
        <v>0.44664999999999999</v>
      </c>
      <c r="F76" s="123">
        <v>-3.1391100000000001</v>
      </c>
      <c r="G76" s="123">
        <v>0.66371000000000002</v>
      </c>
      <c r="H76" s="123">
        <v>2.4754</v>
      </c>
      <c r="I76" s="33"/>
    </row>
    <row r="77" spans="1:9" x14ac:dyDescent="0.25">
      <c r="A77" s="29" t="str">
        <f t="shared" si="1"/>
        <v>OPPACTENVSC250Q10DA</v>
      </c>
      <c r="B77" s="123" t="s">
        <v>395</v>
      </c>
      <c r="C77" s="123" t="s">
        <v>1862</v>
      </c>
      <c r="D77" s="120">
        <v>2.153010000000001</v>
      </c>
      <c r="E77" s="123">
        <v>0.88085000000000013</v>
      </c>
      <c r="F77" s="123">
        <v>-3.10209</v>
      </c>
      <c r="G77" s="123">
        <v>0.30436999999999997</v>
      </c>
      <c r="H77" s="123">
        <v>2.79772</v>
      </c>
      <c r="I77" s="33"/>
    </row>
    <row r="78" spans="1:9" x14ac:dyDescent="0.25">
      <c r="A78" s="29" t="str">
        <f t="shared" si="1"/>
        <v>OPPACTENVSC250Q12DA</v>
      </c>
      <c r="B78" s="123" t="s">
        <v>395</v>
      </c>
      <c r="C78" s="123" t="s">
        <v>1864</v>
      </c>
      <c r="D78" s="120">
        <v>1.41167</v>
      </c>
      <c r="E78" s="123">
        <v>0.87755000000000005</v>
      </c>
      <c r="F78" s="123">
        <v>-2.3325800000000001</v>
      </c>
      <c r="G78" s="123">
        <v>0.35354000000000002</v>
      </c>
      <c r="H78" s="123">
        <v>1.9790399999999999</v>
      </c>
      <c r="I78" s="33"/>
    </row>
    <row r="79" spans="1:9" x14ac:dyDescent="0.25">
      <c r="A79" s="29" t="str">
        <f t="shared" si="1"/>
        <v>OPPACTENVSC250Q13DA</v>
      </c>
      <c r="B79" s="123" t="s">
        <v>395</v>
      </c>
      <c r="C79" s="123" t="s">
        <v>1866</v>
      </c>
      <c r="D79" s="120">
        <v>1.9244300000000001</v>
      </c>
      <c r="E79" s="123">
        <v>0.67593000000000014</v>
      </c>
      <c r="F79" s="123">
        <v>-2.47159</v>
      </c>
      <c r="G79" s="123">
        <v>9.4820000000000002E-2</v>
      </c>
      <c r="H79" s="123">
        <v>2.37677</v>
      </c>
      <c r="I79" s="33"/>
    </row>
    <row r="80" spans="1:9" x14ac:dyDescent="0.25">
      <c r="A80" s="29" t="str">
        <f t="shared" si="1"/>
        <v>OPPACTENVSC250Q15DA</v>
      </c>
      <c r="B80" s="123" t="s">
        <v>395</v>
      </c>
      <c r="C80" s="123" t="s">
        <v>1868</v>
      </c>
      <c r="D80" s="120">
        <v>0.95784999999999998</v>
      </c>
      <c r="E80" s="123">
        <v>0.95740999999999998</v>
      </c>
      <c r="F80" s="123">
        <v>-1.5442400000000001</v>
      </c>
      <c r="G80" s="123">
        <v>0.17712</v>
      </c>
      <c r="H80" s="123">
        <v>1.3671199999999999</v>
      </c>
      <c r="I80" s="33"/>
    </row>
    <row r="81" spans="1:9" x14ac:dyDescent="0.25">
      <c r="A81" s="29" t="str">
        <f t="shared" si="1"/>
        <v>OPPACTENVSC250Q16DA</v>
      </c>
      <c r="B81" s="123" t="s">
        <v>395</v>
      </c>
      <c r="C81" s="123" t="s">
        <v>1870</v>
      </c>
      <c r="D81" s="120">
        <v>1.47604</v>
      </c>
      <c r="E81" s="123">
        <v>1.0305800000000001</v>
      </c>
      <c r="F81" s="123">
        <v>-2.2516600000000002</v>
      </c>
      <c r="G81" s="123">
        <v>0.34903000000000001</v>
      </c>
      <c r="H81" s="123">
        <v>1.90263</v>
      </c>
      <c r="I81" s="33"/>
    </row>
    <row r="82" spans="1:9" x14ac:dyDescent="0.25">
      <c r="A82" s="29" t="str">
        <f t="shared" si="1"/>
        <v>OPPACTENVSC250Q17DA</v>
      </c>
      <c r="B82" s="123" t="s">
        <v>395</v>
      </c>
      <c r="C82" s="123" t="s">
        <v>1872</v>
      </c>
      <c r="D82" s="120">
        <v>0.98567000000000005</v>
      </c>
      <c r="E82" s="123">
        <v>0.89910000000000001</v>
      </c>
      <c r="F82" s="123">
        <v>-1.54013</v>
      </c>
      <c r="G82" s="123">
        <v>0.30278999999999989</v>
      </c>
      <c r="H82" s="123">
        <v>1.2373400000000001</v>
      </c>
      <c r="I82" s="33"/>
    </row>
    <row r="83" spans="1:9" x14ac:dyDescent="0.25">
      <c r="A83" s="29" t="str">
        <f t="shared" si="1"/>
        <v>OPPACTENVSC250Q18DA</v>
      </c>
      <c r="B83" s="123" t="s">
        <v>395</v>
      </c>
      <c r="C83" s="123" t="s">
        <v>1874</v>
      </c>
      <c r="D83" s="120">
        <v>1.76335</v>
      </c>
      <c r="E83" s="123">
        <v>0.67781000000000002</v>
      </c>
      <c r="F83" s="123">
        <v>-2.54209</v>
      </c>
      <c r="G83" s="123">
        <v>0.25982999999999989</v>
      </c>
      <c r="H83" s="123">
        <v>2.28226</v>
      </c>
      <c r="I83" s="33"/>
    </row>
    <row r="84" spans="1:9" x14ac:dyDescent="0.25">
      <c r="A84" s="29" t="str">
        <f t="shared" si="1"/>
        <v>OPPACTENVSC250Q19DA</v>
      </c>
      <c r="B84" s="123" t="s">
        <v>395</v>
      </c>
      <c r="C84" s="123" t="s">
        <v>1876</v>
      </c>
      <c r="D84" s="120">
        <v>1.7693700000000001</v>
      </c>
      <c r="E84" s="123">
        <v>0.86812999999999996</v>
      </c>
      <c r="F84" s="123">
        <v>-2.6372200000000001</v>
      </c>
      <c r="G84" s="123">
        <v>0.38757000000000008</v>
      </c>
      <c r="H84" s="123">
        <v>2.249649999999999</v>
      </c>
      <c r="I84" s="33"/>
    </row>
    <row r="85" spans="1:9" x14ac:dyDescent="0.25">
      <c r="A85" s="29" t="str">
        <f t="shared" si="1"/>
        <v>PISASUPPSC209Q01DA</v>
      </c>
      <c r="B85" s="123" t="s">
        <v>396</v>
      </c>
      <c r="C85" s="123" t="s">
        <v>1806</v>
      </c>
      <c r="D85" s="120">
        <v>2.8219400000000001</v>
      </c>
      <c r="E85" s="123">
        <v>-6.7715599999999982</v>
      </c>
      <c r="F85" s="123"/>
      <c r="G85" s="123"/>
      <c r="H85" s="123"/>
      <c r="I85" s="33"/>
    </row>
    <row r="86" spans="1:9" x14ac:dyDescent="0.25">
      <c r="A86" s="29" t="str">
        <f t="shared" si="1"/>
        <v>PISASUPPSC209Q02DA</v>
      </c>
      <c r="B86" s="123" t="s">
        <v>396</v>
      </c>
      <c r="C86" s="123" t="s">
        <v>1808</v>
      </c>
      <c r="D86" s="120">
        <v>3.8922099999999999</v>
      </c>
      <c r="E86" s="123">
        <v>-7.9322699999999999</v>
      </c>
      <c r="F86" s="123"/>
      <c r="G86" s="123"/>
      <c r="H86" s="123"/>
      <c r="I86" s="33"/>
    </row>
    <row r="87" spans="1:9" x14ac:dyDescent="0.25">
      <c r="A87" s="29" t="str">
        <f t="shared" si="1"/>
        <v>PISASUPPSC209Q03DA</v>
      </c>
      <c r="B87" s="123" t="s">
        <v>396</v>
      </c>
      <c r="C87" s="123" t="s">
        <v>1810</v>
      </c>
      <c r="D87" s="120">
        <v>3.4520400000000002</v>
      </c>
      <c r="E87" s="123">
        <v>-6.1040900000000002</v>
      </c>
      <c r="F87" s="123"/>
      <c r="G87" s="123"/>
      <c r="H87" s="123"/>
      <c r="I87" s="33"/>
    </row>
    <row r="88" spans="1:9" x14ac:dyDescent="0.25">
      <c r="A88" s="29" t="str">
        <f t="shared" si="1"/>
        <v>PISASUPPSC209Q04JA</v>
      </c>
      <c r="B88" s="123" t="s">
        <v>396</v>
      </c>
      <c r="C88" s="123" t="s">
        <v>1812</v>
      </c>
      <c r="D88" s="120">
        <v>1.8677999999999999</v>
      </c>
      <c r="E88" s="123">
        <v>-3.82341</v>
      </c>
      <c r="F88" s="123"/>
      <c r="G88" s="123"/>
      <c r="H88" s="123"/>
      <c r="I88" s="33"/>
    </row>
    <row r="89" spans="1:9" x14ac:dyDescent="0.25">
      <c r="A89" s="29" t="str">
        <f t="shared" si="1"/>
        <v>PISASUPPSC209Q05JA</v>
      </c>
      <c r="B89" s="123" t="s">
        <v>396</v>
      </c>
      <c r="C89" s="123" t="s">
        <v>1814</v>
      </c>
      <c r="D89" s="120">
        <v>2.1782400000000002</v>
      </c>
      <c r="E89" s="123">
        <v>-2.6735699999999998</v>
      </c>
      <c r="F89" s="123"/>
      <c r="G89" s="123"/>
      <c r="H89" s="123"/>
      <c r="I89" s="33"/>
    </row>
    <row r="90" spans="1:9" x14ac:dyDescent="0.25">
      <c r="A90" s="29" t="str">
        <f t="shared" si="1"/>
        <v>PISASUPPSC209Q06JA</v>
      </c>
      <c r="B90" s="123" t="s">
        <v>396</v>
      </c>
      <c r="C90" s="123" t="s">
        <v>1816</v>
      </c>
      <c r="D90" s="120">
        <v>2.0273099999999999</v>
      </c>
      <c r="E90" s="123">
        <v>-5.1894600000000004</v>
      </c>
      <c r="F90" s="123"/>
      <c r="G90" s="123"/>
      <c r="H90" s="123"/>
      <c r="I90" s="33"/>
    </row>
    <row r="91" spans="1:9" x14ac:dyDescent="0.25">
      <c r="A91" s="29" t="str">
        <f t="shared" si="1"/>
        <v>PRIORLRNSC266Q01DA</v>
      </c>
      <c r="B91" s="123" t="s">
        <v>397</v>
      </c>
      <c r="C91" s="123" t="s">
        <v>1973</v>
      </c>
      <c r="D91" s="120">
        <v>1.2973600000000001</v>
      </c>
      <c r="E91" s="123">
        <v>-2.96008</v>
      </c>
      <c r="F91" s="123">
        <v>-1.1157999999999999</v>
      </c>
      <c r="G91" s="123">
        <v>-0.71060000000000001</v>
      </c>
      <c r="H91" s="123">
        <v>1.8264</v>
      </c>
      <c r="I91" s="33"/>
    </row>
    <row r="92" spans="1:9" x14ac:dyDescent="0.25">
      <c r="A92" s="29" t="str">
        <f t="shared" si="1"/>
        <v>PRIORLRNSC266Q02DA</v>
      </c>
      <c r="B92" s="123" t="s">
        <v>397</v>
      </c>
      <c r="C92" s="123" t="s">
        <v>1975</v>
      </c>
      <c r="D92" s="120">
        <v>1.84074</v>
      </c>
      <c r="E92" s="123">
        <v>-3.6452300000000002</v>
      </c>
      <c r="F92" s="123">
        <v>-2.27623</v>
      </c>
      <c r="G92" s="123">
        <v>-0.40555000000000008</v>
      </c>
      <c r="H92" s="123">
        <v>2.6817799999999989</v>
      </c>
      <c r="I92" s="33"/>
    </row>
    <row r="93" spans="1:9" x14ac:dyDescent="0.25">
      <c r="A93" s="29" t="str">
        <f t="shared" si="1"/>
        <v>PRIORLRNSC266Q03DA</v>
      </c>
      <c r="B93" s="123" t="s">
        <v>397</v>
      </c>
      <c r="C93" s="123" t="s">
        <v>1977</v>
      </c>
      <c r="D93" s="120">
        <v>2.28085</v>
      </c>
      <c r="E93" s="123">
        <v>-4.4890299999999996</v>
      </c>
      <c r="F93" s="123">
        <v>-2.92136</v>
      </c>
      <c r="G93" s="123">
        <v>-0.31949</v>
      </c>
      <c r="H93" s="123">
        <v>3.2408500000000009</v>
      </c>
      <c r="I93" s="33"/>
    </row>
    <row r="94" spans="1:9" x14ac:dyDescent="0.25">
      <c r="A94" s="29" t="str">
        <f t="shared" si="1"/>
        <v>PRIORLRNSC266Q04DA</v>
      </c>
      <c r="B94" s="123" t="s">
        <v>397</v>
      </c>
      <c r="C94" s="123" t="s">
        <v>1979</v>
      </c>
      <c r="D94" s="120">
        <v>2.3539599999999998</v>
      </c>
      <c r="E94" s="123">
        <v>-4.5611100000000002</v>
      </c>
      <c r="F94" s="123">
        <v>-2.9340700000000011</v>
      </c>
      <c r="G94" s="123">
        <v>-0.24876999999999999</v>
      </c>
      <c r="H94" s="123">
        <v>3.1828400000000001</v>
      </c>
      <c r="I94" s="33"/>
    </row>
    <row r="95" spans="1:9" x14ac:dyDescent="0.25">
      <c r="A95" s="29" t="str">
        <f t="shared" si="1"/>
        <v>PRIORLRNSC266Q05DA</v>
      </c>
      <c r="B95" s="123" t="s">
        <v>397</v>
      </c>
      <c r="C95" s="123" t="s">
        <v>1981</v>
      </c>
      <c r="D95" s="120">
        <v>1.78772</v>
      </c>
      <c r="E95" s="123">
        <v>-3.2799</v>
      </c>
      <c r="F95" s="123">
        <v>-2.0474399999999999</v>
      </c>
      <c r="G95" s="123">
        <v>-0.15917000000000001</v>
      </c>
      <c r="H95" s="123">
        <v>2.20661</v>
      </c>
      <c r="I95" s="33"/>
    </row>
    <row r="96" spans="1:9" x14ac:dyDescent="0.25">
      <c r="A96" s="29" t="str">
        <f t="shared" si="1"/>
        <v>PRIORLRNSC266Q06DA</v>
      </c>
      <c r="B96" s="123" t="s">
        <v>397</v>
      </c>
      <c r="C96" s="123" t="s">
        <v>1983</v>
      </c>
      <c r="D96" s="120">
        <v>2.0971899999999999</v>
      </c>
      <c r="E96" s="123">
        <v>-3.15957</v>
      </c>
      <c r="F96" s="123">
        <v>-2.7989899999999999</v>
      </c>
      <c r="G96" s="123">
        <v>-0.20213</v>
      </c>
      <c r="H96" s="123">
        <v>3.0011199999999998</v>
      </c>
      <c r="I96" s="33"/>
    </row>
    <row r="97" spans="1:9" x14ac:dyDescent="0.25">
      <c r="A97" s="29" t="str">
        <f t="shared" si="1"/>
        <v>PRIORLRNSC266Q07DA</v>
      </c>
      <c r="B97" s="123" t="s">
        <v>397</v>
      </c>
      <c r="C97" s="123" t="s">
        <v>1985</v>
      </c>
      <c r="D97" s="120">
        <v>1.35538</v>
      </c>
      <c r="E97" s="123">
        <v>-1.7966800000000001</v>
      </c>
      <c r="F97" s="123">
        <v>-1.9821899999999999</v>
      </c>
      <c r="G97" s="123">
        <v>-5.9569999999999998E-2</v>
      </c>
      <c r="H97" s="123">
        <v>2.04176</v>
      </c>
      <c r="I97" s="33"/>
    </row>
    <row r="98" spans="1:9" x14ac:dyDescent="0.25">
      <c r="A98" s="29" t="str">
        <f t="shared" si="1"/>
        <v>SCTRAINSC408Q01DA</v>
      </c>
      <c r="B98" s="123" t="s">
        <v>398</v>
      </c>
      <c r="C98" s="123" t="s">
        <v>1995</v>
      </c>
      <c r="D98" s="120">
        <v>5</v>
      </c>
      <c r="E98" s="123">
        <v>0.79452</v>
      </c>
      <c r="F98" s="123"/>
      <c r="G98" s="123"/>
      <c r="H98" s="123"/>
      <c r="I98" s="33"/>
    </row>
    <row r="99" spans="1:9" x14ac:dyDescent="0.25">
      <c r="A99" s="29" t="str">
        <f t="shared" si="1"/>
        <v>SCTRAINSC408Q02DA</v>
      </c>
      <c r="B99" s="123" t="s">
        <v>398</v>
      </c>
      <c r="C99" s="123" t="s">
        <v>1997</v>
      </c>
      <c r="D99" s="120">
        <v>4.6870299999999991</v>
      </c>
      <c r="E99" s="123">
        <v>0.55284</v>
      </c>
      <c r="F99" s="123"/>
      <c r="G99" s="123"/>
      <c r="H99" s="123"/>
      <c r="I99" s="33"/>
    </row>
    <row r="100" spans="1:9" x14ac:dyDescent="0.25">
      <c r="A100" s="29" t="str">
        <f t="shared" si="1"/>
        <v>SCTRAINSC408Q03DA</v>
      </c>
      <c r="B100" s="123" t="s">
        <v>398</v>
      </c>
      <c r="C100" s="123" t="s">
        <v>1999</v>
      </c>
      <c r="D100" s="120">
        <v>3.9915999999999991</v>
      </c>
      <c r="E100" s="123">
        <v>0.49135000000000001</v>
      </c>
      <c r="F100" s="123"/>
      <c r="G100" s="123"/>
      <c r="H100" s="123"/>
      <c r="I100" s="33"/>
    </row>
    <row r="101" spans="1:9" x14ac:dyDescent="0.25">
      <c r="A101" s="29" t="str">
        <f t="shared" si="1"/>
        <v>SCTRAINSC408Q04DA</v>
      </c>
      <c r="B101" s="123" t="s">
        <v>398</v>
      </c>
      <c r="C101" s="123" t="s">
        <v>2001</v>
      </c>
      <c r="D101" s="120">
        <v>2.6150799999999998</v>
      </c>
      <c r="E101" s="123">
        <v>-0.15625</v>
      </c>
      <c r="F101" s="123"/>
      <c r="G101" s="123"/>
      <c r="H101" s="123"/>
      <c r="I101" s="33"/>
    </row>
    <row r="102" spans="1:9" x14ac:dyDescent="0.25">
      <c r="A102" s="29" t="str">
        <f t="shared" si="1"/>
        <v>SCTRAINSC408Q06DA</v>
      </c>
      <c r="B102" s="123" t="s">
        <v>398</v>
      </c>
      <c r="C102" s="123" t="s">
        <v>2003</v>
      </c>
      <c r="D102" s="120">
        <v>3.7942399999999989</v>
      </c>
      <c r="E102" s="123">
        <v>0.21418999999999999</v>
      </c>
      <c r="F102" s="123"/>
      <c r="G102" s="123"/>
      <c r="H102" s="123"/>
      <c r="I102" s="33"/>
    </row>
    <row r="103" spans="1:9" x14ac:dyDescent="0.25">
      <c r="A103" s="29" t="str">
        <f t="shared" si="1"/>
        <v>SCTRAINSC408Q07DA</v>
      </c>
      <c r="B103" s="123" t="s">
        <v>398</v>
      </c>
      <c r="C103" s="123" t="s">
        <v>2005</v>
      </c>
      <c r="D103" s="120">
        <v>2.0447299999999999</v>
      </c>
      <c r="E103" s="123">
        <v>-0.45889999999999992</v>
      </c>
      <c r="F103" s="123"/>
      <c r="G103" s="123"/>
      <c r="H103" s="123"/>
      <c r="I103" s="33"/>
    </row>
    <row r="104" spans="1:9" x14ac:dyDescent="0.25">
      <c r="A104" s="29" t="str">
        <f t="shared" si="1"/>
        <v>SESASSESSSC197Q01DA</v>
      </c>
      <c r="B104" s="123" t="s">
        <v>399</v>
      </c>
      <c r="C104" s="123" t="s">
        <v>2007</v>
      </c>
      <c r="D104" s="120">
        <v>1.6037300000000001</v>
      </c>
      <c r="E104" s="123">
        <v>2.4035500000000001</v>
      </c>
      <c r="F104" s="123"/>
      <c r="G104" s="123"/>
      <c r="H104" s="123"/>
      <c r="I104" s="33"/>
    </row>
    <row r="105" spans="1:9" x14ac:dyDescent="0.25">
      <c r="A105" s="29" t="str">
        <f t="shared" si="1"/>
        <v>SESASSESSSC197Q02DA</v>
      </c>
      <c r="B105" s="123" t="s">
        <v>399</v>
      </c>
      <c r="C105" s="123" t="s">
        <v>2009</v>
      </c>
      <c r="D105" s="120">
        <v>1.4496899999999999</v>
      </c>
      <c r="E105" s="123">
        <v>-0.45306999999999992</v>
      </c>
      <c r="F105" s="123"/>
      <c r="G105" s="123"/>
      <c r="H105" s="123"/>
      <c r="I105" s="33"/>
    </row>
    <row r="106" spans="1:9" x14ac:dyDescent="0.25">
      <c r="A106" s="29" t="str">
        <f t="shared" si="1"/>
        <v>SESASSESSSC197Q03DA</v>
      </c>
      <c r="B106" s="123" t="s">
        <v>399</v>
      </c>
      <c r="C106" s="123" t="s">
        <v>2011</v>
      </c>
      <c r="D106" s="120">
        <v>1.10334</v>
      </c>
      <c r="E106" s="123">
        <v>-0.27887000000000001</v>
      </c>
      <c r="F106" s="123"/>
      <c r="G106" s="123"/>
      <c r="H106" s="123"/>
      <c r="I106" s="33"/>
    </row>
    <row r="107" spans="1:9" x14ac:dyDescent="0.25">
      <c r="A107" s="29" t="str">
        <f t="shared" si="1"/>
        <v>SESASSESSSC197Q04DA</v>
      </c>
      <c r="B107" s="123" t="s">
        <v>399</v>
      </c>
      <c r="C107" s="123" t="s">
        <v>2013</v>
      </c>
      <c r="D107" s="120">
        <v>1.77711</v>
      </c>
      <c r="E107" s="123">
        <v>-2.1852100000000001</v>
      </c>
      <c r="F107" s="123"/>
      <c r="G107" s="123"/>
      <c r="H107" s="123"/>
      <c r="I107" s="33"/>
    </row>
    <row r="108" spans="1:9" x14ac:dyDescent="0.25">
      <c r="A108" s="29" t="str">
        <f t="shared" si="1"/>
        <v>SESASSESSSC197Q05DA</v>
      </c>
      <c r="B108" s="123" t="s">
        <v>399</v>
      </c>
      <c r="C108" s="123" t="s">
        <v>2015</v>
      </c>
      <c r="D108" s="120">
        <v>4.6997200000000001</v>
      </c>
      <c r="E108" s="123">
        <v>1.8674299999999999</v>
      </c>
      <c r="F108" s="123"/>
      <c r="G108" s="123"/>
      <c r="H108" s="123"/>
      <c r="I108" s="33"/>
    </row>
    <row r="109" spans="1:9" x14ac:dyDescent="0.25">
      <c r="A109" s="29" t="str">
        <f t="shared" si="1"/>
        <v>SESASSESSSC197Q06DA</v>
      </c>
      <c r="B109" s="123" t="s">
        <v>399</v>
      </c>
      <c r="C109" s="123" t="s">
        <v>2017</v>
      </c>
      <c r="D109" s="120">
        <v>4.0406700000000004</v>
      </c>
      <c r="E109" s="123">
        <v>0.84140999999999988</v>
      </c>
      <c r="F109" s="123"/>
      <c r="G109" s="123"/>
      <c r="H109" s="123"/>
      <c r="I109" s="33"/>
    </row>
    <row r="110" spans="1:9" x14ac:dyDescent="0.25">
      <c r="A110" s="29" t="str">
        <f t="shared" si="1"/>
        <v>STAFFSHORTSC017Q01NA</v>
      </c>
      <c r="B110" s="123" t="s">
        <v>354</v>
      </c>
      <c r="C110" s="123" t="s">
        <v>1842</v>
      </c>
      <c r="D110" s="120">
        <v>1.0761499999999999</v>
      </c>
      <c r="E110" s="123">
        <v>0.15401999999999999</v>
      </c>
      <c r="F110" s="123">
        <v>-0.78125</v>
      </c>
      <c r="G110" s="123">
        <v>-0.49247000000000007</v>
      </c>
      <c r="H110" s="123">
        <v>1.27372</v>
      </c>
      <c r="I110" s="33"/>
    </row>
    <row r="111" spans="1:9" x14ac:dyDescent="0.25">
      <c r="A111" s="29" t="str">
        <f t="shared" si="1"/>
        <v>STAFFSHORTSC017Q02NA</v>
      </c>
      <c r="B111" s="123" t="s">
        <v>354</v>
      </c>
      <c r="C111" s="123" t="s">
        <v>1844</v>
      </c>
      <c r="D111" s="120">
        <v>1.5359400000000001</v>
      </c>
      <c r="E111" s="123">
        <v>0.34623999999999999</v>
      </c>
      <c r="F111" s="123">
        <v>-1.68005</v>
      </c>
      <c r="G111" s="123">
        <v>-0.14087</v>
      </c>
      <c r="H111" s="123">
        <v>1.8209200000000001</v>
      </c>
      <c r="I111" s="33"/>
    </row>
    <row r="112" spans="1:9" x14ac:dyDescent="0.25">
      <c r="A112" s="29" t="str">
        <f t="shared" si="1"/>
        <v>STAFFSHORTSC017Q03NA</v>
      </c>
      <c r="B112" s="123" t="s">
        <v>354</v>
      </c>
      <c r="C112" s="123" t="s">
        <v>1846</v>
      </c>
      <c r="D112" s="120">
        <v>1.6193599999999999</v>
      </c>
      <c r="E112" s="123">
        <v>-0.51197000000000004</v>
      </c>
      <c r="F112" s="123">
        <v>-0.93562000000000001</v>
      </c>
      <c r="G112" s="123">
        <v>-0.37120999999999998</v>
      </c>
      <c r="H112" s="123">
        <v>1.3068299999999999</v>
      </c>
      <c r="I112" s="33"/>
    </row>
    <row r="113" spans="1:9" x14ac:dyDescent="0.25">
      <c r="A113" s="29" t="str">
        <f t="shared" si="1"/>
        <v>STAFFSHORTSC017Q04NA</v>
      </c>
      <c r="B113" s="123" t="s">
        <v>354</v>
      </c>
      <c r="C113" s="123" t="s">
        <v>1848</v>
      </c>
      <c r="D113" s="120">
        <v>2.5685500000000001</v>
      </c>
      <c r="E113" s="123">
        <v>1.171E-2</v>
      </c>
      <c r="F113" s="123">
        <v>-1.8950199999999999</v>
      </c>
      <c r="G113" s="123">
        <v>-0.19877</v>
      </c>
      <c r="H113" s="123">
        <v>2.0937899999999998</v>
      </c>
      <c r="I113" s="33"/>
    </row>
    <row r="114" spans="1:9" x14ac:dyDescent="0.25">
      <c r="A114" s="29" t="str">
        <f t="shared" si="1"/>
        <v>STDTESTSC035Q01NA</v>
      </c>
      <c r="B114" s="123" t="s">
        <v>355</v>
      </c>
      <c r="C114" s="123" t="s">
        <v>2019</v>
      </c>
      <c r="D114" s="120">
        <v>1.70912</v>
      </c>
      <c r="E114" s="123">
        <v>-0.75473000000000001</v>
      </c>
      <c r="F114" s="123"/>
      <c r="G114" s="123"/>
      <c r="H114" s="123"/>
      <c r="I114" s="33"/>
    </row>
    <row r="115" spans="1:9" x14ac:dyDescent="0.25">
      <c r="A115" s="29" t="str">
        <f t="shared" si="1"/>
        <v>STDTESTSC035Q02TA</v>
      </c>
      <c r="B115" s="123" t="s">
        <v>355</v>
      </c>
      <c r="C115" s="123" t="s">
        <v>2021</v>
      </c>
      <c r="D115" s="120">
        <v>1.8143</v>
      </c>
      <c r="E115" s="123">
        <v>-0.23619999999999999</v>
      </c>
      <c r="F115" s="123"/>
      <c r="G115" s="123"/>
      <c r="H115" s="123"/>
      <c r="I115" s="33"/>
    </row>
    <row r="116" spans="1:9" x14ac:dyDescent="0.25">
      <c r="A116" s="29" t="str">
        <f t="shared" si="1"/>
        <v>STDTESTSC035Q03TA</v>
      </c>
      <c r="B116" s="123" t="s">
        <v>355</v>
      </c>
      <c r="C116" s="123" t="s">
        <v>2023</v>
      </c>
      <c r="D116" s="120">
        <v>1.3594599999999999</v>
      </c>
      <c r="E116" s="123">
        <v>1.0649999999999999</v>
      </c>
      <c r="F116" s="123"/>
      <c r="G116" s="123"/>
      <c r="H116" s="123"/>
      <c r="I116" s="33"/>
    </row>
    <row r="117" spans="1:9" x14ac:dyDescent="0.25">
      <c r="A117" s="29" t="str">
        <f t="shared" si="1"/>
        <v>STDTESTSC035Q04TA</v>
      </c>
      <c r="B117" s="123" t="s">
        <v>355</v>
      </c>
      <c r="C117" s="123" t="s">
        <v>2025</v>
      </c>
      <c r="D117" s="120">
        <v>1.5643199999999999</v>
      </c>
      <c r="E117" s="123">
        <v>1.3022400000000001</v>
      </c>
      <c r="F117" s="123"/>
      <c r="G117" s="123"/>
      <c r="H117" s="123"/>
      <c r="I117" s="33"/>
    </row>
    <row r="118" spans="1:9" x14ac:dyDescent="0.25">
      <c r="A118" s="29" t="str">
        <f t="shared" si="1"/>
        <v>STDTESTSC035Q05TA</v>
      </c>
      <c r="B118" s="123" t="s">
        <v>355</v>
      </c>
      <c r="C118" s="123" t="s">
        <v>2027</v>
      </c>
      <c r="D118" s="120">
        <v>1.2390399999999999</v>
      </c>
      <c r="E118" s="123">
        <v>-0.57670999999999983</v>
      </c>
      <c r="F118" s="123"/>
      <c r="G118" s="123"/>
      <c r="H118" s="123"/>
      <c r="I118" s="33"/>
    </row>
    <row r="119" spans="1:9" x14ac:dyDescent="0.25">
      <c r="A119" s="29" t="str">
        <f t="shared" si="1"/>
        <v>STDTESTSC035Q06TA</v>
      </c>
      <c r="B119" s="123" t="s">
        <v>355</v>
      </c>
      <c r="C119" s="123" t="s">
        <v>2029</v>
      </c>
      <c r="D119" s="120">
        <v>2.54732</v>
      </c>
      <c r="E119" s="123">
        <v>-1.2690900000000001</v>
      </c>
      <c r="F119" s="123"/>
      <c r="G119" s="123"/>
      <c r="H119" s="123"/>
      <c r="I119" s="33"/>
    </row>
    <row r="120" spans="1:9" x14ac:dyDescent="0.25">
      <c r="A120" s="29" t="str">
        <f t="shared" si="1"/>
        <v>STDTESTSC035Q07TA</v>
      </c>
      <c r="B120" s="123" t="s">
        <v>355</v>
      </c>
      <c r="C120" s="123" t="s">
        <v>2031</v>
      </c>
      <c r="D120" s="120">
        <v>1.862130000000001</v>
      </c>
      <c r="E120" s="123">
        <v>0.79108999999999996</v>
      </c>
      <c r="F120" s="123"/>
      <c r="G120" s="123"/>
      <c r="H120" s="123"/>
      <c r="I120" s="33"/>
    </row>
    <row r="121" spans="1:9" x14ac:dyDescent="0.25">
      <c r="A121" s="29" t="str">
        <f t="shared" si="1"/>
        <v>STDTESTSC035Q08TA</v>
      </c>
      <c r="B121" s="123" t="s">
        <v>355</v>
      </c>
      <c r="C121" s="123" t="s">
        <v>2033</v>
      </c>
      <c r="D121" s="120">
        <v>2.4873599999999998</v>
      </c>
      <c r="E121" s="123">
        <v>-0.62024000000000001</v>
      </c>
      <c r="F121" s="123"/>
      <c r="G121" s="123"/>
      <c r="H121" s="123"/>
      <c r="I121" s="33"/>
    </row>
    <row r="122" spans="1:9" x14ac:dyDescent="0.25">
      <c r="A122" s="29" t="str">
        <f t="shared" si="1"/>
        <v>STDTESTSC035Q09NA</v>
      </c>
      <c r="B122" s="123" t="s">
        <v>355</v>
      </c>
      <c r="C122" s="123" t="s">
        <v>2035</v>
      </c>
      <c r="D122" s="120">
        <v>1.81491</v>
      </c>
      <c r="E122" s="123">
        <v>-0.15129999999999999</v>
      </c>
      <c r="F122" s="123"/>
      <c r="G122" s="123"/>
      <c r="H122" s="123"/>
      <c r="I122" s="33"/>
    </row>
    <row r="123" spans="1:9" x14ac:dyDescent="0.25">
      <c r="A123" s="29" t="str">
        <f t="shared" si="1"/>
        <v>STDTESTSC035Q10TA</v>
      </c>
      <c r="B123" s="123" t="s">
        <v>355</v>
      </c>
      <c r="C123" s="123" t="s">
        <v>2037</v>
      </c>
      <c r="D123" s="120">
        <v>1.15574</v>
      </c>
      <c r="E123" s="123">
        <v>0.11877</v>
      </c>
      <c r="F123" s="123"/>
      <c r="G123" s="123"/>
      <c r="H123" s="123"/>
      <c r="I123" s="33"/>
    </row>
    <row r="124" spans="1:9" x14ac:dyDescent="0.25">
      <c r="A124" s="29" t="str">
        <f t="shared" si="1"/>
        <v>STDTESTSC035Q11NA</v>
      </c>
      <c r="B124" s="123" t="s">
        <v>355</v>
      </c>
      <c r="C124" s="123" t="s">
        <v>2039</v>
      </c>
      <c r="D124" s="120">
        <v>1.1463099999999999</v>
      </c>
      <c r="E124" s="123">
        <v>0.33118999999999998</v>
      </c>
      <c r="F124" s="123"/>
      <c r="G124" s="123"/>
      <c r="H124" s="123"/>
      <c r="I124" s="33"/>
    </row>
    <row r="125" spans="1:9" x14ac:dyDescent="0.25">
      <c r="A125" s="29" t="str">
        <f t="shared" si="1"/>
        <v>TDTESTSC035Q01NA</v>
      </c>
      <c r="B125" s="123" t="s">
        <v>356</v>
      </c>
      <c r="C125" s="123" t="s">
        <v>2019</v>
      </c>
      <c r="D125" s="120">
        <v>1.6757500000000001</v>
      </c>
      <c r="E125" s="123">
        <v>-2.699450000000001</v>
      </c>
      <c r="F125" s="123"/>
      <c r="G125" s="123"/>
      <c r="H125" s="123"/>
      <c r="I125" s="33"/>
    </row>
    <row r="126" spans="1:9" x14ac:dyDescent="0.25">
      <c r="A126" s="29" t="str">
        <f t="shared" si="1"/>
        <v>TDTESTSC035Q02TA</v>
      </c>
      <c r="B126" s="123" t="s">
        <v>356</v>
      </c>
      <c r="C126" s="123" t="s">
        <v>2021</v>
      </c>
      <c r="D126" s="120">
        <v>1.50284</v>
      </c>
      <c r="E126" s="123">
        <v>-1.9021300000000001</v>
      </c>
      <c r="F126" s="123"/>
      <c r="G126" s="123"/>
      <c r="H126" s="123"/>
      <c r="I126" s="33"/>
    </row>
    <row r="127" spans="1:9" x14ac:dyDescent="0.25">
      <c r="A127" s="29" t="str">
        <f t="shared" si="1"/>
        <v>TDTESTSC035Q03TA</v>
      </c>
      <c r="B127" s="123" t="s">
        <v>356</v>
      </c>
      <c r="C127" s="123" t="s">
        <v>2023</v>
      </c>
      <c r="D127" s="120">
        <v>0.88721999999999979</v>
      </c>
      <c r="E127" s="123">
        <v>-1.04419</v>
      </c>
      <c r="F127" s="123"/>
      <c r="G127" s="123"/>
      <c r="H127" s="123"/>
      <c r="I127" s="33"/>
    </row>
    <row r="128" spans="1:9" x14ac:dyDescent="0.25">
      <c r="A128" s="29" t="str">
        <f t="shared" si="1"/>
        <v>TDTESTSC035Q04TA</v>
      </c>
      <c r="B128" s="123" t="s">
        <v>356</v>
      </c>
      <c r="C128" s="123" t="s">
        <v>2025</v>
      </c>
      <c r="D128" s="120">
        <v>1.22655</v>
      </c>
      <c r="E128" s="123">
        <v>7.2690000000000018E-2</v>
      </c>
      <c r="F128" s="123"/>
      <c r="G128" s="123"/>
      <c r="H128" s="123"/>
      <c r="I128" s="33"/>
    </row>
    <row r="129" spans="1:9" x14ac:dyDescent="0.25">
      <c r="A129" s="29" t="str">
        <f t="shared" si="1"/>
        <v>TDTESTSC035Q05TA</v>
      </c>
      <c r="B129" s="123" t="s">
        <v>356</v>
      </c>
      <c r="C129" s="123" t="s">
        <v>2027</v>
      </c>
      <c r="D129" s="120">
        <v>2.105360000000001</v>
      </c>
      <c r="E129" s="123">
        <v>2.4332600000000002</v>
      </c>
      <c r="F129" s="33"/>
      <c r="G129" s="33"/>
      <c r="H129" s="33"/>
      <c r="I129" s="33"/>
    </row>
    <row r="130" spans="1:9" x14ac:dyDescent="0.25">
      <c r="A130" s="29" t="str">
        <f t="shared" ref="A130:A193" si="2">_xlfn.CONCAT(B130,C130)</f>
        <v>TDTESTSC035Q06TA</v>
      </c>
      <c r="B130" s="123" t="s">
        <v>356</v>
      </c>
      <c r="C130" s="123" t="s">
        <v>2029</v>
      </c>
      <c r="D130" s="120">
        <v>2.08616</v>
      </c>
      <c r="E130" s="123">
        <v>0.30098000000000003</v>
      </c>
      <c r="F130" s="33"/>
      <c r="G130" s="33"/>
      <c r="H130" s="33"/>
      <c r="I130" s="33"/>
    </row>
    <row r="131" spans="1:9" x14ac:dyDescent="0.25">
      <c r="A131" s="29" t="str">
        <f t="shared" si="2"/>
        <v>TDTESTSC035Q07TA</v>
      </c>
      <c r="B131" s="123" t="s">
        <v>356</v>
      </c>
      <c r="C131" s="123" t="s">
        <v>2031</v>
      </c>
      <c r="D131" s="120">
        <v>2.116989999999999</v>
      </c>
      <c r="E131" s="123">
        <v>1.5299799999999999</v>
      </c>
      <c r="F131" s="33"/>
      <c r="G131" s="33"/>
      <c r="H131" s="33"/>
      <c r="I131" s="33"/>
    </row>
    <row r="132" spans="1:9" x14ac:dyDescent="0.25">
      <c r="A132" s="29" t="str">
        <f t="shared" si="2"/>
        <v>TDTESTSC035Q08TA</v>
      </c>
      <c r="B132" s="123" t="s">
        <v>356</v>
      </c>
      <c r="C132" s="123" t="s">
        <v>2033</v>
      </c>
      <c r="D132" s="120">
        <v>2.0132500000000002</v>
      </c>
      <c r="E132" s="123">
        <v>-0.55223999999999995</v>
      </c>
      <c r="F132" s="33"/>
      <c r="G132" s="33"/>
      <c r="H132" s="33"/>
      <c r="I132" s="33"/>
    </row>
    <row r="133" spans="1:9" x14ac:dyDescent="0.25">
      <c r="A133" s="29" t="str">
        <f t="shared" si="2"/>
        <v>TDTESTSC035Q09NA</v>
      </c>
      <c r="B133" s="123" t="s">
        <v>356</v>
      </c>
      <c r="C133" s="123" t="s">
        <v>2035</v>
      </c>
      <c r="D133" s="120">
        <v>1.52603</v>
      </c>
      <c r="E133" s="123">
        <v>-1.68618</v>
      </c>
      <c r="F133" s="33"/>
      <c r="G133" s="33"/>
      <c r="H133" s="33"/>
      <c r="I133" s="33"/>
    </row>
    <row r="134" spans="1:9" x14ac:dyDescent="0.25">
      <c r="A134" s="29" t="str">
        <f t="shared" si="2"/>
        <v>TDTESTSC035Q10TA</v>
      </c>
      <c r="B134" s="123" t="s">
        <v>356</v>
      </c>
      <c r="C134" s="123" t="s">
        <v>2037</v>
      </c>
      <c r="D134" s="120">
        <v>2.3135500000000002</v>
      </c>
      <c r="E134" s="123">
        <v>3.1705700000000001</v>
      </c>
      <c r="F134" s="33"/>
      <c r="G134" s="33"/>
      <c r="H134" s="33"/>
      <c r="I134" s="33"/>
    </row>
    <row r="135" spans="1:9" x14ac:dyDescent="0.25">
      <c r="A135" s="29" t="str">
        <f t="shared" si="2"/>
        <v>TDTESTSC035Q11NA</v>
      </c>
      <c r="B135" s="123" t="s">
        <v>356</v>
      </c>
      <c r="C135" s="123" t="s">
        <v>2039</v>
      </c>
      <c r="D135" s="120">
        <v>1.2462899999999999</v>
      </c>
      <c r="E135" s="123">
        <v>0.37673000000000001</v>
      </c>
      <c r="F135" s="33"/>
      <c r="G135" s="33"/>
      <c r="H135" s="33"/>
      <c r="I135" s="33"/>
    </row>
    <row r="136" spans="1:9" x14ac:dyDescent="0.25">
      <c r="A136" s="29" t="str">
        <f t="shared" si="2"/>
        <v/>
      </c>
      <c r="B136" s="123"/>
      <c r="C136" s="123"/>
      <c r="D136" s="123"/>
      <c r="E136" s="123"/>
      <c r="F136" s="33"/>
      <c r="G136" s="33"/>
      <c r="H136" s="33"/>
      <c r="I136" s="33"/>
    </row>
    <row r="137" spans="1:9" x14ac:dyDescent="0.25">
      <c r="A137" s="29" t="str">
        <f t="shared" si="2"/>
        <v/>
      </c>
      <c r="B137" s="123"/>
      <c r="C137" s="123"/>
      <c r="D137" s="123"/>
      <c r="E137" s="123"/>
      <c r="F137" s="33"/>
      <c r="G137" s="33"/>
      <c r="H137" s="33"/>
      <c r="I137" s="33"/>
    </row>
    <row r="138" spans="1:9" x14ac:dyDescent="0.25">
      <c r="A138" s="29" t="str">
        <f t="shared" si="2"/>
        <v/>
      </c>
      <c r="B138" s="123"/>
      <c r="C138" s="123"/>
      <c r="D138" s="123"/>
      <c r="E138" s="123"/>
      <c r="F138" s="33"/>
      <c r="G138" s="33"/>
      <c r="H138" s="33"/>
      <c r="I138" s="33"/>
    </row>
    <row r="139" spans="1:9" x14ac:dyDescent="0.25">
      <c r="A139" s="29" t="str">
        <f t="shared" si="2"/>
        <v/>
      </c>
      <c r="B139" s="123"/>
      <c r="C139" s="123"/>
      <c r="D139" s="123"/>
      <c r="E139" s="123"/>
      <c r="F139" s="33"/>
      <c r="G139" s="33"/>
      <c r="H139" s="33"/>
      <c r="I139" s="33"/>
    </row>
    <row r="140" spans="1:9" x14ac:dyDescent="0.25">
      <c r="A140" s="29" t="str">
        <f t="shared" si="2"/>
        <v/>
      </c>
      <c r="B140" s="123"/>
      <c r="C140" s="123"/>
      <c r="D140" s="123"/>
      <c r="E140" s="123"/>
      <c r="F140" s="33"/>
      <c r="G140" s="33"/>
      <c r="H140" s="33"/>
      <c r="I140" s="33"/>
    </row>
    <row r="141" spans="1:9" x14ac:dyDescent="0.25">
      <c r="A141" s="29" t="str">
        <f t="shared" si="2"/>
        <v/>
      </c>
      <c r="B141" s="123"/>
      <c r="C141" s="123"/>
      <c r="D141" s="123"/>
      <c r="E141" s="123"/>
      <c r="F141" s="33"/>
      <c r="G141" s="33"/>
      <c r="H141" s="33"/>
      <c r="I141" s="33"/>
    </row>
    <row r="142" spans="1:9" x14ac:dyDescent="0.25">
      <c r="A142" s="29" t="str">
        <f t="shared" si="2"/>
        <v/>
      </c>
      <c r="B142" s="123"/>
      <c r="C142" s="123"/>
      <c r="D142" s="123"/>
      <c r="E142" s="123"/>
      <c r="F142" s="33"/>
      <c r="G142" s="33"/>
      <c r="H142" s="33"/>
      <c r="I142" s="33"/>
    </row>
    <row r="143" spans="1:9" x14ac:dyDescent="0.25">
      <c r="A143" s="29" t="str">
        <f t="shared" si="2"/>
        <v/>
      </c>
      <c r="B143" s="123"/>
      <c r="C143" s="123"/>
      <c r="D143" s="123"/>
      <c r="E143" s="123"/>
      <c r="F143" s="33"/>
      <c r="G143" s="33"/>
      <c r="H143" s="33"/>
      <c r="I143" s="33"/>
    </row>
    <row r="144" spans="1:9" x14ac:dyDescent="0.25">
      <c r="A144" s="29" t="str">
        <f t="shared" si="2"/>
        <v/>
      </c>
      <c r="B144" s="123"/>
      <c r="C144" s="123"/>
      <c r="D144" s="123"/>
      <c r="E144" s="123"/>
      <c r="F144" s="33"/>
      <c r="G144" s="33"/>
      <c r="H144" s="33"/>
      <c r="I144" s="33"/>
    </row>
    <row r="145" spans="1:9" x14ac:dyDescent="0.25">
      <c r="A145" s="29" t="str">
        <f t="shared" si="2"/>
        <v/>
      </c>
      <c r="B145" s="33"/>
      <c r="C145" s="33"/>
      <c r="D145" s="33"/>
      <c r="E145" s="33"/>
      <c r="F145" s="33"/>
      <c r="G145" s="33"/>
      <c r="H145" s="33"/>
      <c r="I145" s="33"/>
    </row>
    <row r="146" spans="1:9" x14ac:dyDescent="0.25">
      <c r="A146" s="29" t="str">
        <f t="shared" si="2"/>
        <v/>
      </c>
      <c r="B146" s="33"/>
      <c r="C146" s="33"/>
      <c r="D146" s="33"/>
      <c r="E146" s="33"/>
      <c r="F146" s="33"/>
      <c r="G146" s="33"/>
      <c r="H146" s="33"/>
      <c r="I146" s="33"/>
    </row>
    <row r="147" spans="1:9" x14ac:dyDescent="0.25">
      <c r="A147" s="29" t="str">
        <f t="shared" si="2"/>
        <v/>
      </c>
      <c r="B147" s="33"/>
      <c r="C147" s="33"/>
      <c r="D147" s="33"/>
      <c r="E147" s="33"/>
      <c r="F147" s="33"/>
      <c r="G147" s="33"/>
      <c r="H147" s="33"/>
      <c r="I147" s="33"/>
    </row>
    <row r="148" spans="1:9" x14ac:dyDescent="0.25">
      <c r="A148" s="29" t="str">
        <f t="shared" si="2"/>
        <v/>
      </c>
      <c r="B148" s="33"/>
      <c r="C148" s="33"/>
      <c r="D148" s="33"/>
      <c r="E148" s="33"/>
      <c r="F148" s="33"/>
      <c r="G148" s="33"/>
      <c r="H148" s="33"/>
      <c r="I148" s="33"/>
    </row>
    <row r="149" spans="1:9" x14ac:dyDescent="0.25">
      <c r="A149" s="29" t="str">
        <f t="shared" si="2"/>
        <v/>
      </c>
      <c r="B149" s="33"/>
      <c r="C149" s="33"/>
      <c r="D149" s="33"/>
      <c r="E149" s="33"/>
      <c r="F149" s="33"/>
      <c r="G149" s="33"/>
      <c r="H149" s="33"/>
      <c r="I149" s="33"/>
    </row>
    <row r="150" spans="1:9" x14ac:dyDescent="0.25">
      <c r="A150" s="29" t="str">
        <f t="shared" si="2"/>
        <v/>
      </c>
      <c r="B150" s="33"/>
      <c r="C150" s="33"/>
      <c r="D150" s="33"/>
      <c r="E150" s="33"/>
      <c r="F150" s="33"/>
      <c r="G150" s="33"/>
      <c r="H150" s="33"/>
      <c r="I150" s="33"/>
    </row>
    <row r="151" spans="1:9" x14ac:dyDescent="0.25">
      <c r="A151" s="29" t="str">
        <f t="shared" si="2"/>
        <v/>
      </c>
      <c r="B151" s="33"/>
      <c r="C151" s="33"/>
      <c r="D151" s="33"/>
      <c r="E151" s="33"/>
      <c r="F151" s="33"/>
      <c r="G151" s="33"/>
      <c r="H151" s="33"/>
      <c r="I151" s="33"/>
    </row>
    <row r="152" spans="1:9" x14ac:dyDescent="0.25">
      <c r="A152" s="29" t="str">
        <f t="shared" si="2"/>
        <v/>
      </c>
      <c r="B152" s="33"/>
      <c r="C152" s="33"/>
      <c r="D152" s="33"/>
      <c r="E152" s="33"/>
      <c r="F152" s="33"/>
      <c r="G152" s="33"/>
      <c r="H152" s="33"/>
      <c r="I152" s="33"/>
    </row>
    <row r="153" spans="1:9" x14ac:dyDescent="0.25">
      <c r="A153" s="29" t="str">
        <f t="shared" si="2"/>
        <v/>
      </c>
      <c r="B153" s="33"/>
      <c r="C153" s="33"/>
      <c r="D153" s="33"/>
      <c r="E153" s="33"/>
      <c r="F153" s="33"/>
      <c r="G153" s="33"/>
      <c r="H153" s="33"/>
      <c r="I153" s="33"/>
    </row>
    <row r="154" spans="1:9" x14ac:dyDescent="0.25">
      <c r="A154" s="29" t="str">
        <f t="shared" si="2"/>
        <v/>
      </c>
      <c r="B154" s="33"/>
      <c r="C154" s="33"/>
      <c r="D154" s="33"/>
      <c r="E154" s="33"/>
      <c r="F154" s="33"/>
      <c r="G154" s="33"/>
      <c r="H154" s="33"/>
      <c r="I154" s="33"/>
    </row>
    <row r="155" spans="1:9" x14ac:dyDescent="0.25">
      <c r="A155" s="29" t="str">
        <f t="shared" si="2"/>
        <v/>
      </c>
      <c r="B155" s="33"/>
      <c r="C155" s="33"/>
      <c r="D155" s="33"/>
      <c r="E155" s="33"/>
      <c r="F155" s="33"/>
      <c r="G155" s="33"/>
      <c r="H155" s="33"/>
      <c r="I155" s="33"/>
    </row>
    <row r="156" spans="1:9" x14ac:dyDescent="0.25">
      <c r="A156" s="29" t="str">
        <f t="shared" si="2"/>
        <v/>
      </c>
      <c r="B156" s="33"/>
      <c r="C156" s="33"/>
      <c r="D156" s="33"/>
      <c r="E156" s="33"/>
      <c r="F156" s="33"/>
      <c r="G156" s="33"/>
      <c r="H156" s="33"/>
      <c r="I156" s="33"/>
    </row>
    <row r="157" spans="1:9" x14ac:dyDescent="0.25">
      <c r="A157" s="29" t="str">
        <f t="shared" si="2"/>
        <v/>
      </c>
      <c r="B157" s="33"/>
      <c r="C157" s="33"/>
      <c r="D157" s="33"/>
      <c r="E157" s="33"/>
      <c r="F157" s="33"/>
      <c r="G157" s="33"/>
      <c r="H157" s="33"/>
      <c r="I157" s="33"/>
    </row>
    <row r="158" spans="1:9" x14ac:dyDescent="0.25">
      <c r="A158" s="29" t="str">
        <f t="shared" si="2"/>
        <v/>
      </c>
      <c r="B158" s="33"/>
      <c r="C158" s="33"/>
      <c r="D158" s="33"/>
      <c r="E158" s="33"/>
      <c r="F158" s="33"/>
      <c r="G158" s="33"/>
      <c r="H158" s="33"/>
      <c r="I158" s="33"/>
    </row>
    <row r="159" spans="1:9" x14ac:dyDescent="0.25">
      <c r="A159" s="29" t="str">
        <f t="shared" si="2"/>
        <v/>
      </c>
      <c r="B159" s="33"/>
      <c r="C159" s="33"/>
      <c r="D159" s="33"/>
      <c r="E159" s="33"/>
      <c r="F159" s="33"/>
      <c r="G159" s="33"/>
      <c r="H159" s="33"/>
      <c r="I159" s="33"/>
    </row>
    <row r="160" spans="1:9" x14ac:dyDescent="0.25">
      <c r="A160" s="29" t="str">
        <f t="shared" si="2"/>
        <v/>
      </c>
      <c r="B160" s="33"/>
      <c r="C160" s="33"/>
      <c r="D160" s="33"/>
      <c r="E160" s="33"/>
      <c r="F160" s="33"/>
      <c r="G160" s="33"/>
      <c r="H160" s="33"/>
      <c r="I160" s="33"/>
    </row>
    <row r="161" spans="1:9" x14ac:dyDescent="0.25">
      <c r="A161" s="29" t="str">
        <f t="shared" si="2"/>
        <v/>
      </c>
      <c r="B161" s="33"/>
      <c r="C161" s="33"/>
      <c r="D161" s="33"/>
      <c r="E161" s="33"/>
      <c r="F161" s="33"/>
      <c r="G161" s="33"/>
      <c r="H161" s="33"/>
      <c r="I161" s="33"/>
    </row>
    <row r="162" spans="1:9" x14ac:dyDescent="0.25">
      <c r="A162" s="29" t="str">
        <f t="shared" si="2"/>
        <v/>
      </c>
      <c r="B162" s="33"/>
      <c r="C162" s="33"/>
      <c r="D162" s="33"/>
      <c r="E162" s="33"/>
      <c r="F162" s="33"/>
      <c r="G162" s="33"/>
      <c r="H162" s="33"/>
      <c r="I162" s="33"/>
    </row>
    <row r="163" spans="1:9" x14ac:dyDescent="0.25">
      <c r="A163" s="29" t="str">
        <f t="shared" si="2"/>
        <v/>
      </c>
      <c r="B163" s="33"/>
      <c r="C163" s="33"/>
      <c r="D163" s="33"/>
      <c r="E163" s="33"/>
      <c r="F163" s="33"/>
      <c r="G163" s="33"/>
      <c r="H163" s="33"/>
      <c r="I163" s="33"/>
    </row>
    <row r="164" spans="1:9" x14ac:dyDescent="0.25">
      <c r="A164" s="29" t="str">
        <f t="shared" si="2"/>
        <v/>
      </c>
      <c r="B164" s="33"/>
      <c r="C164" s="33"/>
      <c r="D164" s="33"/>
      <c r="E164" s="33"/>
      <c r="F164" s="33"/>
      <c r="G164" s="33"/>
      <c r="H164" s="33"/>
      <c r="I164" s="33"/>
    </row>
    <row r="165" spans="1:9" x14ac:dyDescent="0.25">
      <c r="A165" s="29" t="str">
        <f t="shared" si="2"/>
        <v/>
      </c>
      <c r="B165" s="33"/>
      <c r="C165" s="33"/>
      <c r="D165" s="33"/>
      <c r="E165" s="33"/>
      <c r="F165" s="33"/>
      <c r="G165" s="33"/>
      <c r="H165" s="33"/>
      <c r="I165" s="33"/>
    </row>
    <row r="166" spans="1:9" x14ac:dyDescent="0.25">
      <c r="A166" s="29" t="str">
        <f t="shared" si="2"/>
        <v/>
      </c>
      <c r="B166" s="33"/>
      <c r="C166" s="33"/>
      <c r="D166" s="33"/>
      <c r="E166" s="33"/>
      <c r="F166" s="33"/>
      <c r="G166" s="33"/>
      <c r="H166" s="33"/>
      <c r="I166" s="33"/>
    </row>
    <row r="167" spans="1:9" x14ac:dyDescent="0.25">
      <c r="A167" s="29" t="str">
        <f t="shared" si="2"/>
        <v/>
      </c>
      <c r="B167" s="33"/>
      <c r="C167" s="33"/>
      <c r="D167" s="33"/>
      <c r="E167" s="33"/>
      <c r="F167" s="33"/>
      <c r="G167" s="33"/>
      <c r="H167" s="33"/>
      <c r="I167" s="33"/>
    </row>
    <row r="168" spans="1:9" x14ac:dyDescent="0.25">
      <c r="A168" s="29" t="str">
        <f t="shared" si="2"/>
        <v/>
      </c>
      <c r="B168" s="33"/>
      <c r="C168" s="33"/>
      <c r="D168" s="33"/>
      <c r="E168" s="33"/>
      <c r="F168" s="33"/>
      <c r="G168" s="33"/>
      <c r="H168" s="33"/>
      <c r="I168" s="33"/>
    </row>
    <row r="169" spans="1:9" x14ac:dyDescent="0.25">
      <c r="A169" s="29" t="str">
        <f t="shared" si="2"/>
        <v/>
      </c>
      <c r="B169" s="33"/>
      <c r="C169" s="33"/>
      <c r="D169" s="33"/>
      <c r="E169" s="33"/>
      <c r="F169" s="33"/>
      <c r="G169" s="33"/>
      <c r="H169" s="33"/>
      <c r="I169" s="33"/>
    </row>
    <row r="170" spans="1:9" x14ac:dyDescent="0.25">
      <c r="A170" s="29" t="str">
        <f t="shared" si="2"/>
        <v/>
      </c>
      <c r="B170" s="33"/>
      <c r="C170" s="33"/>
      <c r="D170" s="33"/>
      <c r="E170" s="33"/>
      <c r="F170" s="33"/>
      <c r="G170" s="33"/>
      <c r="H170" s="33"/>
      <c r="I170" s="33"/>
    </row>
    <row r="171" spans="1:9" x14ac:dyDescent="0.25">
      <c r="A171" s="29" t="str">
        <f t="shared" si="2"/>
        <v/>
      </c>
      <c r="B171" s="33"/>
      <c r="C171" s="33"/>
      <c r="D171" s="33"/>
      <c r="E171" s="33"/>
      <c r="F171" s="33"/>
      <c r="G171" s="33"/>
      <c r="H171" s="33"/>
      <c r="I171" s="33"/>
    </row>
    <row r="172" spans="1:9" x14ac:dyDescent="0.25">
      <c r="A172" s="29" t="str">
        <f t="shared" si="2"/>
        <v/>
      </c>
      <c r="B172" s="33"/>
      <c r="C172" s="33"/>
      <c r="D172" s="33"/>
      <c r="E172" s="33"/>
      <c r="F172" s="33"/>
      <c r="G172" s="33"/>
      <c r="H172" s="33"/>
      <c r="I172" s="33"/>
    </row>
    <row r="173" spans="1:9" x14ac:dyDescent="0.25">
      <c r="A173" s="29" t="str">
        <f t="shared" si="2"/>
        <v/>
      </c>
      <c r="B173" s="33"/>
      <c r="C173" s="33"/>
      <c r="D173" s="33"/>
      <c r="E173" s="33"/>
      <c r="F173" s="33"/>
      <c r="G173" s="33"/>
      <c r="H173" s="33"/>
      <c r="I173" s="33"/>
    </row>
    <row r="174" spans="1:9" x14ac:dyDescent="0.25">
      <c r="A174" s="29" t="str">
        <f t="shared" si="2"/>
        <v/>
      </c>
      <c r="B174" s="33"/>
      <c r="C174" s="33"/>
      <c r="D174" s="33"/>
      <c r="E174" s="33"/>
      <c r="F174" s="33"/>
      <c r="G174" s="33"/>
      <c r="H174" s="33"/>
      <c r="I174" s="33"/>
    </row>
    <row r="175" spans="1:9" x14ac:dyDescent="0.25">
      <c r="A175" s="29" t="str">
        <f t="shared" si="2"/>
        <v/>
      </c>
      <c r="B175" s="33"/>
      <c r="C175" s="33"/>
      <c r="D175" s="33"/>
      <c r="E175" s="33"/>
      <c r="F175" s="33"/>
      <c r="G175" s="33"/>
      <c r="H175" s="33"/>
      <c r="I175" s="33"/>
    </row>
    <row r="176" spans="1:9" x14ac:dyDescent="0.25">
      <c r="A176" s="29" t="str">
        <f t="shared" si="2"/>
        <v/>
      </c>
      <c r="B176" s="33"/>
      <c r="C176" s="33"/>
      <c r="D176" s="33"/>
      <c r="E176" s="33"/>
      <c r="F176" s="33"/>
      <c r="G176" s="33"/>
      <c r="H176" s="33"/>
      <c r="I176" s="33"/>
    </row>
    <row r="177" spans="1:9" x14ac:dyDescent="0.25">
      <c r="A177" s="29" t="str">
        <f t="shared" si="2"/>
        <v/>
      </c>
      <c r="B177" s="33"/>
      <c r="C177" s="33"/>
      <c r="D177" s="33"/>
      <c r="E177" s="33"/>
      <c r="F177" s="33"/>
      <c r="G177" s="33"/>
      <c r="H177" s="33"/>
      <c r="I177" s="33"/>
    </row>
    <row r="178" spans="1:9" x14ac:dyDescent="0.25">
      <c r="A178" s="29" t="str">
        <f t="shared" si="2"/>
        <v/>
      </c>
      <c r="B178" s="33"/>
      <c r="C178" s="33"/>
      <c r="D178" s="33"/>
      <c r="E178" s="33"/>
      <c r="F178" s="33"/>
      <c r="G178" s="33"/>
      <c r="H178" s="33"/>
      <c r="I178" s="33"/>
    </row>
    <row r="179" spans="1:9" x14ac:dyDescent="0.25">
      <c r="A179" s="29" t="str">
        <f t="shared" si="2"/>
        <v/>
      </c>
      <c r="B179" s="33"/>
      <c r="C179" s="33"/>
      <c r="D179" s="33"/>
      <c r="E179" s="33"/>
      <c r="F179" s="33"/>
      <c r="G179" s="33"/>
      <c r="H179" s="33"/>
      <c r="I179" s="33"/>
    </row>
    <row r="180" spans="1:9" x14ac:dyDescent="0.25">
      <c r="A180" s="29" t="str">
        <f t="shared" si="2"/>
        <v/>
      </c>
      <c r="B180" s="33"/>
      <c r="C180" s="33"/>
      <c r="D180" s="33"/>
      <c r="E180" s="33"/>
      <c r="F180" s="33"/>
      <c r="G180" s="33"/>
      <c r="H180" s="33"/>
      <c r="I180" s="33"/>
    </row>
    <row r="181" spans="1:9" x14ac:dyDescent="0.25">
      <c r="A181" s="29" t="str">
        <f t="shared" si="2"/>
        <v/>
      </c>
      <c r="B181" s="33"/>
      <c r="C181" s="33"/>
      <c r="D181" s="33"/>
      <c r="E181" s="33"/>
      <c r="F181" s="33"/>
      <c r="G181" s="33"/>
      <c r="H181" s="33"/>
      <c r="I181" s="33"/>
    </row>
    <row r="182" spans="1:9" x14ac:dyDescent="0.25">
      <c r="A182" s="29" t="str">
        <f t="shared" si="2"/>
        <v/>
      </c>
      <c r="B182" s="33"/>
      <c r="C182" s="33"/>
      <c r="D182" s="33"/>
      <c r="E182" s="33"/>
      <c r="F182" s="33"/>
      <c r="G182" s="33"/>
      <c r="H182" s="33"/>
      <c r="I182" s="33"/>
    </row>
    <row r="183" spans="1:9" x14ac:dyDescent="0.25">
      <c r="A183" s="29" t="str">
        <f t="shared" si="2"/>
        <v/>
      </c>
      <c r="B183" s="33"/>
      <c r="C183" s="33"/>
      <c r="D183" s="33"/>
      <c r="E183" s="33"/>
      <c r="F183" s="33"/>
      <c r="G183" s="33"/>
      <c r="H183" s="33"/>
      <c r="I183" s="33"/>
    </row>
    <row r="184" spans="1:9" x14ac:dyDescent="0.25">
      <c r="A184" s="29" t="str">
        <f t="shared" si="2"/>
        <v/>
      </c>
      <c r="B184" s="33"/>
      <c r="C184" s="33"/>
      <c r="D184" s="33"/>
      <c r="E184" s="33"/>
      <c r="F184" s="33"/>
      <c r="G184" s="33"/>
      <c r="H184" s="33"/>
      <c r="I184" s="33"/>
    </row>
    <row r="185" spans="1:9" x14ac:dyDescent="0.25">
      <c r="A185" s="29" t="str">
        <f t="shared" si="2"/>
        <v/>
      </c>
      <c r="B185" s="33"/>
      <c r="C185" s="33"/>
      <c r="D185" s="33"/>
      <c r="E185" s="33"/>
      <c r="F185" s="33"/>
      <c r="G185" s="33"/>
      <c r="H185" s="33"/>
      <c r="I185" s="33"/>
    </row>
    <row r="186" spans="1:9" x14ac:dyDescent="0.25">
      <c r="A186" s="29" t="str">
        <f t="shared" si="2"/>
        <v/>
      </c>
      <c r="B186" s="33"/>
      <c r="C186" s="33"/>
      <c r="D186" s="33"/>
      <c r="E186" s="33"/>
      <c r="F186" s="33"/>
      <c r="G186" s="33"/>
      <c r="H186" s="33"/>
      <c r="I186" s="33"/>
    </row>
    <row r="187" spans="1:9" x14ac:dyDescent="0.25">
      <c r="A187" s="29" t="str">
        <f t="shared" si="2"/>
        <v/>
      </c>
      <c r="B187" s="33"/>
      <c r="C187" s="33"/>
      <c r="D187" s="33"/>
      <c r="E187" s="33"/>
      <c r="F187" s="33"/>
      <c r="G187" s="33"/>
      <c r="H187" s="33"/>
      <c r="I187" s="33"/>
    </row>
    <row r="188" spans="1:9" x14ac:dyDescent="0.25">
      <c r="A188" s="29" t="str">
        <f t="shared" si="2"/>
        <v/>
      </c>
      <c r="B188" s="33"/>
      <c r="C188" s="33"/>
      <c r="D188" s="33"/>
      <c r="E188" s="33"/>
      <c r="F188" s="33"/>
      <c r="G188" s="33"/>
      <c r="H188" s="33"/>
      <c r="I188" s="33"/>
    </row>
    <row r="189" spans="1:9" x14ac:dyDescent="0.25">
      <c r="A189" s="29" t="str">
        <f t="shared" si="2"/>
        <v/>
      </c>
      <c r="B189" s="33"/>
      <c r="C189" s="33"/>
      <c r="D189" s="33"/>
      <c r="E189" s="33"/>
      <c r="F189" s="33"/>
      <c r="G189" s="33"/>
      <c r="H189" s="33"/>
      <c r="I189" s="33"/>
    </row>
    <row r="190" spans="1:9" x14ac:dyDescent="0.25">
      <c r="A190" s="29" t="str">
        <f t="shared" si="2"/>
        <v/>
      </c>
      <c r="B190" s="33"/>
      <c r="C190" s="33"/>
      <c r="D190" s="33"/>
      <c r="E190" s="33"/>
      <c r="F190" s="33"/>
      <c r="G190" s="33"/>
      <c r="H190" s="33"/>
      <c r="I190" s="33"/>
    </row>
    <row r="191" spans="1:9" x14ac:dyDescent="0.25">
      <c r="A191" s="29" t="str">
        <f t="shared" si="2"/>
        <v/>
      </c>
      <c r="B191" s="33"/>
      <c r="C191" s="33"/>
      <c r="D191" s="33"/>
      <c r="E191" s="33"/>
      <c r="F191" s="33"/>
      <c r="G191" s="33"/>
      <c r="H191" s="33"/>
      <c r="I191" s="33"/>
    </row>
    <row r="192" spans="1:9" x14ac:dyDescent="0.25">
      <c r="A192" s="29" t="str">
        <f t="shared" si="2"/>
        <v/>
      </c>
      <c r="B192" s="33"/>
      <c r="C192" s="33"/>
      <c r="D192" s="33"/>
      <c r="E192" s="33"/>
      <c r="F192" s="33"/>
      <c r="G192" s="33"/>
      <c r="H192" s="33"/>
      <c r="I192" s="33"/>
    </row>
    <row r="193" spans="1:9" x14ac:dyDescent="0.25">
      <c r="A193" s="29" t="str">
        <f t="shared" si="2"/>
        <v/>
      </c>
      <c r="B193" s="33"/>
      <c r="C193" s="33"/>
      <c r="D193" s="33"/>
      <c r="E193" s="33"/>
      <c r="F193" s="33"/>
      <c r="G193" s="33"/>
      <c r="H193" s="33"/>
      <c r="I193" s="33"/>
    </row>
    <row r="194" spans="1:9" x14ac:dyDescent="0.25">
      <c r="A194" s="29" t="str">
        <f t="shared" ref="A194:A253" si="3">_xlfn.CONCAT(B194,C194)</f>
        <v/>
      </c>
      <c r="B194" s="33"/>
      <c r="C194" s="33"/>
      <c r="D194" s="33"/>
      <c r="E194" s="33"/>
      <c r="F194" s="33"/>
      <c r="G194" s="33"/>
      <c r="H194" s="33"/>
      <c r="I194" s="33"/>
    </row>
    <row r="195" spans="1:9" x14ac:dyDescent="0.25">
      <c r="A195" s="29" t="str">
        <f t="shared" si="3"/>
        <v/>
      </c>
      <c r="B195" s="33"/>
      <c r="C195" s="33"/>
      <c r="D195" s="33"/>
      <c r="E195" s="33"/>
      <c r="F195" s="33"/>
      <c r="G195" s="33"/>
      <c r="H195" s="33"/>
      <c r="I195" s="33"/>
    </row>
    <row r="196" spans="1:9" x14ac:dyDescent="0.25">
      <c r="A196" s="29" t="str">
        <f t="shared" si="3"/>
        <v/>
      </c>
      <c r="B196" s="33"/>
      <c r="C196" s="33"/>
      <c r="D196" s="33"/>
      <c r="E196" s="33"/>
      <c r="F196" s="33"/>
      <c r="G196" s="33"/>
      <c r="H196" s="33"/>
      <c r="I196" s="33"/>
    </row>
    <row r="197" spans="1:9" x14ac:dyDescent="0.25">
      <c r="A197" s="29" t="str">
        <f t="shared" si="3"/>
        <v/>
      </c>
      <c r="B197" s="33"/>
      <c r="C197" s="33"/>
      <c r="D197" s="33"/>
      <c r="E197" s="33"/>
      <c r="F197" s="33"/>
      <c r="G197" s="33"/>
      <c r="H197" s="33"/>
      <c r="I197" s="33"/>
    </row>
    <row r="198" spans="1:9" x14ac:dyDescent="0.25">
      <c r="A198" s="29" t="str">
        <f t="shared" si="3"/>
        <v/>
      </c>
      <c r="B198" s="33"/>
      <c r="C198" s="33"/>
      <c r="D198" s="33"/>
      <c r="E198" s="33"/>
      <c r="F198" s="33"/>
      <c r="G198" s="33"/>
      <c r="H198" s="33"/>
      <c r="I198" s="33"/>
    </row>
    <row r="199" spans="1:9" x14ac:dyDescent="0.25">
      <c r="A199" s="29" t="str">
        <f t="shared" si="3"/>
        <v/>
      </c>
      <c r="B199" s="33"/>
      <c r="C199" s="33"/>
      <c r="D199" s="33"/>
      <c r="E199" s="33"/>
      <c r="F199" s="33"/>
      <c r="G199" s="33"/>
      <c r="H199" s="33"/>
      <c r="I199" s="33"/>
    </row>
    <row r="200" spans="1:9" x14ac:dyDescent="0.25">
      <c r="A200" s="29" t="str">
        <f t="shared" si="3"/>
        <v/>
      </c>
      <c r="B200" s="33"/>
      <c r="C200" s="33"/>
      <c r="D200" s="33"/>
      <c r="E200" s="33"/>
      <c r="F200" s="33"/>
      <c r="G200" s="33"/>
      <c r="H200" s="33"/>
      <c r="I200" s="33"/>
    </row>
    <row r="201" spans="1:9" x14ac:dyDescent="0.25">
      <c r="A201" s="29" t="str">
        <f t="shared" si="3"/>
        <v/>
      </c>
      <c r="B201" s="33"/>
      <c r="C201" s="33"/>
      <c r="D201" s="33"/>
      <c r="E201" s="33"/>
      <c r="F201" s="33"/>
      <c r="G201" s="33"/>
      <c r="H201" s="33"/>
      <c r="I201" s="33"/>
    </row>
    <row r="202" spans="1:9" x14ac:dyDescent="0.25">
      <c r="A202" s="29" t="str">
        <f t="shared" si="3"/>
        <v/>
      </c>
      <c r="B202" s="33"/>
      <c r="C202" s="33"/>
      <c r="D202" s="33"/>
      <c r="E202" s="33"/>
      <c r="F202" s="33"/>
      <c r="G202" s="33"/>
      <c r="H202" s="33"/>
      <c r="I202" s="33"/>
    </row>
    <row r="203" spans="1:9" x14ac:dyDescent="0.25">
      <c r="A203" s="29" t="str">
        <f t="shared" si="3"/>
        <v/>
      </c>
      <c r="B203" s="33"/>
      <c r="C203" s="33"/>
      <c r="D203" s="33"/>
      <c r="E203" s="33"/>
      <c r="F203" s="33"/>
      <c r="G203" s="33"/>
      <c r="H203" s="33"/>
      <c r="I203" s="33"/>
    </row>
    <row r="204" spans="1:9" x14ac:dyDescent="0.25">
      <c r="A204" s="29" t="str">
        <f t="shared" si="3"/>
        <v/>
      </c>
      <c r="B204" s="33"/>
      <c r="C204" s="33"/>
      <c r="D204" s="33"/>
      <c r="E204" s="33"/>
      <c r="F204" s="33"/>
      <c r="G204" s="33"/>
      <c r="H204" s="33"/>
      <c r="I204" s="33"/>
    </row>
    <row r="205" spans="1:9" x14ac:dyDescent="0.25">
      <c r="A205" s="29" t="str">
        <f t="shared" si="3"/>
        <v/>
      </c>
      <c r="B205" s="33"/>
      <c r="C205" s="33"/>
      <c r="D205" s="33"/>
      <c r="E205" s="33"/>
      <c r="F205" s="33"/>
      <c r="G205" s="33"/>
      <c r="H205" s="33"/>
      <c r="I205" s="33"/>
    </row>
    <row r="206" spans="1:9" x14ac:dyDescent="0.25">
      <c r="A206" s="29" t="str">
        <f t="shared" si="3"/>
        <v/>
      </c>
      <c r="B206" s="33"/>
      <c r="C206" s="33"/>
      <c r="D206" s="33"/>
      <c r="E206" s="33"/>
      <c r="F206" s="33"/>
      <c r="G206" s="33"/>
      <c r="H206" s="33"/>
      <c r="I206" s="33"/>
    </row>
    <row r="207" spans="1:9" x14ac:dyDescent="0.25">
      <c r="A207" s="29" t="str">
        <f t="shared" si="3"/>
        <v/>
      </c>
      <c r="B207" s="33"/>
      <c r="C207" s="33"/>
      <c r="D207" s="33"/>
      <c r="E207" s="33"/>
      <c r="F207" s="33"/>
      <c r="G207" s="33"/>
      <c r="H207" s="33"/>
      <c r="I207" s="33"/>
    </row>
    <row r="208" spans="1:9" x14ac:dyDescent="0.25">
      <c r="A208" s="29" t="str">
        <f t="shared" si="3"/>
        <v/>
      </c>
      <c r="B208" s="33"/>
      <c r="C208" s="33"/>
      <c r="D208" s="33"/>
      <c r="E208" s="33"/>
      <c r="F208" s="33"/>
      <c r="G208" s="33"/>
      <c r="H208" s="33"/>
      <c r="I208" s="33"/>
    </row>
    <row r="209" spans="1:9" x14ac:dyDescent="0.25">
      <c r="A209" s="29" t="str">
        <f t="shared" si="3"/>
        <v/>
      </c>
      <c r="B209" s="33"/>
      <c r="C209" s="33"/>
      <c r="D209" s="33"/>
      <c r="E209" s="33"/>
      <c r="F209" s="33"/>
      <c r="G209" s="33"/>
      <c r="H209" s="33"/>
      <c r="I209" s="33"/>
    </row>
    <row r="210" spans="1:9" x14ac:dyDescent="0.25">
      <c r="A210" s="29" t="str">
        <f t="shared" si="3"/>
        <v/>
      </c>
      <c r="B210" s="33"/>
      <c r="C210" s="33"/>
      <c r="D210" s="33"/>
      <c r="E210" s="33"/>
      <c r="F210" s="33"/>
      <c r="G210" s="33"/>
      <c r="H210" s="33"/>
      <c r="I210" s="33"/>
    </row>
    <row r="211" spans="1:9" x14ac:dyDescent="0.25">
      <c r="A211" s="29" t="str">
        <f t="shared" si="3"/>
        <v/>
      </c>
      <c r="B211" s="33"/>
      <c r="C211" s="33"/>
      <c r="D211" s="33"/>
      <c r="E211" s="33"/>
      <c r="F211" s="33"/>
      <c r="G211" s="33"/>
      <c r="H211" s="33"/>
      <c r="I211" s="33"/>
    </row>
    <row r="212" spans="1:9" x14ac:dyDescent="0.25">
      <c r="A212" s="29" t="str">
        <f t="shared" si="3"/>
        <v/>
      </c>
      <c r="B212" s="33"/>
      <c r="C212" s="33"/>
      <c r="D212" s="33"/>
      <c r="E212" s="33"/>
      <c r="F212" s="33"/>
      <c r="G212" s="33"/>
      <c r="H212" s="33"/>
      <c r="I212" s="33"/>
    </row>
    <row r="213" spans="1:9" x14ac:dyDescent="0.25">
      <c r="A213" s="29" t="str">
        <f t="shared" si="3"/>
        <v/>
      </c>
      <c r="B213" s="33"/>
      <c r="C213" s="33"/>
      <c r="D213" s="33"/>
      <c r="E213" s="33"/>
      <c r="F213" s="33"/>
      <c r="G213" s="33"/>
      <c r="H213" s="33"/>
      <c r="I213" s="33"/>
    </row>
    <row r="214" spans="1:9" x14ac:dyDescent="0.25">
      <c r="A214" s="29" t="str">
        <f t="shared" si="3"/>
        <v/>
      </c>
      <c r="B214" s="33"/>
      <c r="C214" s="33"/>
      <c r="D214" s="33"/>
      <c r="E214" s="33"/>
      <c r="F214" s="33"/>
      <c r="G214" s="33"/>
      <c r="H214" s="33"/>
      <c r="I214" s="33"/>
    </row>
    <row r="215" spans="1:9" x14ac:dyDescent="0.25">
      <c r="A215" s="29" t="str">
        <f t="shared" si="3"/>
        <v/>
      </c>
      <c r="B215" s="33"/>
      <c r="C215" s="33"/>
      <c r="D215" s="33"/>
      <c r="E215" s="33"/>
      <c r="F215" s="33"/>
      <c r="G215" s="33"/>
      <c r="H215" s="33"/>
      <c r="I215" s="33"/>
    </row>
    <row r="216" spans="1:9" x14ac:dyDescent="0.25">
      <c r="A216" s="29" t="str">
        <f t="shared" si="3"/>
        <v/>
      </c>
      <c r="B216" s="33"/>
      <c r="C216" s="33"/>
      <c r="D216" s="33"/>
      <c r="E216" s="33"/>
      <c r="F216" s="33"/>
      <c r="G216" s="33"/>
      <c r="H216" s="33"/>
      <c r="I216" s="33"/>
    </row>
    <row r="217" spans="1:9" x14ac:dyDescent="0.25">
      <c r="A217" s="29" t="str">
        <f t="shared" si="3"/>
        <v/>
      </c>
      <c r="B217" s="33"/>
      <c r="C217" s="33"/>
      <c r="D217" s="33"/>
      <c r="E217" s="33"/>
      <c r="F217" s="33"/>
      <c r="G217" s="33"/>
      <c r="H217" s="33"/>
      <c r="I217" s="33"/>
    </row>
    <row r="218" spans="1:9" x14ac:dyDescent="0.25">
      <c r="A218" s="29" t="str">
        <f t="shared" si="3"/>
        <v/>
      </c>
      <c r="B218" s="33"/>
      <c r="C218" s="33"/>
      <c r="D218" s="33"/>
      <c r="E218" s="33"/>
      <c r="F218" s="33"/>
      <c r="G218" s="33"/>
      <c r="H218" s="33"/>
      <c r="I218" s="33"/>
    </row>
    <row r="219" spans="1:9" x14ac:dyDescent="0.25">
      <c r="A219" s="29" t="str">
        <f t="shared" si="3"/>
        <v/>
      </c>
      <c r="B219" s="33"/>
      <c r="C219" s="33"/>
      <c r="D219" s="33"/>
      <c r="E219" s="33"/>
      <c r="F219" s="33"/>
      <c r="G219" s="33"/>
      <c r="H219" s="33"/>
      <c r="I219" s="33"/>
    </row>
    <row r="220" spans="1:9" x14ac:dyDescent="0.25">
      <c r="A220" s="29" t="str">
        <f t="shared" si="3"/>
        <v/>
      </c>
      <c r="B220" s="33"/>
      <c r="C220" s="33"/>
      <c r="D220" s="33"/>
      <c r="E220" s="33"/>
      <c r="F220" s="33"/>
      <c r="G220" s="33"/>
      <c r="H220" s="33"/>
      <c r="I220" s="33"/>
    </row>
    <row r="221" spans="1:9" x14ac:dyDescent="0.25">
      <c r="A221" s="29" t="str">
        <f t="shared" si="3"/>
        <v/>
      </c>
      <c r="B221" s="33"/>
      <c r="C221" s="33"/>
      <c r="D221" s="33"/>
      <c r="E221" s="33"/>
      <c r="F221" s="33"/>
      <c r="G221" s="33"/>
      <c r="H221" s="33"/>
      <c r="I221" s="33"/>
    </row>
    <row r="222" spans="1:9" x14ac:dyDescent="0.25">
      <c r="A222" s="29" t="str">
        <f t="shared" si="3"/>
        <v/>
      </c>
      <c r="B222" s="33"/>
      <c r="C222" s="33"/>
      <c r="D222" s="33"/>
      <c r="E222" s="33"/>
      <c r="F222" s="33"/>
      <c r="G222" s="33"/>
      <c r="H222" s="33"/>
      <c r="I222" s="33"/>
    </row>
    <row r="223" spans="1:9" x14ac:dyDescent="0.25">
      <c r="A223" s="29" t="str">
        <f t="shared" si="3"/>
        <v/>
      </c>
      <c r="B223" s="33"/>
      <c r="C223" s="33"/>
      <c r="D223" s="33"/>
      <c r="E223" s="33"/>
      <c r="F223" s="33"/>
      <c r="G223" s="33"/>
      <c r="H223" s="33"/>
      <c r="I223" s="33"/>
    </row>
    <row r="224" spans="1:9" x14ac:dyDescent="0.25">
      <c r="A224" s="29" t="str">
        <f t="shared" si="3"/>
        <v/>
      </c>
      <c r="B224" s="33"/>
      <c r="C224" s="33"/>
      <c r="D224" s="33"/>
      <c r="E224" s="33"/>
      <c r="F224" s="33"/>
      <c r="G224" s="33"/>
      <c r="H224" s="33"/>
      <c r="I224" s="33"/>
    </row>
    <row r="225" spans="1:9" x14ac:dyDescent="0.25">
      <c r="A225" s="29" t="str">
        <f t="shared" si="3"/>
        <v/>
      </c>
      <c r="B225" s="33"/>
      <c r="C225" s="33"/>
      <c r="D225" s="33"/>
      <c r="E225" s="33"/>
      <c r="F225" s="33"/>
      <c r="G225" s="33"/>
      <c r="H225" s="33"/>
      <c r="I225" s="33"/>
    </row>
    <row r="226" spans="1:9" x14ac:dyDescent="0.25">
      <c r="A226" s="29" t="str">
        <f t="shared" si="3"/>
        <v/>
      </c>
      <c r="B226" s="33"/>
      <c r="C226" s="33"/>
      <c r="D226" s="33"/>
      <c r="E226" s="33"/>
      <c r="F226" s="33"/>
      <c r="G226" s="33"/>
      <c r="H226" s="33"/>
      <c r="I226" s="33"/>
    </row>
    <row r="227" spans="1:9" x14ac:dyDescent="0.25">
      <c r="A227" s="29" t="str">
        <f t="shared" si="3"/>
        <v/>
      </c>
      <c r="B227" s="33"/>
      <c r="C227" s="33"/>
      <c r="D227" s="33"/>
      <c r="E227" s="33"/>
      <c r="F227" s="33"/>
      <c r="G227" s="33"/>
      <c r="H227" s="33"/>
      <c r="I227" s="33"/>
    </row>
    <row r="228" spans="1:9" x14ac:dyDescent="0.25">
      <c r="A228" s="29" t="str">
        <f t="shared" si="3"/>
        <v/>
      </c>
      <c r="B228" s="33"/>
      <c r="C228" s="33"/>
      <c r="D228" s="33"/>
      <c r="E228" s="33"/>
      <c r="F228" s="33"/>
      <c r="G228" s="33"/>
      <c r="H228" s="33"/>
      <c r="I228" s="33"/>
    </row>
    <row r="229" spans="1:9" x14ac:dyDescent="0.25">
      <c r="A229" s="29" t="str">
        <f t="shared" si="3"/>
        <v/>
      </c>
      <c r="B229" s="33"/>
      <c r="C229" s="33"/>
      <c r="D229" s="33"/>
      <c r="E229" s="33"/>
      <c r="F229" s="33"/>
      <c r="G229" s="33"/>
      <c r="H229" s="33"/>
      <c r="I229" s="33"/>
    </row>
    <row r="230" spans="1:9" x14ac:dyDescent="0.25">
      <c r="A230" s="29" t="str">
        <f t="shared" si="3"/>
        <v/>
      </c>
      <c r="B230" s="33"/>
      <c r="C230" s="33"/>
      <c r="D230" s="33"/>
      <c r="E230" s="33"/>
      <c r="F230" s="33"/>
      <c r="G230" s="33"/>
      <c r="H230" s="33"/>
      <c r="I230" s="33"/>
    </row>
    <row r="231" spans="1:9" x14ac:dyDescent="0.25">
      <c r="A231" s="29" t="str">
        <f t="shared" si="3"/>
        <v/>
      </c>
      <c r="B231" s="33"/>
      <c r="C231" s="33"/>
      <c r="D231" s="33"/>
      <c r="E231" s="33"/>
      <c r="F231" s="33"/>
      <c r="G231" s="33"/>
      <c r="H231" s="33"/>
      <c r="I231" s="33"/>
    </row>
    <row r="232" spans="1:9" x14ac:dyDescent="0.25">
      <c r="A232" s="29" t="str">
        <f t="shared" si="3"/>
        <v/>
      </c>
      <c r="B232" s="33"/>
      <c r="C232" s="33"/>
      <c r="D232" s="33"/>
      <c r="E232" s="33"/>
      <c r="F232" s="33"/>
      <c r="G232" s="33"/>
      <c r="H232" s="33"/>
      <c r="I232" s="33"/>
    </row>
    <row r="233" spans="1:9" x14ac:dyDescent="0.25">
      <c r="A233" s="29" t="str">
        <f t="shared" si="3"/>
        <v/>
      </c>
      <c r="B233" s="33"/>
      <c r="C233" s="33"/>
      <c r="D233" s="33"/>
      <c r="E233" s="33"/>
      <c r="F233" s="33"/>
      <c r="G233" s="33"/>
      <c r="H233" s="33"/>
      <c r="I233" s="33"/>
    </row>
    <row r="234" spans="1:9" x14ac:dyDescent="0.25">
      <c r="A234" s="29" t="str">
        <f t="shared" si="3"/>
        <v/>
      </c>
      <c r="B234" s="33"/>
      <c r="C234" s="33"/>
      <c r="D234" s="33"/>
      <c r="E234" s="33"/>
      <c r="F234" s="33"/>
      <c r="G234" s="33"/>
      <c r="H234" s="33"/>
      <c r="I234" s="33"/>
    </row>
    <row r="235" spans="1:9" x14ac:dyDescent="0.25">
      <c r="A235" s="29" t="str">
        <f t="shared" si="3"/>
        <v/>
      </c>
      <c r="B235" s="33"/>
      <c r="C235" s="33"/>
      <c r="D235" s="33"/>
      <c r="E235" s="33"/>
      <c r="F235" s="33"/>
      <c r="G235" s="33"/>
      <c r="H235" s="33"/>
      <c r="I235" s="33"/>
    </row>
    <row r="236" spans="1:9" x14ac:dyDescent="0.25">
      <c r="A236" s="29" t="str">
        <f t="shared" si="3"/>
        <v/>
      </c>
      <c r="B236" s="33"/>
      <c r="C236" s="33"/>
      <c r="D236" s="33"/>
      <c r="E236" s="33"/>
      <c r="F236" s="33"/>
      <c r="G236" s="33"/>
      <c r="H236" s="33"/>
      <c r="I236" s="33"/>
    </row>
    <row r="237" spans="1:9" x14ac:dyDescent="0.25">
      <c r="A237" s="29" t="str">
        <f t="shared" si="3"/>
        <v/>
      </c>
      <c r="B237" s="33"/>
      <c r="C237" s="33"/>
      <c r="D237" s="33"/>
      <c r="E237" s="33"/>
      <c r="F237" s="33"/>
      <c r="G237" s="33"/>
      <c r="H237" s="33"/>
      <c r="I237" s="33"/>
    </row>
    <row r="238" spans="1:9" x14ac:dyDescent="0.25">
      <c r="A238" s="29" t="str">
        <f t="shared" si="3"/>
        <v/>
      </c>
      <c r="B238" s="33"/>
      <c r="C238" s="33"/>
      <c r="D238" s="33"/>
      <c r="E238" s="33"/>
      <c r="F238" s="33"/>
      <c r="G238" s="33"/>
      <c r="H238" s="33"/>
      <c r="I238" s="33"/>
    </row>
    <row r="239" spans="1:9" x14ac:dyDescent="0.25">
      <c r="A239" s="29" t="str">
        <f t="shared" si="3"/>
        <v/>
      </c>
      <c r="B239" s="33"/>
      <c r="C239" s="33"/>
      <c r="D239" s="33"/>
      <c r="E239" s="33"/>
      <c r="F239" s="33"/>
      <c r="G239" s="33"/>
      <c r="H239" s="33"/>
      <c r="I239" s="33"/>
    </row>
    <row r="240" spans="1:9" x14ac:dyDescent="0.25">
      <c r="A240" s="29" t="str">
        <f t="shared" si="3"/>
        <v/>
      </c>
      <c r="B240" s="33"/>
      <c r="C240" s="33"/>
      <c r="D240" s="33"/>
      <c r="E240" s="33"/>
      <c r="F240" s="33"/>
      <c r="G240" s="33"/>
      <c r="H240" s="33"/>
      <c r="I240" s="33"/>
    </row>
    <row r="241" spans="1:9" x14ac:dyDescent="0.25">
      <c r="A241" s="29" t="str">
        <f t="shared" si="3"/>
        <v/>
      </c>
      <c r="B241" s="33"/>
      <c r="C241" s="33"/>
      <c r="D241" s="33"/>
      <c r="E241" s="33"/>
      <c r="F241" s="33"/>
      <c r="G241" s="33"/>
      <c r="H241" s="33"/>
      <c r="I241" s="33"/>
    </row>
    <row r="242" spans="1:9" x14ac:dyDescent="0.25">
      <c r="A242" s="29" t="str">
        <f t="shared" si="3"/>
        <v/>
      </c>
      <c r="B242" s="33"/>
      <c r="C242" s="33"/>
      <c r="D242" s="33"/>
      <c r="E242" s="33"/>
      <c r="F242" s="33"/>
      <c r="G242" s="33"/>
      <c r="H242" s="33"/>
      <c r="I242" s="33"/>
    </row>
    <row r="243" spans="1:9" x14ac:dyDescent="0.25">
      <c r="A243" s="29" t="str">
        <f t="shared" si="3"/>
        <v/>
      </c>
      <c r="B243" s="33"/>
      <c r="C243" s="33"/>
      <c r="D243" s="33"/>
      <c r="E243" s="33"/>
      <c r="F243" s="33"/>
      <c r="G243" s="33"/>
      <c r="H243" s="33"/>
      <c r="I243" s="33"/>
    </row>
    <row r="244" spans="1:9" x14ac:dyDescent="0.25">
      <c r="A244" s="29" t="str">
        <f t="shared" si="3"/>
        <v/>
      </c>
      <c r="B244" s="33"/>
      <c r="C244" s="33"/>
      <c r="D244" s="33"/>
      <c r="E244" s="33"/>
      <c r="F244" s="33"/>
      <c r="G244" s="33"/>
      <c r="H244" s="33"/>
      <c r="I244" s="33"/>
    </row>
    <row r="245" spans="1:9" x14ac:dyDescent="0.25">
      <c r="A245" s="29" t="str">
        <f t="shared" si="3"/>
        <v/>
      </c>
      <c r="B245" s="33"/>
      <c r="C245" s="33"/>
      <c r="D245" s="33"/>
      <c r="E245" s="33"/>
      <c r="F245" s="33"/>
      <c r="G245" s="33"/>
      <c r="H245" s="33"/>
      <c r="I245" s="33"/>
    </row>
    <row r="246" spans="1:9" x14ac:dyDescent="0.25">
      <c r="A246" s="29" t="str">
        <f t="shared" si="3"/>
        <v/>
      </c>
      <c r="B246" s="33"/>
      <c r="C246" s="33"/>
      <c r="D246" s="33"/>
      <c r="E246" s="33"/>
      <c r="F246" s="33"/>
      <c r="G246" s="33"/>
      <c r="H246" s="33"/>
      <c r="I246" s="33"/>
    </row>
    <row r="247" spans="1:9" x14ac:dyDescent="0.25">
      <c r="A247" s="29" t="str">
        <f t="shared" si="3"/>
        <v/>
      </c>
      <c r="B247" s="33"/>
      <c r="C247" s="33"/>
      <c r="D247" s="33"/>
      <c r="E247" s="33"/>
      <c r="F247" s="33"/>
      <c r="G247" s="33"/>
      <c r="H247" s="33"/>
      <c r="I247" s="33"/>
    </row>
    <row r="248" spans="1:9" x14ac:dyDescent="0.25">
      <c r="A248" s="29" t="str">
        <f t="shared" si="3"/>
        <v/>
      </c>
      <c r="B248" s="33"/>
      <c r="C248" s="33"/>
      <c r="D248" s="33"/>
      <c r="E248" s="33"/>
      <c r="F248" s="33"/>
      <c r="G248" s="33"/>
      <c r="H248" s="33"/>
      <c r="I248" s="33"/>
    </row>
    <row r="249" spans="1:9" x14ac:dyDescent="0.25">
      <c r="A249" s="29" t="str">
        <f t="shared" si="3"/>
        <v/>
      </c>
      <c r="B249" s="33"/>
      <c r="C249" s="33"/>
      <c r="D249" s="33"/>
      <c r="E249" s="33"/>
      <c r="F249" s="33"/>
      <c r="G249" s="33"/>
      <c r="H249" s="33"/>
      <c r="I249" s="33"/>
    </row>
    <row r="250" spans="1:9" x14ac:dyDescent="0.25">
      <c r="A250" s="29" t="str">
        <f t="shared" si="3"/>
        <v/>
      </c>
      <c r="B250" s="33"/>
      <c r="C250" s="33"/>
      <c r="D250" s="33"/>
      <c r="E250" s="33"/>
      <c r="F250" s="33"/>
      <c r="G250" s="33"/>
      <c r="H250" s="33"/>
      <c r="I250" s="33"/>
    </row>
    <row r="251" spans="1:9" x14ac:dyDescent="0.25">
      <c r="A251" s="29" t="str">
        <f t="shared" si="3"/>
        <v/>
      </c>
      <c r="B251" s="33"/>
      <c r="C251" s="33"/>
      <c r="D251" s="33"/>
      <c r="E251" s="33"/>
      <c r="F251" s="33"/>
      <c r="G251" s="33"/>
      <c r="H251" s="33"/>
      <c r="I251" s="33"/>
    </row>
    <row r="252" spans="1:9" x14ac:dyDescent="0.25">
      <c r="A252" s="29" t="str">
        <f t="shared" si="3"/>
        <v/>
      </c>
      <c r="B252" s="33"/>
      <c r="C252" s="33"/>
      <c r="D252" s="33"/>
      <c r="E252" s="33"/>
      <c r="F252" s="33"/>
      <c r="G252" s="33"/>
      <c r="H252" s="33"/>
      <c r="I252" s="33"/>
    </row>
    <row r="253" spans="1:9" x14ac:dyDescent="0.25">
      <c r="A253" s="29" t="str">
        <f t="shared" si="3"/>
        <v/>
      </c>
      <c r="B253" s="33"/>
      <c r="C253" s="33"/>
      <c r="D253" s="33"/>
      <c r="E253" s="33"/>
      <c r="F253" s="33"/>
      <c r="G253" s="33"/>
      <c r="H253" s="33"/>
      <c r="I253" s="33"/>
    </row>
  </sheetData>
  <sheetProtection sheet="1" formatColumns="0" formatRows="0"/>
  <autoFilter ref="B1:I135" xr:uid="{00000000-0009-0000-0000-0000A1000000}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94"/>
  <dimension ref="A1:L253"/>
  <sheetViews>
    <sheetView workbookViewId="0">
      <pane ySplit="6" topLeftCell="A7" activePane="bottomLeft" state="frozen"/>
      <selection pane="bottomLeft" sqref="A1:A1048576"/>
    </sheetView>
  </sheetViews>
  <sheetFormatPr defaultColWidth="9.140625" defaultRowHeight="15" x14ac:dyDescent="0.25"/>
  <cols>
    <col min="1" max="1" width="22.42578125" style="22" customWidth="1"/>
    <col min="2" max="2" width="19" style="21" customWidth="1"/>
    <col min="3" max="3" width="25" style="21" customWidth="1"/>
    <col min="4" max="10" width="13" style="21" customWidth="1"/>
    <col min="11" max="11" width="9.140625" style="21" customWidth="1"/>
    <col min="12" max="16384" width="9.140625" style="21"/>
  </cols>
  <sheetData>
    <row r="1" spans="1:12" x14ac:dyDescent="0.25">
      <c r="A1" s="87" t="s">
        <v>2642</v>
      </c>
      <c r="B1" s="122" t="s">
        <v>317</v>
      </c>
      <c r="C1" s="123" t="s">
        <v>2643</v>
      </c>
      <c r="D1" s="123" t="s">
        <v>2644</v>
      </c>
      <c r="E1" s="123" t="s">
        <v>2645</v>
      </c>
      <c r="F1" s="123" t="s">
        <v>2646</v>
      </c>
      <c r="G1" s="123" t="s">
        <v>2647</v>
      </c>
      <c r="H1" s="123" t="s">
        <v>2648</v>
      </c>
      <c r="I1" s="123" t="s">
        <v>2649</v>
      </c>
      <c r="J1" s="123" t="s">
        <v>2650</v>
      </c>
      <c r="K1" s="123" t="s">
        <v>2651</v>
      </c>
      <c r="L1" s="123" t="s">
        <v>2652</v>
      </c>
    </row>
    <row r="2" spans="1:12" x14ac:dyDescent="0.25">
      <c r="A2" s="29" t="str">
        <f t="shared" ref="A2:A65" si="0">_xlfn.CONCAT(B2,C2)</f>
        <v>BELLRNGTC418Q03DA</v>
      </c>
      <c r="B2" s="123" t="s">
        <v>400</v>
      </c>
      <c r="C2" s="123" t="s">
        <v>2355</v>
      </c>
      <c r="D2" s="123">
        <v>2.8193999999999999</v>
      </c>
      <c r="E2" s="123">
        <v>-3.39873</v>
      </c>
      <c r="F2" s="123">
        <v>-3.01566</v>
      </c>
      <c r="G2" s="123">
        <v>-1.18418</v>
      </c>
      <c r="H2" s="123">
        <v>4.19984</v>
      </c>
      <c r="I2" s="123"/>
      <c r="J2" s="123"/>
      <c r="K2" s="123"/>
      <c r="L2" s="123"/>
    </row>
    <row r="3" spans="1:12" x14ac:dyDescent="0.25">
      <c r="A3" s="29" t="str">
        <f t="shared" si="0"/>
        <v>BELLRNGTC418Q05DA</v>
      </c>
      <c r="B3" s="123" t="s">
        <v>400</v>
      </c>
      <c r="C3" s="123" t="s">
        <v>2357</v>
      </c>
      <c r="D3" s="123">
        <v>3.6240600000000001</v>
      </c>
      <c r="E3" s="123">
        <v>-3.68662</v>
      </c>
      <c r="F3" s="123">
        <v>-4.2716900000000004</v>
      </c>
      <c r="G3" s="123">
        <v>-0.33677000000000001</v>
      </c>
      <c r="H3" s="123">
        <v>4.6084600000000009</v>
      </c>
      <c r="I3" s="123"/>
      <c r="J3" s="123"/>
      <c r="K3" s="123"/>
      <c r="L3" s="123"/>
    </row>
    <row r="4" spans="1:12" x14ac:dyDescent="0.25">
      <c r="A4" s="29" t="str">
        <f t="shared" si="0"/>
        <v>BELLRNGTC418Q07DA</v>
      </c>
      <c r="B4" s="123" t="s">
        <v>400</v>
      </c>
      <c r="C4" s="123" t="s">
        <v>2359</v>
      </c>
      <c r="D4" s="123">
        <v>1.3689899999999999</v>
      </c>
      <c r="E4" s="123">
        <v>-0.95472000000000001</v>
      </c>
      <c r="F4" s="123">
        <v>-2.6694399999999998</v>
      </c>
      <c r="G4" s="123">
        <v>-0.15468999999999999</v>
      </c>
      <c r="H4" s="123">
        <v>2.8241299999999998</v>
      </c>
      <c r="I4" s="123"/>
      <c r="J4" s="123"/>
      <c r="K4" s="123"/>
      <c r="L4" s="123"/>
    </row>
    <row r="5" spans="1:12" x14ac:dyDescent="0.25">
      <c r="A5" s="29" t="str">
        <f t="shared" si="0"/>
        <v>BELLRNGTC418Q08DA</v>
      </c>
      <c r="B5" s="123" t="s">
        <v>400</v>
      </c>
      <c r="C5" s="123" t="s">
        <v>2361</v>
      </c>
      <c r="D5" s="123">
        <v>1.59636</v>
      </c>
      <c r="E5" s="123">
        <v>-1.64306</v>
      </c>
      <c r="F5" s="123">
        <v>-2.33609</v>
      </c>
      <c r="G5" s="123">
        <v>-0.76805999999999996</v>
      </c>
      <c r="H5" s="123">
        <v>3.1041499999999989</v>
      </c>
      <c r="I5" s="123"/>
      <c r="J5" s="123"/>
      <c r="K5" s="123"/>
      <c r="L5" s="123"/>
    </row>
    <row r="6" spans="1:12" x14ac:dyDescent="0.25">
      <c r="A6" s="29" t="str">
        <f t="shared" si="0"/>
        <v>CONEXSCITC034Q01NA</v>
      </c>
      <c r="B6" s="123" t="s">
        <v>401</v>
      </c>
      <c r="C6" s="123" t="s">
        <v>2325</v>
      </c>
      <c r="D6" s="123">
        <v>0.82310000000000005</v>
      </c>
      <c r="E6" s="123">
        <v>-1.8532999999999999</v>
      </c>
      <c r="F6" s="123">
        <v>-1.38341</v>
      </c>
      <c r="G6" s="123">
        <v>-0.31973000000000001</v>
      </c>
      <c r="H6" s="123">
        <v>1.7031400000000001</v>
      </c>
      <c r="I6" s="123"/>
      <c r="J6" s="123"/>
      <c r="K6" s="123"/>
      <c r="L6" s="123"/>
    </row>
    <row r="7" spans="1:12" x14ac:dyDescent="0.25">
      <c r="A7" s="29" t="str">
        <f t="shared" si="0"/>
        <v>CONEXSCITC034Q06NA</v>
      </c>
      <c r="B7" s="123" t="s">
        <v>401</v>
      </c>
      <c r="C7" s="123" t="s">
        <v>2327</v>
      </c>
      <c r="D7" s="123">
        <v>0.93010000000000004</v>
      </c>
      <c r="E7" s="123">
        <v>-2.0001500000000001</v>
      </c>
      <c r="F7" s="123">
        <v>-1.3023</v>
      </c>
      <c r="G7" s="123">
        <v>-0.39978999999999998</v>
      </c>
      <c r="H7" s="123">
        <v>1.7020900000000001</v>
      </c>
      <c r="I7" s="123"/>
      <c r="J7" s="123"/>
      <c r="K7" s="123"/>
      <c r="L7" s="123"/>
    </row>
    <row r="8" spans="1:12" x14ac:dyDescent="0.25">
      <c r="A8" s="29" t="str">
        <f t="shared" si="0"/>
        <v>CONEXSCITC034Q09DA</v>
      </c>
      <c r="B8" s="123" t="s">
        <v>401</v>
      </c>
      <c r="C8" s="123" t="s">
        <v>2329</v>
      </c>
      <c r="D8" s="123">
        <v>5</v>
      </c>
      <c r="E8" s="123">
        <v>-8.4367699999999992</v>
      </c>
      <c r="F8" s="123">
        <v>-5.38781</v>
      </c>
      <c r="G8" s="123">
        <v>-0.64557999999999982</v>
      </c>
      <c r="H8" s="123">
        <v>6.0333899999999998</v>
      </c>
      <c r="I8" s="123"/>
      <c r="J8" s="123"/>
      <c r="K8" s="123"/>
      <c r="L8" s="123"/>
    </row>
    <row r="9" spans="1:12" x14ac:dyDescent="0.25">
      <c r="A9" s="29" t="str">
        <f t="shared" si="0"/>
        <v>CONEXSCITC034Q10DA</v>
      </c>
      <c r="B9" s="123" t="s">
        <v>401</v>
      </c>
      <c r="C9" s="123" t="s">
        <v>2331</v>
      </c>
      <c r="D9" s="123">
        <v>5</v>
      </c>
      <c r="E9" s="123">
        <v>-8.5805399999999992</v>
      </c>
      <c r="F9" s="123">
        <v>-5.2477200000000002</v>
      </c>
      <c r="G9" s="123">
        <v>-0.72716000000000003</v>
      </c>
      <c r="H9" s="123">
        <v>5.9748800000000024</v>
      </c>
      <c r="I9" s="123"/>
      <c r="J9" s="123"/>
      <c r="K9" s="123"/>
      <c r="L9" s="123"/>
    </row>
    <row r="10" spans="1:12" x14ac:dyDescent="0.25">
      <c r="A10" s="29" t="str">
        <f t="shared" si="0"/>
        <v>DEVNEEDTC185Q01HA</v>
      </c>
      <c r="B10" s="123" t="s">
        <v>358</v>
      </c>
      <c r="C10" s="123" t="s">
        <v>2154</v>
      </c>
      <c r="D10" s="123">
        <v>2.12412</v>
      </c>
      <c r="E10" s="123">
        <v>0.45929000000000009</v>
      </c>
      <c r="F10" s="123">
        <v>-1.6698</v>
      </c>
      <c r="G10" s="123">
        <v>-4.836E-2</v>
      </c>
      <c r="H10" s="123">
        <v>1.7181599999999999</v>
      </c>
      <c r="I10" s="123"/>
      <c r="J10" s="123"/>
      <c r="K10" s="123"/>
      <c r="L10" s="123"/>
    </row>
    <row r="11" spans="1:12" x14ac:dyDescent="0.25">
      <c r="A11" s="29" t="str">
        <f t="shared" si="0"/>
        <v>DEVNEEDTC185Q02HA</v>
      </c>
      <c r="B11" s="123" t="s">
        <v>358</v>
      </c>
      <c r="C11" s="123" t="s">
        <v>2156</v>
      </c>
      <c r="D11" s="123">
        <v>2.65998</v>
      </c>
      <c r="E11" s="123">
        <v>0.12625</v>
      </c>
      <c r="F11" s="123">
        <v>-2.4172699999999998</v>
      </c>
      <c r="G11" s="123">
        <v>-1.951E-2</v>
      </c>
      <c r="H11" s="123">
        <v>2.4367800000000002</v>
      </c>
      <c r="I11" s="123"/>
      <c r="J11" s="123"/>
      <c r="K11" s="123"/>
      <c r="L11" s="123"/>
    </row>
    <row r="12" spans="1:12" x14ac:dyDescent="0.25">
      <c r="A12" s="29" t="str">
        <f t="shared" si="0"/>
        <v>DEVNEEDTC185Q04HA</v>
      </c>
      <c r="B12" s="123" t="s">
        <v>358</v>
      </c>
      <c r="C12" s="123" t="s">
        <v>2158</v>
      </c>
      <c r="D12" s="123">
        <v>2.8147000000000002</v>
      </c>
      <c r="E12" s="123">
        <v>-2.1409999999999998E-2</v>
      </c>
      <c r="F12" s="123">
        <v>-2.5819200000000002</v>
      </c>
      <c r="G12" s="123">
        <v>-0.16988</v>
      </c>
      <c r="H12" s="123">
        <v>2.7517999999999998</v>
      </c>
      <c r="I12" s="123"/>
      <c r="J12" s="123"/>
      <c r="K12" s="123"/>
      <c r="L12" s="123"/>
    </row>
    <row r="13" spans="1:12" x14ac:dyDescent="0.25">
      <c r="A13" s="29" t="str">
        <f t="shared" si="0"/>
        <v>DEVNEEDTC185Q05HA</v>
      </c>
      <c r="B13" s="123" t="s">
        <v>358</v>
      </c>
      <c r="C13" s="123" t="s">
        <v>2160</v>
      </c>
      <c r="D13" s="123">
        <v>1.0626100000000001</v>
      </c>
      <c r="E13" s="123">
        <v>-0.37867000000000012</v>
      </c>
      <c r="F13" s="123">
        <v>-1.07961</v>
      </c>
      <c r="G13" s="123">
        <v>-0.19270000000000001</v>
      </c>
      <c r="H13" s="123">
        <v>1.2723100000000001</v>
      </c>
      <c r="I13" s="123"/>
      <c r="J13" s="123"/>
      <c r="K13" s="123"/>
      <c r="L13" s="123"/>
    </row>
    <row r="14" spans="1:12" x14ac:dyDescent="0.25">
      <c r="A14" s="29" t="str">
        <f t="shared" si="0"/>
        <v>DEVNEEDTC185Q06HA</v>
      </c>
      <c r="B14" s="123" t="s">
        <v>358</v>
      </c>
      <c r="C14" s="123" t="s">
        <v>2162</v>
      </c>
      <c r="D14" s="123">
        <v>2.1804000000000001</v>
      </c>
      <c r="E14" s="123">
        <v>0.16827</v>
      </c>
      <c r="F14" s="123">
        <v>-1.8654900000000001</v>
      </c>
      <c r="G14" s="123">
        <v>-7.018000000000002E-2</v>
      </c>
      <c r="H14" s="123">
        <v>1.93567</v>
      </c>
      <c r="I14" s="123"/>
      <c r="J14" s="123"/>
      <c r="K14" s="123"/>
      <c r="L14" s="123"/>
    </row>
    <row r="15" spans="1:12" x14ac:dyDescent="0.25">
      <c r="A15" s="29" t="str">
        <f t="shared" si="0"/>
        <v>DEVNEEDTC185Q08HA</v>
      </c>
      <c r="B15" s="123" t="s">
        <v>358</v>
      </c>
      <c r="C15" s="123" t="s">
        <v>2164</v>
      </c>
      <c r="D15" s="123">
        <v>1.9013500000000001</v>
      </c>
      <c r="E15" s="123">
        <v>-0.26485999999999998</v>
      </c>
      <c r="F15" s="123">
        <v>-1.93733</v>
      </c>
      <c r="G15" s="123">
        <v>-0.21435000000000001</v>
      </c>
      <c r="H15" s="123">
        <v>2.1516799999999998</v>
      </c>
      <c r="I15" s="123"/>
      <c r="J15" s="123"/>
      <c r="K15" s="123"/>
      <c r="L15" s="123"/>
    </row>
    <row r="16" spans="1:12" x14ac:dyDescent="0.25">
      <c r="A16" s="29" t="str">
        <f t="shared" si="0"/>
        <v>DEVNEEDTC185Q09HA</v>
      </c>
      <c r="B16" s="123" t="s">
        <v>358</v>
      </c>
      <c r="C16" s="123" t="s">
        <v>2166</v>
      </c>
      <c r="D16" s="123">
        <v>0.80498000000000014</v>
      </c>
      <c r="E16" s="123">
        <v>-0.58757000000000015</v>
      </c>
      <c r="F16" s="123">
        <v>-0.57072999999999996</v>
      </c>
      <c r="G16" s="123">
        <v>-0.23819000000000001</v>
      </c>
      <c r="H16" s="123">
        <v>0.80891999999999997</v>
      </c>
      <c r="I16" s="123"/>
      <c r="J16" s="123"/>
      <c r="K16" s="123"/>
      <c r="L16" s="123"/>
    </row>
    <row r="17" spans="1:12" x14ac:dyDescent="0.25">
      <c r="A17" s="29" t="str">
        <f t="shared" si="0"/>
        <v>DEVNEEDTC185Q09HA_down</v>
      </c>
      <c r="B17" s="123" t="s">
        <v>358</v>
      </c>
      <c r="C17" s="123" t="s">
        <v>2874</v>
      </c>
      <c r="D17" s="123">
        <v>0.30273</v>
      </c>
      <c r="E17" s="123">
        <v>0.35515000000000002</v>
      </c>
      <c r="F17" s="123">
        <v>-5.5500000000000011E-3</v>
      </c>
      <c r="G17" s="123">
        <v>-0.29117999999999999</v>
      </c>
      <c r="H17" s="123">
        <v>0.29672999999999988</v>
      </c>
      <c r="I17" s="123"/>
      <c r="J17" s="123"/>
      <c r="K17" s="123" t="s">
        <v>876</v>
      </c>
      <c r="L17" s="123" t="s">
        <v>650</v>
      </c>
    </row>
    <row r="18" spans="1:12" x14ac:dyDescent="0.25">
      <c r="A18" s="29" t="str">
        <f t="shared" si="0"/>
        <v>DEVNEEDTC185Q10HA</v>
      </c>
      <c r="B18" s="123" t="s">
        <v>358</v>
      </c>
      <c r="C18" s="123" t="s">
        <v>2168</v>
      </c>
      <c r="D18" s="123">
        <v>0.71745000000000003</v>
      </c>
      <c r="E18" s="123">
        <v>-0.26449</v>
      </c>
      <c r="F18" s="123">
        <v>-0.46632000000000001</v>
      </c>
      <c r="G18" s="123">
        <v>-0.18976999999999999</v>
      </c>
      <c r="H18" s="123">
        <v>0.65609000000000017</v>
      </c>
      <c r="I18" s="123"/>
      <c r="J18" s="123"/>
      <c r="K18" s="123"/>
      <c r="L18" s="123"/>
    </row>
    <row r="19" spans="1:12" x14ac:dyDescent="0.25">
      <c r="A19" s="29" t="str">
        <f t="shared" si="0"/>
        <v>DEVNEEDTC185Q14HA</v>
      </c>
      <c r="B19" s="123" t="s">
        <v>358</v>
      </c>
      <c r="C19" s="123" t="s">
        <v>2170</v>
      </c>
      <c r="D19" s="123">
        <v>2.38727</v>
      </c>
      <c r="E19" s="123">
        <v>5.5960000000000003E-2</v>
      </c>
      <c r="F19" s="123">
        <v>-2.3896799999999998</v>
      </c>
      <c r="G19" s="123">
        <v>-0.15809000000000001</v>
      </c>
      <c r="H19" s="123">
        <v>2.5477699999999999</v>
      </c>
      <c r="I19" s="123"/>
      <c r="J19" s="123"/>
      <c r="K19" s="123"/>
      <c r="L19" s="123"/>
    </row>
    <row r="20" spans="1:12" x14ac:dyDescent="0.25">
      <c r="A20" s="29" t="str">
        <f t="shared" si="0"/>
        <v>DEVNEEDTC185Q15HA</v>
      </c>
      <c r="B20" s="123" t="s">
        <v>358</v>
      </c>
      <c r="C20" s="123" t="s">
        <v>2172</v>
      </c>
      <c r="D20" s="123">
        <v>1.63601</v>
      </c>
      <c r="E20" s="123">
        <v>0.23366999999999999</v>
      </c>
      <c r="F20" s="123">
        <v>-1.46156</v>
      </c>
      <c r="G20" s="123">
        <v>-6.3100000000000017E-2</v>
      </c>
      <c r="H20" s="123">
        <v>1.5246599999999999</v>
      </c>
      <c r="I20" s="123"/>
      <c r="J20" s="123"/>
      <c r="K20" s="123"/>
      <c r="L20" s="123"/>
    </row>
    <row r="21" spans="1:12" x14ac:dyDescent="0.25">
      <c r="A21" s="29" t="str">
        <f t="shared" si="0"/>
        <v>DEVNEEDTC185Q18HA</v>
      </c>
      <c r="B21" s="123" t="s">
        <v>358</v>
      </c>
      <c r="C21" s="123" t="s">
        <v>2174</v>
      </c>
      <c r="D21" s="123">
        <v>1.45845</v>
      </c>
      <c r="E21" s="123">
        <v>0.15995000000000001</v>
      </c>
      <c r="F21" s="123">
        <v>-1.44818</v>
      </c>
      <c r="G21" s="123">
        <v>-9.4990000000000005E-2</v>
      </c>
      <c r="H21" s="123">
        <v>1.5431699999999999</v>
      </c>
      <c r="I21" s="123"/>
      <c r="J21" s="123"/>
      <c r="K21" s="123"/>
      <c r="L21" s="123"/>
    </row>
    <row r="22" spans="1:12" x14ac:dyDescent="0.25">
      <c r="A22" s="29" t="str">
        <f t="shared" si="0"/>
        <v>DEVNEEDTC185Q21DA</v>
      </c>
      <c r="B22" s="123" t="s">
        <v>358</v>
      </c>
      <c r="C22" s="123" t="s">
        <v>2176</v>
      </c>
      <c r="D22" s="123">
        <v>2.12107</v>
      </c>
      <c r="E22" s="123">
        <v>-0.20404</v>
      </c>
      <c r="F22" s="123">
        <v>-2.24533</v>
      </c>
      <c r="G22" s="123">
        <v>-0.18543000000000001</v>
      </c>
      <c r="H22" s="123">
        <v>2.4307599999999998</v>
      </c>
      <c r="I22" s="123"/>
      <c r="J22" s="123"/>
      <c r="K22" s="123"/>
      <c r="L22" s="123"/>
    </row>
    <row r="23" spans="1:12" x14ac:dyDescent="0.25">
      <c r="A23" s="29" t="str">
        <f t="shared" si="0"/>
        <v>DEVNEEDTC185Q22DA</v>
      </c>
      <c r="B23" s="123" t="s">
        <v>358</v>
      </c>
      <c r="C23" s="123" t="s">
        <v>2178</v>
      </c>
      <c r="D23" s="123">
        <v>2.018930000000001</v>
      </c>
      <c r="E23" s="123">
        <v>7.1650000000000005E-2</v>
      </c>
      <c r="F23" s="123">
        <v>-1.9993099999999999</v>
      </c>
      <c r="G23" s="123">
        <v>-0.10965</v>
      </c>
      <c r="H23" s="123">
        <v>2.1089600000000002</v>
      </c>
      <c r="I23" s="123"/>
      <c r="J23" s="123"/>
      <c r="K23" s="123"/>
      <c r="L23" s="123"/>
    </row>
    <row r="24" spans="1:12" x14ac:dyDescent="0.25">
      <c r="A24" s="29" t="str">
        <f t="shared" si="0"/>
        <v>DEVNEEDTC185Q23DA</v>
      </c>
      <c r="B24" s="123" t="s">
        <v>358</v>
      </c>
      <c r="C24" s="123" t="s">
        <v>2180</v>
      </c>
      <c r="D24" s="123">
        <v>2.129290000000001</v>
      </c>
      <c r="E24" s="123">
        <v>-0.38025999999999999</v>
      </c>
      <c r="F24" s="123">
        <v>-2.066069999999999</v>
      </c>
      <c r="G24" s="123">
        <v>-0.17122000000000001</v>
      </c>
      <c r="H24" s="123">
        <v>2.2372899999999998</v>
      </c>
      <c r="I24" s="123"/>
      <c r="J24" s="123"/>
      <c r="K24" s="123"/>
      <c r="L24" s="123"/>
    </row>
    <row r="25" spans="1:12" x14ac:dyDescent="0.25">
      <c r="A25" s="29" t="str">
        <f t="shared" si="0"/>
        <v>DEVNEEDTC185Q24DA</v>
      </c>
      <c r="B25" s="123" t="s">
        <v>358</v>
      </c>
      <c r="C25" s="123" t="s">
        <v>2182</v>
      </c>
      <c r="D25" s="123">
        <v>0.77153000000000016</v>
      </c>
      <c r="E25" s="123">
        <v>-0.58784999999999987</v>
      </c>
      <c r="F25" s="123">
        <v>-0.73848999999999998</v>
      </c>
      <c r="G25" s="123">
        <v>-0.17366999999999999</v>
      </c>
      <c r="H25" s="123">
        <v>0.91215999999999997</v>
      </c>
      <c r="I25" s="123"/>
      <c r="J25" s="123"/>
      <c r="K25" s="123"/>
      <c r="L25" s="123"/>
    </row>
    <row r="26" spans="1:12" x14ac:dyDescent="0.25">
      <c r="A26" s="29" t="str">
        <f t="shared" si="0"/>
        <v>DRUSESCTTC428Q01DA</v>
      </c>
      <c r="B26" s="123" t="s">
        <v>402</v>
      </c>
      <c r="C26" s="123" t="s">
        <v>2333</v>
      </c>
      <c r="D26" s="123">
        <v>1.9131400000000001</v>
      </c>
      <c r="E26" s="123">
        <v>-0.3056799999999999</v>
      </c>
      <c r="F26" s="123">
        <v>-2.7764199999999999</v>
      </c>
      <c r="G26" s="123">
        <v>-1.02207</v>
      </c>
      <c r="H26" s="123">
        <v>0.84214999999999995</v>
      </c>
      <c r="I26" s="123">
        <v>2.95634</v>
      </c>
      <c r="J26" s="123"/>
      <c r="K26" s="123"/>
      <c r="L26" s="123"/>
    </row>
    <row r="27" spans="1:12" x14ac:dyDescent="0.25">
      <c r="A27" s="29" t="str">
        <f t="shared" si="0"/>
        <v>DRUSESCTTC428Q04DA</v>
      </c>
      <c r="B27" s="123" t="s">
        <v>402</v>
      </c>
      <c r="C27" s="123" t="s">
        <v>2335</v>
      </c>
      <c r="D27" s="123">
        <v>2.4975900000000002</v>
      </c>
      <c r="E27" s="123">
        <v>-0.24224000000000001</v>
      </c>
      <c r="F27" s="123">
        <v>-3.4983300000000002</v>
      </c>
      <c r="G27" s="123">
        <v>-1.2790299999999999</v>
      </c>
      <c r="H27" s="123">
        <v>1.0678399999999999</v>
      </c>
      <c r="I27" s="123">
        <v>3.7095199999999999</v>
      </c>
      <c r="J27" s="123"/>
      <c r="K27" s="123"/>
      <c r="L27" s="123"/>
    </row>
    <row r="28" spans="1:12" x14ac:dyDescent="0.25">
      <c r="A28" s="29" t="str">
        <f t="shared" si="0"/>
        <v>DRUSESCTTC428Q05DA</v>
      </c>
      <c r="B28" s="123" t="s">
        <v>402</v>
      </c>
      <c r="C28" s="123" t="s">
        <v>2337</v>
      </c>
      <c r="D28" s="123">
        <v>1.27633</v>
      </c>
      <c r="E28" s="123">
        <v>0.69267000000000001</v>
      </c>
      <c r="F28" s="123">
        <v>-1.15717</v>
      </c>
      <c r="G28" s="123">
        <v>-0.85872000000000004</v>
      </c>
      <c r="H28" s="123">
        <v>0.39534999999999992</v>
      </c>
      <c r="I28" s="123">
        <v>1.6205400000000001</v>
      </c>
      <c r="J28" s="123"/>
      <c r="K28" s="123"/>
      <c r="L28" s="123"/>
    </row>
    <row r="29" spans="1:12" x14ac:dyDescent="0.25">
      <c r="A29" s="29" t="str">
        <f t="shared" si="0"/>
        <v>DRUSESCTTC428Q07DA</v>
      </c>
      <c r="B29" s="123" t="s">
        <v>402</v>
      </c>
      <c r="C29" s="123" t="s">
        <v>2339</v>
      </c>
      <c r="D29" s="123">
        <v>1.0968100000000001</v>
      </c>
      <c r="E29" s="123">
        <v>1.2131099999999999</v>
      </c>
      <c r="F29" s="123">
        <v>-0.43090000000000001</v>
      </c>
      <c r="G29" s="123">
        <v>-0.72397</v>
      </c>
      <c r="H29" s="123">
        <v>1.899E-2</v>
      </c>
      <c r="I29" s="123">
        <v>1.13588</v>
      </c>
      <c r="J29" s="123"/>
      <c r="K29" s="123"/>
      <c r="L29" s="123"/>
    </row>
    <row r="30" spans="1:12" x14ac:dyDescent="0.25">
      <c r="A30" s="29" t="str">
        <f t="shared" si="0"/>
        <v>ENCOURSTUDTC417Q01DA</v>
      </c>
      <c r="B30" s="123" t="s">
        <v>403</v>
      </c>
      <c r="C30" s="123" t="s">
        <v>2309</v>
      </c>
      <c r="D30" s="123">
        <v>0.8035699999999999</v>
      </c>
      <c r="E30" s="123">
        <v>-2.0103300000000011</v>
      </c>
      <c r="F30" s="123">
        <v>-0.54781000000000002</v>
      </c>
      <c r="G30" s="123">
        <v>-0.59792000000000012</v>
      </c>
      <c r="H30" s="123">
        <v>1.1457299999999999</v>
      </c>
      <c r="I30" s="123"/>
      <c r="J30" s="123"/>
      <c r="K30" s="123"/>
      <c r="L30" s="123"/>
    </row>
    <row r="31" spans="1:12" x14ac:dyDescent="0.25">
      <c r="A31" s="29" t="str">
        <f t="shared" si="0"/>
        <v>ENCOURSTUDTC417Q03DA</v>
      </c>
      <c r="B31" s="123" t="s">
        <v>403</v>
      </c>
      <c r="C31" s="123" t="s">
        <v>2311</v>
      </c>
      <c r="D31" s="123">
        <v>1.80253</v>
      </c>
      <c r="E31" s="123">
        <v>-4.4687600000000014</v>
      </c>
      <c r="F31" s="123">
        <v>-0.88034000000000001</v>
      </c>
      <c r="G31" s="123">
        <v>-1.08379</v>
      </c>
      <c r="H31" s="123">
        <v>1.9641299999999999</v>
      </c>
      <c r="I31" s="123"/>
      <c r="J31" s="123"/>
      <c r="K31" s="123"/>
      <c r="L31" s="123"/>
    </row>
    <row r="32" spans="1:12" x14ac:dyDescent="0.25">
      <c r="A32" s="29" t="str">
        <f t="shared" si="0"/>
        <v>ENCOURSTUDTC417Q04DA</v>
      </c>
      <c r="B32" s="123" t="s">
        <v>403</v>
      </c>
      <c r="C32" s="123" t="s">
        <v>2313</v>
      </c>
      <c r="D32" s="123">
        <v>1.0730200000000001</v>
      </c>
      <c r="E32" s="123">
        <v>-1.4848699999999999</v>
      </c>
      <c r="F32" s="123">
        <v>-1.4815700000000001</v>
      </c>
      <c r="G32" s="123">
        <v>-0.21798000000000001</v>
      </c>
      <c r="H32" s="123">
        <v>1.6995499999999999</v>
      </c>
      <c r="I32" s="123"/>
      <c r="J32" s="123"/>
      <c r="K32" s="123"/>
      <c r="L32" s="123"/>
    </row>
    <row r="33" spans="1:12" x14ac:dyDescent="0.25">
      <c r="A33" s="29" t="str">
        <f t="shared" si="0"/>
        <v>ENCOURSTUDTC417Q04DA_down</v>
      </c>
      <c r="B33" s="123" t="s">
        <v>403</v>
      </c>
      <c r="C33" s="123" t="s">
        <v>2875</v>
      </c>
      <c r="D33" s="123">
        <v>0.47438000000000002</v>
      </c>
      <c r="E33" s="123">
        <v>0.44786999999999999</v>
      </c>
      <c r="F33" s="123">
        <v>-1.4951300000000001</v>
      </c>
      <c r="G33" s="123">
        <v>-0.17294000000000001</v>
      </c>
      <c r="H33" s="123">
        <v>1.6680699999999999</v>
      </c>
      <c r="I33" s="123"/>
      <c r="J33" s="123"/>
      <c r="K33" s="123" t="s">
        <v>737</v>
      </c>
      <c r="L33" s="123" t="s">
        <v>661</v>
      </c>
    </row>
    <row r="34" spans="1:12" x14ac:dyDescent="0.25">
      <c r="A34" s="29" t="str">
        <f t="shared" si="0"/>
        <v>ENCOURSTUDTC417Q06DA</v>
      </c>
      <c r="B34" s="123" t="s">
        <v>403</v>
      </c>
      <c r="C34" s="123" t="s">
        <v>2315</v>
      </c>
      <c r="D34" s="123">
        <v>0.26089000000000012</v>
      </c>
      <c r="E34" s="123">
        <v>-4.367E-2</v>
      </c>
      <c r="F34" s="123">
        <v>-0.62992000000000015</v>
      </c>
      <c r="G34" s="123">
        <v>-0.33006999999999997</v>
      </c>
      <c r="H34" s="123">
        <v>0.95999000000000001</v>
      </c>
      <c r="I34" s="123"/>
      <c r="J34" s="123"/>
      <c r="K34" s="123"/>
      <c r="L34" s="123"/>
    </row>
    <row r="35" spans="1:12" x14ac:dyDescent="0.25">
      <c r="A35" s="29" t="str">
        <f t="shared" si="0"/>
        <v>ENCOURSTUDTC417Q07DA</v>
      </c>
      <c r="B35" s="123" t="s">
        <v>403</v>
      </c>
      <c r="C35" s="123" t="s">
        <v>2317</v>
      </c>
      <c r="D35" s="123">
        <v>1.90229</v>
      </c>
      <c r="E35" s="123">
        <v>-3.7143099999999998</v>
      </c>
      <c r="F35" s="123">
        <v>-1.88188</v>
      </c>
      <c r="G35" s="123">
        <v>-0.62147000000000019</v>
      </c>
      <c r="H35" s="123">
        <v>2.5033500000000002</v>
      </c>
      <c r="I35" s="123"/>
      <c r="J35" s="123"/>
      <c r="K35" s="123"/>
      <c r="L35" s="123"/>
    </row>
    <row r="36" spans="1:12" x14ac:dyDescent="0.25">
      <c r="A36" s="29" t="str">
        <f t="shared" si="0"/>
        <v>ENCOURSTUDTC417Q09DA</v>
      </c>
      <c r="B36" s="123" t="s">
        <v>403</v>
      </c>
      <c r="C36" s="123" t="s">
        <v>2319</v>
      </c>
      <c r="D36" s="123">
        <v>2.6878899999999999</v>
      </c>
      <c r="E36" s="123">
        <v>-4.2490899999999998</v>
      </c>
      <c r="F36" s="123">
        <v>-2.8303699999999998</v>
      </c>
      <c r="G36" s="123">
        <v>-0.74924000000000002</v>
      </c>
      <c r="H36" s="123">
        <v>3.5796100000000002</v>
      </c>
      <c r="I36" s="123"/>
      <c r="J36" s="123"/>
      <c r="K36" s="123"/>
      <c r="L36" s="123"/>
    </row>
    <row r="37" spans="1:12" x14ac:dyDescent="0.25">
      <c r="A37" s="29" t="str">
        <f t="shared" si="0"/>
        <v>ENCOURSTUDTC417Q10DA</v>
      </c>
      <c r="B37" s="123" t="s">
        <v>403</v>
      </c>
      <c r="C37" s="123" t="s">
        <v>2321</v>
      </c>
      <c r="D37" s="123">
        <v>2.5962000000000001</v>
      </c>
      <c r="E37" s="123">
        <v>-4.2722399999999991</v>
      </c>
      <c r="F37" s="123">
        <v>-2.8490700000000002</v>
      </c>
      <c r="G37" s="123">
        <v>-0.70050999999999997</v>
      </c>
      <c r="H37" s="123">
        <v>3.5495800000000002</v>
      </c>
      <c r="I37" s="123"/>
      <c r="J37" s="123"/>
      <c r="K37" s="123"/>
      <c r="L37" s="123"/>
    </row>
    <row r="38" spans="1:12" x14ac:dyDescent="0.25">
      <c r="A38" s="29" t="str">
        <f t="shared" si="0"/>
        <v>ENCOURSTUDTC417Q11DA</v>
      </c>
      <c r="B38" s="123" t="s">
        <v>403</v>
      </c>
      <c r="C38" s="123" t="s">
        <v>2323</v>
      </c>
      <c r="D38" s="123">
        <v>3.3290299999999999</v>
      </c>
      <c r="E38" s="123">
        <v>-6.0762</v>
      </c>
      <c r="F38" s="123">
        <v>-3.712060000000001</v>
      </c>
      <c r="G38" s="123">
        <v>-0.72126000000000001</v>
      </c>
      <c r="H38" s="123">
        <v>4.433320000000001</v>
      </c>
      <c r="I38" s="123"/>
      <c r="J38" s="123"/>
      <c r="K38" s="123"/>
      <c r="L38" s="123"/>
    </row>
    <row r="39" spans="1:12" x14ac:dyDescent="0.25">
      <c r="A39" s="29" t="str">
        <f t="shared" si="0"/>
        <v>ENJBSCIETC419Q01DA</v>
      </c>
      <c r="B39" s="123" t="s">
        <v>404</v>
      </c>
      <c r="C39" s="123" t="s">
        <v>2260</v>
      </c>
      <c r="D39" s="123">
        <v>5</v>
      </c>
      <c r="E39" s="123">
        <v>-9.9443199999999994</v>
      </c>
      <c r="F39" s="123">
        <v>-3.344339999999999</v>
      </c>
      <c r="G39" s="123">
        <v>-2.57178</v>
      </c>
      <c r="H39" s="123">
        <v>5.9161200000000003</v>
      </c>
      <c r="I39" s="123"/>
      <c r="J39" s="123"/>
      <c r="K39" s="123"/>
      <c r="L39" s="123"/>
    </row>
    <row r="40" spans="1:12" x14ac:dyDescent="0.25">
      <c r="A40" s="29" t="str">
        <f t="shared" si="0"/>
        <v>ENJBSCIETC419Q02DA</v>
      </c>
      <c r="B40" s="123" t="s">
        <v>404</v>
      </c>
      <c r="C40" s="123" t="s">
        <v>2262</v>
      </c>
      <c r="D40" s="123">
        <v>3.9986000000000002</v>
      </c>
      <c r="E40" s="123">
        <v>-7.7410699999999997</v>
      </c>
      <c r="F40" s="123">
        <v>-2.9171800000000001</v>
      </c>
      <c r="G40" s="123">
        <v>-1.63798</v>
      </c>
      <c r="H40" s="123">
        <v>4.5551599999999999</v>
      </c>
      <c r="I40" s="123"/>
      <c r="J40" s="123"/>
      <c r="K40" s="123"/>
      <c r="L40" s="123"/>
    </row>
    <row r="41" spans="1:12" x14ac:dyDescent="0.25">
      <c r="A41" s="29" t="str">
        <f t="shared" si="0"/>
        <v>ENJBSCIETC419Q03DA</v>
      </c>
      <c r="B41" s="123" t="s">
        <v>404</v>
      </c>
      <c r="C41" s="123" t="s">
        <v>2264</v>
      </c>
      <c r="D41" s="123">
        <v>4.2807700000000004</v>
      </c>
      <c r="E41" s="123">
        <v>-8.0181699999999996</v>
      </c>
      <c r="F41" s="123">
        <v>-3.69957</v>
      </c>
      <c r="G41" s="123">
        <v>-1.74708</v>
      </c>
      <c r="H41" s="123">
        <v>5.44665</v>
      </c>
      <c r="I41" s="123"/>
      <c r="J41" s="123"/>
      <c r="K41" s="123"/>
      <c r="L41" s="123"/>
    </row>
    <row r="42" spans="1:12" x14ac:dyDescent="0.25">
      <c r="A42" s="29" t="str">
        <f t="shared" si="0"/>
        <v>ENJBSCIETC419Q05DA</v>
      </c>
      <c r="B42" s="123" t="s">
        <v>404</v>
      </c>
      <c r="C42" s="123" t="s">
        <v>2266</v>
      </c>
      <c r="D42" s="123">
        <v>5</v>
      </c>
      <c r="E42" s="123">
        <v>-10.11504</v>
      </c>
      <c r="F42" s="123">
        <v>-3.3243399999999999</v>
      </c>
      <c r="G42" s="123">
        <v>-2.4929899999999998</v>
      </c>
      <c r="H42" s="123">
        <v>5.8173300000000001</v>
      </c>
      <c r="I42" s="123"/>
      <c r="J42" s="123"/>
      <c r="K42" s="123"/>
      <c r="L42" s="123"/>
    </row>
    <row r="43" spans="1:12" x14ac:dyDescent="0.25">
      <c r="A43" s="29" t="str">
        <f t="shared" si="0"/>
        <v>EXCHTTC046Q04NA</v>
      </c>
      <c r="B43" s="123" t="s">
        <v>359</v>
      </c>
      <c r="C43" s="123" t="s">
        <v>2144</v>
      </c>
      <c r="D43" s="123">
        <v>1.33979</v>
      </c>
      <c r="E43" s="123">
        <v>-5.0540000000000009E-2</v>
      </c>
      <c r="F43" s="123">
        <v>-1.00349</v>
      </c>
      <c r="G43" s="123">
        <v>-0.64424000000000003</v>
      </c>
      <c r="H43" s="123">
        <v>0.57018000000000013</v>
      </c>
      <c r="I43" s="123">
        <v>8.8919999999999985E-2</v>
      </c>
      <c r="J43" s="123">
        <v>0.98863000000000001</v>
      </c>
      <c r="K43" s="123"/>
      <c r="L43" s="123"/>
    </row>
    <row r="44" spans="1:12" x14ac:dyDescent="0.25">
      <c r="A44" s="29" t="str">
        <f t="shared" si="0"/>
        <v>EXCHTTC046Q05NA</v>
      </c>
      <c r="B44" s="123" t="s">
        <v>359</v>
      </c>
      <c r="C44" s="123" t="s">
        <v>2146</v>
      </c>
      <c r="D44" s="123">
        <v>2.2839200000000002</v>
      </c>
      <c r="E44" s="123">
        <v>-0.56689999999999996</v>
      </c>
      <c r="F44" s="123">
        <v>-1.57535</v>
      </c>
      <c r="G44" s="123">
        <v>-0.89236999999999989</v>
      </c>
      <c r="H44" s="123">
        <v>0.55595000000000006</v>
      </c>
      <c r="I44" s="123">
        <v>0.44793000000000011</v>
      </c>
      <c r="J44" s="123">
        <v>1.46384</v>
      </c>
      <c r="K44" s="123"/>
      <c r="L44" s="123"/>
    </row>
    <row r="45" spans="1:12" x14ac:dyDescent="0.25">
      <c r="A45" s="29" t="str">
        <f t="shared" si="0"/>
        <v>EXCHTTC046Q06NA</v>
      </c>
      <c r="B45" s="123" t="s">
        <v>359</v>
      </c>
      <c r="C45" s="123" t="s">
        <v>2148</v>
      </c>
      <c r="D45" s="123">
        <v>2.5780699999999999</v>
      </c>
      <c r="E45" s="123">
        <v>3.1789999999999992E-2</v>
      </c>
      <c r="F45" s="123">
        <v>-1.5855900000000001</v>
      </c>
      <c r="G45" s="123">
        <v>-1.09721</v>
      </c>
      <c r="H45" s="123">
        <v>0.43409999999999999</v>
      </c>
      <c r="I45" s="123">
        <v>0.38606000000000001</v>
      </c>
      <c r="J45" s="123">
        <v>1.8626400000000001</v>
      </c>
      <c r="K45" s="123"/>
      <c r="L45" s="123"/>
    </row>
    <row r="46" spans="1:12" x14ac:dyDescent="0.25">
      <c r="A46" s="29" t="str">
        <f t="shared" si="0"/>
        <v>EXCHTTC046Q07NA</v>
      </c>
      <c r="B46" s="123" t="s">
        <v>359</v>
      </c>
      <c r="C46" s="123" t="s">
        <v>2150</v>
      </c>
      <c r="D46" s="123">
        <v>1.36344</v>
      </c>
      <c r="E46" s="123">
        <v>-0.17651</v>
      </c>
      <c r="F46" s="123">
        <v>-0.68254000000000004</v>
      </c>
      <c r="G46" s="123">
        <v>-0.80254999999999999</v>
      </c>
      <c r="H46" s="123">
        <v>0.25205</v>
      </c>
      <c r="I46" s="123">
        <v>0.35797000000000001</v>
      </c>
      <c r="J46" s="123">
        <v>0.87506999999999979</v>
      </c>
      <c r="K46" s="123"/>
      <c r="L46" s="123"/>
    </row>
    <row r="47" spans="1:12" x14ac:dyDescent="0.25">
      <c r="A47" s="29" t="str">
        <f t="shared" si="0"/>
        <v>EXCHTTC046Q08DA</v>
      </c>
      <c r="B47" s="123" t="s">
        <v>359</v>
      </c>
      <c r="C47" s="123" t="s">
        <v>2152</v>
      </c>
      <c r="D47" s="123">
        <v>2.469780000000001</v>
      </c>
      <c r="E47" s="123">
        <v>0.20680000000000001</v>
      </c>
      <c r="F47" s="123">
        <v>-1.93008</v>
      </c>
      <c r="G47" s="123">
        <v>-1.01617</v>
      </c>
      <c r="H47" s="123">
        <v>0.44268000000000002</v>
      </c>
      <c r="I47" s="123">
        <v>0.63837999999999984</v>
      </c>
      <c r="J47" s="123">
        <v>1.8651899999999999</v>
      </c>
      <c r="K47" s="123"/>
      <c r="L47" s="123"/>
    </row>
    <row r="48" spans="1:12" x14ac:dyDescent="0.25">
      <c r="A48" s="29" t="str">
        <f t="shared" si="0"/>
        <v>PARCOOPLRNTC409Q01DA</v>
      </c>
      <c r="B48" s="123" t="s">
        <v>405</v>
      </c>
      <c r="C48" s="123" t="s">
        <v>2236</v>
      </c>
      <c r="D48" s="123">
        <v>2.42855</v>
      </c>
      <c r="E48" s="123">
        <v>1.19678</v>
      </c>
      <c r="F48" s="123">
        <v>-2.699850000000001</v>
      </c>
      <c r="G48" s="123">
        <v>-0.57194999999999996</v>
      </c>
      <c r="H48" s="123">
        <v>3.2717999999999989</v>
      </c>
      <c r="I48" s="123"/>
      <c r="J48" s="123"/>
      <c r="K48" s="123"/>
      <c r="L48" s="123"/>
    </row>
    <row r="49" spans="1:12" x14ac:dyDescent="0.25">
      <c r="A49" s="29" t="str">
        <f t="shared" si="0"/>
        <v>PARCOOPLRNTC409Q02DA</v>
      </c>
      <c r="B49" s="123" t="s">
        <v>405</v>
      </c>
      <c r="C49" s="123" t="s">
        <v>2238</v>
      </c>
      <c r="D49" s="123">
        <v>3.7946300000000002</v>
      </c>
      <c r="E49" s="123">
        <v>1.61195</v>
      </c>
      <c r="F49" s="123">
        <v>-4.2305200000000012</v>
      </c>
      <c r="G49" s="123">
        <v>-0.59157999999999999</v>
      </c>
      <c r="H49" s="123">
        <v>4.8220999999999998</v>
      </c>
      <c r="I49" s="123"/>
      <c r="J49" s="123"/>
      <c r="K49" s="123"/>
      <c r="L49" s="123"/>
    </row>
    <row r="50" spans="1:12" x14ac:dyDescent="0.25">
      <c r="A50" s="29" t="str">
        <f t="shared" si="0"/>
        <v>PARCOOPLRNTC409Q03DA</v>
      </c>
      <c r="B50" s="123" t="s">
        <v>405</v>
      </c>
      <c r="C50" s="123" t="s">
        <v>2240</v>
      </c>
      <c r="D50" s="123">
        <v>1.4406300000000001</v>
      </c>
      <c r="E50" s="123">
        <v>0.30752000000000013</v>
      </c>
      <c r="F50" s="123">
        <v>-1.69998</v>
      </c>
      <c r="G50" s="123">
        <v>-0.52264999999999995</v>
      </c>
      <c r="H50" s="123">
        <v>2.222630000000001</v>
      </c>
      <c r="I50" s="123"/>
      <c r="J50" s="123"/>
      <c r="K50" s="123"/>
      <c r="L50" s="123"/>
    </row>
    <row r="51" spans="1:12" x14ac:dyDescent="0.25">
      <c r="A51" s="29" t="str">
        <f t="shared" si="0"/>
        <v>PARCOOPLRNTC409Q04DA</v>
      </c>
      <c r="B51" s="123" t="s">
        <v>405</v>
      </c>
      <c r="C51" s="123" t="s">
        <v>2242</v>
      </c>
      <c r="D51" s="123">
        <v>0.50990999999999997</v>
      </c>
      <c r="E51" s="123">
        <v>-0.97741999999999996</v>
      </c>
      <c r="F51" s="123">
        <v>-0.37718000000000013</v>
      </c>
      <c r="G51" s="123">
        <v>-0.32296000000000008</v>
      </c>
      <c r="H51" s="123">
        <v>0.70014000000000021</v>
      </c>
      <c r="I51" s="123"/>
      <c r="J51" s="123"/>
      <c r="K51" s="123"/>
      <c r="L51" s="123"/>
    </row>
    <row r="52" spans="1:12" x14ac:dyDescent="0.25">
      <c r="A52" s="29" t="str">
        <f t="shared" si="0"/>
        <v>PARCOOPLRNTC409Q04DA_down</v>
      </c>
      <c r="B52" s="123" t="s">
        <v>405</v>
      </c>
      <c r="C52" s="123" t="s">
        <v>2876</v>
      </c>
      <c r="D52" s="123">
        <v>2.9643999999999999</v>
      </c>
      <c r="E52" s="123">
        <v>0.17229</v>
      </c>
      <c r="F52" s="123">
        <v>-3.979239999999999</v>
      </c>
      <c r="G52" s="123">
        <v>0.10774</v>
      </c>
      <c r="H52" s="123">
        <v>3.8715000000000002</v>
      </c>
      <c r="I52" s="123"/>
      <c r="J52" s="123"/>
      <c r="K52" s="123" t="s">
        <v>876</v>
      </c>
      <c r="L52" s="123" t="s">
        <v>650</v>
      </c>
    </row>
    <row r="53" spans="1:12" x14ac:dyDescent="0.25">
      <c r="A53" s="29" t="str">
        <f t="shared" si="0"/>
        <v>PARCOOPLRNTC409Q05DA</v>
      </c>
      <c r="B53" s="123" t="s">
        <v>405</v>
      </c>
      <c r="C53" s="123" t="s">
        <v>2244</v>
      </c>
      <c r="D53" s="123">
        <v>0.50336000000000003</v>
      </c>
      <c r="E53" s="123">
        <v>-1.01406</v>
      </c>
      <c r="F53" s="123">
        <v>-0.74841000000000002</v>
      </c>
      <c r="G53" s="123">
        <v>-0.43897999999999998</v>
      </c>
      <c r="H53" s="123">
        <v>1.1873899999999999</v>
      </c>
      <c r="I53" s="123"/>
      <c r="J53" s="123"/>
      <c r="K53" s="123"/>
      <c r="L53" s="123"/>
    </row>
    <row r="54" spans="1:12" x14ac:dyDescent="0.25">
      <c r="A54" s="29" t="str">
        <f t="shared" si="0"/>
        <v>PARSCLRNTC410Q02DA</v>
      </c>
      <c r="B54" s="123" t="s">
        <v>406</v>
      </c>
      <c r="C54" s="123" t="s">
        <v>2381</v>
      </c>
      <c r="D54" s="123">
        <v>1.02644</v>
      </c>
      <c r="E54" s="123">
        <v>1.0454300000000001</v>
      </c>
      <c r="F54" s="123">
        <v>-0.82213000000000003</v>
      </c>
      <c r="G54" s="123">
        <v>-0.37136000000000002</v>
      </c>
      <c r="H54" s="123">
        <v>1.1934899999999999</v>
      </c>
      <c r="I54" s="123"/>
      <c r="J54" s="123"/>
      <c r="K54" s="123"/>
      <c r="L54" s="123"/>
    </row>
    <row r="55" spans="1:12" x14ac:dyDescent="0.25">
      <c r="A55" s="29" t="str">
        <f t="shared" si="0"/>
        <v>PARSCLRNTC410Q03DA</v>
      </c>
      <c r="B55" s="123" t="s">
        <v>406</v>
      </c>
      <c r="C55" s="123" t="s">
        <v>2383</v>
      </c>
      <c r="D55" s="123">
        <v>2.6010800000000001</v>
      </c>
      <c r="E55" s="123">
        <v>-0.26062000000000002</v>
      </c>
      <c r="F55" s="123">
        <v>-3.48298</v>
      </c>
      <c r="G55" s="123">
        <v>-0.34212999999999999</v>
      </c>
      <c r="H55" s="123">
        <v>3.82511</v>
      </c>
      <c r="I55" s="123"/>
      <c r="J55" s="123"/>
      <c r="K55" s="123"/>
      <c r="L55" s="123"/>
    </row>
    <row r="56" spans="1:12" x14ac:dyDescent="0.25">
      <c r="A56" s="29" t="str">
        <f t="shared" si="0"/>
        <v>PARSCLRNTC410Q05DA</v>
      </c>
      <c r="B56" s="123" t="s">
        <v>406</v>
      </c>
      <c r="C56" s="123" t="s">
        <v>2385</v>
      </c>
      <c r="D56" s="123">
        <v>3.7254499999999999</v>
      </c>
      <c r="E56" s="123">
        <v>1.0045900000000001</v>
      </c>
      <c r="F56" s="123">
        <v>-4.1876900000000008</v>
      </c>
      <c r="G56" s="123">
        <v>-0.56008000000000002</v>
      </c>
      <c r="H56" s="123">
        <v>4.74777</v>
      </c>
      <c r="I56" s="123"/>
      <c r="J56" s="123"/>
      <c r="K56" s="123"/>
      <c r="L56" s="123"/>
    </row>
    <row r="57" spans="1:12" x14ac:dyDescent="0.25">
      <c r="A57" s="29" t="str">
        <f t="shared" si="0"/>
        <v>PARSCLRNTC410Q06DA</v>
      </c>
      <c r="B57" s="123" t="s">
        <v>406</v>
      </c>
      <c r="C57" s="123" t="s">
        <v>2387</v>
      </c>
      <c r="D57" s="123">
        <v>3.44435</v>
      </c>
      <c r="E57" s="123">
        <v>0.82781000000000005</v>
      </c>
      <c r="F57" s="123">
        <v>-4.1527399999999988</v>
      </c>
      <c r="G57" s="123">
        <v>-0.38117000000000012</v>
      </c>
      <c r="H57" s="123">
        <v>4.5339099999999997</v>
      </c>
      <c r="I57" s="123"/>
      <c r="J57" s="123"/>
      <c r="K57" s="123"/>
      <c r="L57" s="123"/>
    </row>
    <row r="58" spans="1:12" x14ac:dyDescent="0.25">
      <c r="A58" s="29" t="str">
        <f t="shared" si="0"/>
        <v>PARSCLRNTC410Q07DA</v>
      </c>
      <c r="B58" s="123" t="s">
        <v>406</v>
      </c>
      <c r="C58" s="123" t="s">
        <v>2389</v>
      </c>
      <c r="D58" s="123">
        <v>1.968</v>
      </c>
      <c r="E58" s="123">
        <v>1.43163</v>
      </c>
      <c r="F58" s="123">
        <v>-2.0916999999999999</v>
      </c>
      <c r="G58" s="123">
        <v>-0.34376000000000001</v>
      </c>
      <c r="H58" s="123">
        <v>2.43546</v>
      </c>
      <c r="I58" s="123"/>
      <c r="J58" s="123"/>
      <c r="K58" s="123"/>
      <c r="L58" s="123"/>
    </row>
    <row r="59" spans="1:12" x14ac:dyDescent="0.25">
      <c r="A59" s="29" t="str">
        <f t="shared" si="0"/>
        <v>PARSCLRNTC410Q08DA</v>
      </c>
      <c r="B59" s="123" t="s">
        <v>406</v>
      </c>
      <c r="C59" s="123" t="s">
        <v>2391</v>
      </c>
      <c r="D59" s="123">
        <v>1.01827</v>
      </c>
      <c r="E59" s="123">
        <v>-0.27866000000000002</v>
      </c>
      <c r="F59" s="123">
        <v>-1.419</v>
      </c>
      <c r="G59" s="123">
        <v>-0.30853000000000003</v>
      </c>
      <c r="H59" s="123">
        <v>1.72753</v>
      </c>
      <c r="I59" s="123"/>
      <c r="J59" s="123"/>
      <c r="K59" s="123"/>
      <c r="L59" s="123"/>
    </row>
    <row r="60" spans="1:12" x14ac:dyDescent="0.25">
      <c r="A60" s="29" t="str">
        <f t="shared" si="0"/>
        <v>PERSDIGRESTC426Q01DA</v>
      </c>
      <c r="B60" s="123" t="s">
        <v>407</v>
      </c>
      <c r="C60" s="123" t="s">
        <v>2267</v>
      </c>
      <c r="D60" s="123">
        <v>2.7006100000000011</v>
      </c>
      <c r="E60" s="123">
        <v>-2.23814</v>
      </c>
      <c r="F60" s="123">
        <v>-3.1477599999999999</v>
      </c>
      <c r="G60" s="123">
        <v>-1.1481399999999999</v>
      </c>
      <c r="H60" s="123">
        <v>4.2958999999999996</v>
      </c>
      <c r="I60" s="123"/>
      <c r="J60" s="123"/>
      <c r="K60" s="123"/>
      <c r="L60" s="123"/>
    </row>
    <row r="61" spans="1:12" x14ac:dyDescent="0.25">
      <c r="A61" s="29" t="str">
        <f t="shared" si="0"/>
        <v>PERSDIGRESTC426Q02DA</v>
      </c>
      <c r="B61" s="123" t="s">
        <v>407</v>
      </c>
      <c r="C61" s="123" t="s">
        <v>2269</v>
      </c>
      <c r="D61" s="123">
        <v>1.7682199999999999</v>
      </c>
      <c r="E61" s="123">
        <v>-2.6350899999999999</v>
      </c>
      <c r="F61" s="123">
        <v>-1.13805</v>
      </c>
      <c r="G61" s="123">
        <v>-1.9948699999999999</v>
      </c>
      <c r="H61" s="123">
        <v>3.1329199999999999</v>
      </c>
      <c r="I61" s="123"/>
      <c r="J61" s="123"/>
      <c r="K61" s="123"/>
      <c r="L61" s="123"/>
    </row>
    <row r="62" spans="1:12" x14ac:dyDescent="0.25">
      <c r="A62" s="29" t="str">
        <f t="shared" si="0"/>
        <v>PERSDIGRESTC426Q03DA</v>
      </c>
      <c r="B62" s="123" t="s">
        <v>407</v>
      </c>
      <c r="C62" s="123" t="s">
        <v>2271</v>
      </c>
      <c r="D62" s="123">
        <v>3.41648</v>
      </c>
      <c r="E62" s="123">
        <v>-1.7273700000000001</v>
      </c>
      <c r="F62" s="123">
        <v>-4.1403999999999996</v>
      </c>
      <c r="G62" s="123">
        <v>-0.66832000000000003</v>
      </c>
      <c r="H62" s="123">
        <v>4.8087200000000001</v>
      </c>
      <c r="I62" s="123"/>
      <c r="J62" s="123"/>
      <c r="K62" s="123"/>
      <c r="L62" s="123"/>
    </row>
    <row r="63" spans="1:12" x14ac:dyDescent="0.25">
      <c r="A63" s="29" t="str">
        <f t="shared" si="0"/>
        <v>PERSDIGRESTC426Q04DA</v>
      </c>
      <c r="B63" s="123" t="s">
        <v>407</v>
      </c>
      <c r="C63" s="123" t="s">
        <v>2273</v>
      </c>
      <c r="D63" s="123">
        <v>2.6519900000000001</v>
      </c>
      <c r="E63" s="123">
        <v>-1.00064</v>
      </c>
      <c r="F63" s="123">
        <v>-3.23529</v>
      </c>
      <c r="G63" s="123">
        <v>-0.58935000000000004</v>
      </c>
      <c r="H63" s="123">
        <v>3.82464</v>
      </c>
      <c r="I63" s="123"/>
      <c r="J63" s="123"/>
      <c r="K63" s="123"/>
      <c r="L63" s="123"/>
    </row>
    <row r="64" spans="1:12" x14ac:dyDescent="0.25">
      <c r="A64" s="29" t="str">
        <f t="shared" si="0"/>
        <v>PERSDIGRESTC426Q05DA</v>
      </c>
      <c r="B64" s="123" t="s">
        <v>407</v>
      </c>
      <c r="C64" s="123" t="s">
        <v>2275</v>
      </c>
      <c r="D64" s="123">
        <v>2.5810399999999998</v>
      </c>
      <c r="E64" s="123">
        <v>-1.7147399999999999</v>
      </c>
      <c r="F64" s="123">
        <v>-3.2518899999999999</v>
      </c>
      <c r="G64" s="123">
        <v>-0.90778000000000003</v>
      </c>
      <c r="H64" s="123">
        <v>4.1596700000000002</v>
      </c>
      <c r="I64" s="123"/>
      <c r="J64" s="123"/>
      <c r="K64" s="123"/>
      <c r="L64" s="123"/>
    </row>
    <row r="65" spans="1:12" x14ac:dyDescent="0.25">
      <c r="A65" s="29" t="str">
        <f t="shared" si="0"/>
        <v>PERSDIGRESTC426Q06DA</v>
      </c>
      <c r="B65" s="123" t="s">
        <v>407</v>
      </c>
      <c r="C65" s="123" t="s">
        <v>2277</v>
      </c>
      <c r="D65" s="123">
        <v>2.2958799999999999</v>
      </c>
      <c r="E65" s="123">
        <v>-1.08229</v>
      </c>
      <c r="F65" s="123">
        <v>-2.9846299999999988</v>
      </c>
      <c r="G65" s="123">
        <v>-0.63840999999999981</v>
      </c>
      <c r="H65" s="123">
        <v>3.62304</v>
      </c>
      <c r="I65" s="33"/>
      <c r="J65" s="33"/>
      <c r="K65" s="33"/>
      <c r="L65" s="33"/>
    </row>
    <row r="66" spans="1:12" x14ac:dyDescent="0.25">
      <c r="A66" s="29" t="str">
        <f t="shared" ref="A66:A129" si="1">_xlfn.CONCAT(B66,C66)</f>
        <v>PERSDIGRESTC426Q09DA</v>
      </c>
      <c r="B66" s="123" t="s">
        <v>407</v>
      </c>
      <c r="C66" s="123" t="s">
        <v>2279</v>
      </c>
      <c r="D66" s="123">
        <v>1.7078599999999999</v>
      </c>
      <c r="E66" s="123">
        <v>-1.9442200000000001</v>
      </c>
      <c r="F66" s="123">
        <v>-1.4347399999999999</v>
      </c>
      <c r="G66" s="123">
        <v>-1.2999400000000001</v>
      </c>
      <c r="H66" s="123">
        <v>2.73468</v>
      </c>
      <c r="I66" s="33"/>
      <c r="J66" s="33"/>
      <c r="K66" s="33"/>
      <c r="L66" s="33"/>
    </row>
    <row r="67" spans="1:12" x14ac:dyDescent="0.25">
      <c r="A67" s="29" t="str">
        <f t="shared" si="1"/>
        <v>POSLEADTC407Q01DA</v>
      </c>
      <c r="B67" s="123" t="s">
        <v>408</v>
      </c>
      <c r="C67" s="123" t="s">
        <v>2246</v>
      </c>
      <c r="D67" s="123">
        <v>2.264110000000001</v>
      </c>
      <c r="E67" s="123">
        <v>-0.68772</v>
      </c>
      <c r="F67" s="123">
        <v>-2.6911200000000002</v>
      </c>
      <c r="G67" s="123">
        <v>-0.83306999999999998</v>
      </c>
      <c r="H67" s="123">
        <v>3.524189999999999</v>
      </c>
      <c r="I67" s="33"/>
      <c r="J67" s="33"/>
      <c r="K67" s="33"/>
      <c r="L67" s="33"/>
    </row>
    <row r="68" spans="1:12" x14ac:dyDescent="0.25">
      <c r="A68" s="29" t="str">
        <f t="shared" si="1"/>
        <v>POSLEADTC407Q02DA</v>
      </c>
      <c r="B68" s="123" t="s">
        <v>408</v>
      </c>
      <c r="C68" s="123" t="s">
        <v>2248</v>
      </c>
      <c r="D68" s="123">
        <v>2.7393999999999998</v>
      </c>
      <c r="E68" s="123">
        <v>-1.23725</v>
      </c>
      <c r="F68" s="123">
        <v>-3.1872699999999998</v>
      </c>
      <c r="G68" s="123">
        <v>-0.74621999999999999</v>
      </c>
      <c r="H68" s="123">
        <v>3.933489999999999</v>
      </c>
      <c r="I68" s="33"/>
      <c r="J68" s="33"/>
      <c r="K68" s="33"/>
      <c r="L68" s="33"/>
    </row>
    <row r="69" spans="1:12" x14ac:dyDescent="0.25">
      <c r="A69" s="29" t="str">
        <f t="shared" si="1"/>
        <v>POSLEADTC407Q03DA</v>
      </c>
      <c r="B69" s="123" t="s">
        <v>408</v>
      </c>
      <c r="C69" s="123" t="s">
        <v>2250</v>
      </c>
      <c r="D69" s="123">
        <v>3.1375000000000002</v>
      </c>
      <c r="E69" s="123">
        <v>-1.7603800000000001</v>
      </c>
      <c r="F69" s="123">
        <v>-3.2023500000000009</v>
      </c>
      <c r="G69" s="123">
        <v>-1.1539900000000001</v>
      </c>
      <c r="H69" s="123">
        <v>4.3563400000000003</v>
      </c>
      <c r="I69" s="33"/>
      <c r="J69" s="33"/>
      <c r="K69" s="33"/>
      <c r="L69" s="33"/>
    </row>
    <row r="70" spans="1:12" x14ac:dyDescent="0.25">
      <c r="A70" s="29" t="str">
        <f t="shared" si="1"/>
        <v>POSLEADTC407Q04DA</v>
      </c>
      <c r="B70" s="123" t="s">
        <v>408</v>
      </c>
      <c r="C70" s="123" t="s">
        <v>2252</v>
      </c>
      <c r="D70" s="123">
        <v>2.7433000000000001</v>
      </c>
      <c r="E70" s="123">
        <v>-1.43709</v>
      </c>
      <c r="F70" s="123">
        <v>-3.2138100000000009</v>
      </c>
      <c r="G70" s="123">
        <v>-1.1392899999999999</v>
      </c>
      <c r="H70" s="123">
        <v>4.3531000000000004</v>
      </c>
      <c r="I70" s="33"/>
      <c r="J70" s="33"/>
      <c r="K70" s="33"/>
      <c r="L70" s="33"/>
    </row>
    <row r="71" spans="1:12" x14ac:dyDescent="0.25">
      <c r="A71" s="29" t="str">
        <f t="shared" si="1"/>
        <v>POSLEADTC407Q05DA</v>
      </c>
      <c r="B71" s="123" t="s">
        <v>408</v>
      </c>
      <c r="C71" s="123" t="s">
        <v>2254</v>
      </c>
      <c r="D71" s="123">
        <v>3.455039999999999</v>
      </c>
      <c r="E71" s="123">
        <v>-1.20418</v>
      </c>
      <c r="F71" s="123">
        <v>-4.05633</v>
      </c>
      <c r="G71" s="123">
        <v>-0.95033999999999996</v>
      </c>
      <c r="H71" s="123">
        <v>5.0066699999999997</v>
      </c>
      <c r="I71" s="33"/>
      <c r="J71" s="33"/>
      <c r="K71" s="33"/>
      <c r="L71" s="33"/>
    </row>
    <row r="72" spans="1:12" x14ac:dyDescent="0.25">
      <c r="A72" s="29" t="str">
        <f t="shared" si="1"/>
        <v>POSLEADTC407Q06DA</v>
      </c>
      <c r="B72" s="123" t="s">
        <v>408</v>
      </c>
      <c r="C72" s="123" t="s">
        <v>2256</v>
      </c>
      <c r="D72" s="123">
        <v>3.6443899999999991</v>
      </c>
      <c r="E72" s="123">
        <v>-2.1710099999999999</v>
      </c>
      <c r="F72" s="123">
        <v>-3.5419</v>
      </c>
      <c r="G72" s="123">
        <v>-1.2871999999999999</v>
      </c>
      <c r="H72" s="123">
        <v>4.8291000000000004</v>
      </c>
      <c r="I72" s="33"/>
      <c r="J72" s="33"/>
      <c r="K72" s="33"/>
      <c r="L72" s="33"/>
    </row>
    <row r="73" spans="1:12" x14ac:dyDescent="0.25">
      <c r="A73" s="29" t="str">
        <f t="shared" si="1"/>
        <v>POSLEADTC407Q07DA</v>
      </c>
      <c r="B73" s="123" t="s">
        <v>408</v>
      </c>
      <c r="C73" s="123" t="s">
        <v>2258</v>
      </c>
      <c r="D73" s="123">
        <v>2.7931699999999999</v>
      </c>
      <c r="E73" s="123">
        <v>-1.3528199999999999</v>
      </c>
      <c r="F73" s="123">
        <v>-2.87018</v>
      </c>
      <c r="G73" s="123">
        <v>-0.89839000000000002</v>
      </c>
      <c r="H73" s="123">
        <v>3.76857</v>
      </c>
      <c r="I73" s="33"/>
      <c r="J73" s="33"/>
      <c r="K73" s="33"/>
      <c r="L73" s="33"/>
    </row>
    <row r="74" spans="1:12" x14ac:dyDescent="0.25">
      <c r="A74" s="29" t="str">
        <f t="shared" si="1"/>
        <v>SCIETCOLLTC411Q04DA</v>
      </c>
      <c r="B74" s="123" t="s">
        <v>409</v>
      </c>
      <c r="C74" s="123" t="s">
        <v>2363</v>
      </c>
      <c r="D74" s="123">
        <v>1.50457</v>
      </c>
      <c r="E74" s="123">
        <v>-1.8000400000000001</v>
      </c>
      <c r="F74" s="123">
        <v>-1.3103100000000001</v>
      </c>
      <c r="G74" s="123">
        <v>-0.49768000000000001</v>
      </c>
      <c r="H74" s="123">
        <v>1.80799</v>
      </c>
      <c r="I74" s="33"/>
      <c r="J74" s="33"/>
      <c r="K74" s="33"/>
      <c r="L74" s="33"/>
    </row>
    <row r="75" spans="1:12" x14ac:dyDescent="0.25">
      <c r="A75" s="29" t="str">
        <f t="shared" si="1"/>
        <v>SCIETCOLLTC411Q13DA</v>
      </c>
      <c r="B75" s="123" t="s">
        <v>409</v>
      </c>
      <c r="C75" s="123" t="s">
        <v>2365</v>
      </c>
      <c r="D75" s="123">
        <v>1.82643</v>
      </c>
      <c r="E75" s="123">
        <v>-1.67391</v>
      </c>
      <c r="F75" s="123">
        <v>-1.75993</v>
      </c>
      <c r="G75" s="123">
        <v>-0.46016000000000001</v>
      </c>
      <c r="H75" s="123">
        <v>2.220089999999999</v>
      </c>
      <c r="I75" s="33"/>
      <c r="J75" s="33"/>
      <c r="K75" s="33"/>
      <c r="L75" s="33"/>
    </row>
    <row r="76" spans="1:12" x14ac:dyDescent="0.25">
      <c r="A76" s="29" t="str">
        <f t="shared" si="1"/>
        <v>SCIETCOLLTC411Q14DA</v>
      </c>
      <c r="B76" s="123" t="s">
        <v>409</v>
      </c>
      <c r="C76" s="123" t="s">
        <v>2367</v>
      </c>
      <c r="D76" s="123">
        <v>1.7235499999999999</v>
      </c>
      <c r="E76" s="123">
        <v>-0.99734</v>
      </c>
      <c r="F76" s="123">
        <v>-1.53626</v>
      </c>
      <c r="G76" s="123">
        <v>-0.36653000000000008</v>
      </c>
      <c r="H76" s="123">
        <v>1.90279</v>
      </c>
      <c r="I76" s="33"/>
      <c r="J76" s="33"/>
      <c r="K76" s="33"/>
      <c r="L76" s="33"/>
    </row>
    <row r="77" spans="1:12" x14ac:dyDescent="0.25">
      <c r="A77" s="29" t="str">
        <f t="shared" si="1"/>
        <v>SCIETCOLLTC411Q15DA</v>
      </c>
      <c r="B77" s="123" t="s">
        <v>409</v>
      </c>
      <c r="C77" s="123" t="s">
        <v>2369</v>
      </c>
      <c r="D77" s="123">
        <v>3.0872700000000011</v>
      </c>
      <c r="E77" s="123">
        <v>-2.6686899999999998</v>
      </c>
      <c r="F77" s="123">
        <v>-3.153420000000001</v>
      </c>
      <c r="G77" s="123">
        <v>-0.46800000000000008</v>
      </c>
      <c r="H77" s="123">
        <v>3.6214200000000001</v>
      </c>
      <c r="I77" s="33"/>
      <c r="J77" s="33"/>
      <c r="K77" s="33"/>
      <c r="L77" s="33"/>
    </row>
    <row r="78" spans="1:12" x14ac:dyDescent="0.25">
      <c r="A78" s="29" t="str">
        <f t="shared" si="1"/>
        <v>SCIETCOLLTC411Q20DA</v>
      </c>
      <c r="B78" s="123" t="s">
        <v>409</v>
      </c>
      <c r="C78" s="123" t="s">
        <v>2371</v>
      </c>
      <c r="D78" s="123">
        <v>2.8440699999999999</v>
      </c>
      <c r="E78" s="123">
        <v>-2.1801400000000002</v>
      </c>
      <c r="F78" s="123">
        <v>-2.9652500000000011</v>
      </c>
      <c r="G78" s="123">
        <v>-0.32984000000000008</v>
      </c>
      <c r="H78" s="123">
        <v>3.2950900000000001</v>
      </c>
      <c r="I78" s="33"/>
      <c r="J78" s="33"/>
      <c r="K78" s="33"/>
      <c r="L78" s="33"/>
    </row>
    <row r="79" spans="1:12" x14ac:dyDescent="0.25">
      <c r="A79" s="29" t="str">
        <f t="shared" si="1"/>
        <v>SCIETCOLLTC411Q21DA</v>
      </c>
      <c r="B79" s="123" t="s">
        <v>409</v>
      </c>
      <c r="C79" s="123" t="s">
        <v>2373</v>
      </c>
      <c r="D79" s="123">
        <v>1.5881400000000001</v>
      </c>
      <c r="E79" s="123">
        <v>-0.49253999999999998</v>
      </c>
      <c r="F79" s="123">
        <v>-1.5328999999999999</v>
      </c>
      <c r="G79" s="123">
        <v>-0.41613</v>
      </c>
      <c r="H79" s="123">
        <v>1.94903</v>
      </c>
      <c r="I79" s="33"/>
      <c r="J79" s="33"/>
      <c r="K79" s="33"/>
      <c r="L79" s="33"/>
    </row>
    <row r="80" spans="1:12" x14ac:dyDescent="0.25">
      <c r="A80" s="29" t="str">
        <f t="shared" si="1"/>
        <v>SCIETCOLLTC411Q22DA</v>
      </c>
      <c r="B80" s="123" t="s">
        <v>409</v>
      </c>
      <c r="C80" s="123" t="s">
        <v>2375</v>
      </c>
      <c r="D80" s="123">
        <v>1.8886099999999999</v>
      </c>
      <c r="E80" s="123">
        <v>-0.95601000000000003</v>
      </c>
      <c r="F80" s="123">
        <v>-2.00217</v>
      </c>
      <c r="G80" s="123">
        <v>-0.37798999999999999</v>
      </c>
      <c r="H80" s="123">
        <v>2.3801600000000001</v>
      </c>
      <c r="I80" s="33"/>
      <c r="J80" s="33"/>
      <c r="K80" s="33"/>
      <c r="L80" s="33"/>
    </row>
    <row r="81" spans="1:12" x14ac:dyDescent="0.25">
      <c r="A81" s="29" t="str">
        <f t="shared" si="1"/>
        <v>SCIETCOLLTC411Q24DA</v>
      </c>
      <c r="B81" s="123" t="s">
        <v>409</v>
      </c>
      <c r="C81" s="123" t="s">
        <v>2377</v>
      </c>
      <c r="D81" s="123">
        <v>1.9639200000000001</v>
      </c>
      <c r="E81" s="123">
        <v>-0.42018</v>
      </c>
      <c r="F81" s="123">
        <v>-1.8676900000000001</v>
      </c>
      <c r="G81" s="123">
        <v>-0.30225999999999997</v>
      </c>
      <c r="H81" s="123">
        <v>2.16995</v>
      </c>
      <c r="I81" s="33"/>
      <c r="J81" s="33"/>
      <c r="K81" s="33"/>
      <c r="L81" s="33"/>
    </row>
    <row r="82" spans="1:12" x14ac:dyDescent="0.25">
      <c r="A82" s="29" t="str">
        <f t="shared" si="1"/>
        <v>SCIETCOLLTC411Q25DA</v>
      </c>
      <c r="B82" s="123" t="s">
        <v>409</v>
      </c>
      <c r="C82" s="123" t="s">
        <v>2379</v>
      </c>
      <c r="D82" s="123">
        <v>2.8892199999999999</v>
      </c>
      <c r="E82" s="123">
        <v>-1.61253</v>
      </c>
      <c r="F82" s="123">
        <v>-2.7611699999999999</v>
      </c>
      <c r="G82" s="123">
        <v>-0.48215000000000002</v>
      </c>
      <c r="H82" s="123">
        <v>3.2433200000000002</v>
      </c>
      <c r="I82" s="33"/>
      <c r="J82" s="33"/>
      <c r="K82" s="33"/>
      <c r="L82" s="33"/>
    </row>
    <row r="83" spans="1:12" x14ac:dyDescent="0.25">
      <c r="A83" s="29" t="str">
        <f t="shared" si="1"/>
        <v>SEFFCMTC199Q04HA</v>
      </c>
      <c r="B83" s="123" t="s">
        <v>360</v>
      </c>
      <c r="C83" s="123" t="s">
        <v>2184</v>
      </c>
      <c r="D83" s="123">
        <v>1.6152500000000001</v>
      </c>
      <c r="E83" s="123">
        <v>3.449E-2</v>
      </c>
      <c r="F83" s="123">
        <v>-4.3849299999999998</v>
      </c>
      <c r="G83" s="123">
        <v>0.28449000000000002</v>
      </c>
      <c r="H83" s="123">
        <v>4.100439999999999</v>
      </c>
      <c r="I83" s="33"/>
      <c r="J83" s="33"/>
      <c r="K83" s="33"/>
      <c r="L83" s="33"/>
    </row>
    <row r="84" spans="1:12" x14ac:dyDescent="0.25">
      <c r="A84" s="29" t="str">
        <f t="shared" si="1"/>
        <v>SEFFCMTC199Q07HA</v>
      </c>
      <c r="B84" s="123" t="s">
        <v>360</v>
      </c>
      <c r="C84" s="123" t="s">
        <v>2210</v>
      </c>
      <c r="D84" s="123">
        <v>1.4247700000000001</v>
      </c>
      <c r="E84" s="123">
        <v>-6.1859999999999998E-2</v>
      </c>
      <c r="F84" s="123">
        <v>-4.7718999999999996</v>
      </c>
      <c r="G84" s="123">
        <v>9.289E-2</v>
      </c>
      <c r="H84" s="123">
        <v>4.679009999999999</v>
      </c>
      <c r="I84" s="33"/>
      <c r="J84" s="33"/>
      <c r="K84" s="33"/>
      <c r="L84" s="33"/>
    </row>
    <row r="85" spans="1:12" x14ac:dyDescent="0.25">
      <c r="A85" s="29" t="str">
        <f t="shared" si="1"/>
        <v>SEFFCMTC199Q08HA</v>
      </c>
      <c r="B85" s="123" t="s">
        <v>360</v>
      </c>
      <c r="C85" s="123" t="s">
        <v>2188</v>
      </c>
      <c r="D85" s="123">
        <v>1.7645999999999999</v>
      </c>
      <c r="E85" s="123">
        <v>-0.34461000000000008</v>
      </c>
      <c r="F85" s="123">
        <v>-4.6510100000000012</v>
      </c>
      <c r="G85" s="123">
        <v>0.30536999999999992</v>
      </c>
      <c r="H85" s="123">
        <v>4.3456400000000004</v>
      </c>
      <c r="I85" s="33"/>
      <c r="J85" s="33"/>
      <c r="K85" s="33"/>
      <c r="L85" s="33"/>
    </row>
    <row r="86" spans="1:12" x14ac:dyDescent="0.25">
      <c r="A86" s="29" t="str">
        <f t="shared" si="1"/>
        <v>SEFFCMTC199Q09HA</v>
      </c>
      <c r="B86" s="123" t="s">
        <v>360</v>
      </c>
      <c r="C86" s="123" t="s">
        <v>2190</v>
      </c>
      <c r="D86" s="123">
        <v>1.72014</v>
      </c>
      <c r="E86" s="123">
        <v>0.31012000000000001</v>
      </c>
      <c r="F86" s="123">
        <v>-4.2849199999999996</v>
      </c>
      <c r="G86" s="123">
        <v>0.13600999999999999</v>
      </c>
      <c r="H86" s="123">
        <v>4.1489099999999999</v>
      </c>
      <c r="I86" s="33"/>
      <c r="J86" s="33"/>
      <c r="K86" s="33"/>
      <c r="L86" s="33"/>
    </row>
    <row r="87" spans="1:12" x14ac:dyDescent="0.25">
      <c r="A87" s="29" t="str">
        <f t="shared" si="1"/>
        <v>SEFFINSTC199Q03HA</v>
      </c>
      <c r="B87" s="123" t="s">
        <v>361</v>
      </c>
      <c r="C87" s="123" t="s">
        <v>2192</v>
      </c>
      <c r="D87" s="123">
        <v>1.34955</v>
      </c>
      <c r="E87" s="123">
        <v>-0.39718999999999999</v>
      </c>
      <c r="F87" s="123">
        <v>-3.5050400000000002</v>
      </c>
      <c r="G87" s="123">
        <v>0.17660999999999999</v>
      </c>
      <c r="H87" s="123">
        <v>3.32843</v>
      </c>
      <c r="I87" s="33"/>
      <c r="J87" s="33"/>
      <c r="K87" s="33"/>
      <c r="L87" s="33"/>
    </row>
    <row r="88" spans="1:12" x14ac:dyDescent="0.25">
      <c r="A88" s="29" t="str">
        <f t="shared" si="1"/>
        <v>SEFFINSTC199Q10HA</v>
      </c>
      <c r="B88" s="123" t="s">
        <v>361</v>
      </c>
      <c r="C88" s="123" t="s">
        <v>2194</v>
      </c>
      <c r="D88" s="123">
        <v>1.6522399999999999</v>
      </c>
      <c r="E88" s="123">
        <v>0.22678999999999999</v>
      </c>
      <c r="F88" s="123">
        <v>-3.778109999999999</v>
      </c>
      <c r="G88" s="123">
        <v>0.26029999999999998</v>
      </c>
      <c r="H88" s="123">
        <v>3.5178099999999999</v>
      </c>
      <c r="I88" s="33"/>
      <c r="J88" s="33"/>
      <c r="K88" s="33"/>
      <c r="L88" s="33"/>
    </row>
    <row r="89" spans="1:12" x14ac:dyDescent="0.25">
      <c r="A89" s="29" t="str">
        <f t="shared" si="1"/>
        <v>SEFFINSTC199Q11HA</v>
      </c>
      <c r="B89" s="123" t="s">
        <v>361</v>
      </c>
      <c r="C89" s="123" t="s">
        <v>2196</v>
      </c>
      <c r="D89" s="123">
        <v>1.6385799999999999</v>
      </c>
      <c r="E89" s="123">
        <v>-0.78331999999999979</v>
      </c>
      <c r="F89" s="123">
        <v>-3.2498399999999998</v>
      </c>
      <c r="G89" s="123">
        <v>-0.18717</v>
      </c>
      <c r="H89" s="123">
        <v>3.4370100000000008</v>
      </c>
      <c r="I89" s="33"/>
      <c r="J89" s="33"/>
      <c r="K89" s="33"/>
      <c r="L89" s="33"/>
    </row>
    <row r="90" spans="1:12" x14ac:dyDescent="0.25">
      <c r="A90" s="29" t="str">
        <f t="shared" si="1"/>
        <v>SEFFINSTC199Q12HA</v>
      </c>
      <c r="B90" s="123" t="s">
        <v>361</v>
      </c>
      <c r="C90" s="123" t="s">
        <v>2198</v>
      </c>
      <c r="D90" s="123">
        <v>2.159619999999999</v>
      </c>
      <c r="E90" s="123">
        <v>0.95372000000000001</v>
      </c>
      <c r="F90" s="123">
        <v>-3.8751099999999998</v>
      </c>
      <c r="G90" s="123">
        <v>0.14663999999999999</v>
      </c>
      <c r="H90" s="123">
        <v>3.7284700000000002</v>
      </c>
      <c r="I90" s="33"/>
      <c r="J90" s="33"/>
      <c r="K90" s="33"/>
      <c r="L90" s="33"/>
    </row>
    <row r="91" spans="1:12" x14ac:dyDescent="0.25">
      <c r="A91" s="29" t="str">
        <f t="shared" si="1"/>
        <v>SEFFINSTC199Q13DA</v>
      </c>
      <c r="B91" s="123" t="s">
        <v>361</v>
      </c>
      <c r="C91" s="123" t="s">
        <v>2200</v>
      </c>
      <c r="D91" s="123">
        <v>1.5071000000000001</v>
      </c>
      <c r="E91" s="123">
        <v>0.18965000000000001</v>
      </c>
      <c r="F91" s="123">
        <v>-3.6272700000000002</v>
      </c>
      <c r="G91" s="123">
        <v>0.30170999999999998</v>
      </c>
      <c r="H91" s="123">
        <v>3.3255600000000012</v>
      </c>
      <c r="I91" s="33"/>
      <c r="J91" s="33"/>
      <c r="K91" s="33"/>
      <c r="L91" s="33"/>
    </row>
    <row r="92" spans="1:12" x14ac:dyDescent="0.25">
      <c r="A92" s="29" t="str">
        <f t="shared" si="1"/>
        <v>SEFFINSTC199Q14DA</v>
      </c>
      <c r="B92" s="123" t="s">
        <v>361</v>
      </c>
      <c r="C92" s="123" t="s">
        <v>2202</v>
      </c>
      <c r="D92" s="123">
        <v>1.0612999999999999</v>
      </c>
      <c r="E92" s="123">
        <v>0.76690999999999998</v>
      </c>
      <c r="F92" s="123">
        <v>-2.424939999999999</v>
      </c>
      <c r="G92" s="123">
        <v>0.13803000000000001</v>
      </c>
      <c r="H92" s="123">
        <v>2.2869100000000002</v>
      </c>
      <c r="I92" s="33"/>
      <c r="J92" s="33"/>
      <c r="K92" s="33"/>
      <c r="L92" s="33"/>
    </row>
    <row r="93" spans="1:12" x14ac:dyDescent="0.25">
      <c r="A93" s="29" t="str">
        <f t="shared" si="1"/>
        <v>SEFFRELTC199Q01HA</v>
      </c>
      <c r="B93" s="123" t="s">
        <v>362</v>
      </c>
      <c r="C93" s="123" t="s">
        <v>2204</v>
      </c>
      <c r="D93" s="123">
        <v>1.66205</v>
      </c>
      <c r="E93" s="123">
        <v>-0.35238999999999998</v>
      </c>
      <c r="F93" s="123">
        <v>-5.2816799999999997</v>
      </c>
      <c r="G93" s="123">
        <v>0.47793000000000002</v>
      </c>
      <c r="H93" s="123">
        <v>4.80375</v>
      </c>
      <c r="I93" s="33"/>
      <c r="J93" s="33"/>
      <c r="K93" s="33"/>
      <c r="L93" s="33"/>
    </row>
    <row r="94" spans="1:12" x14ac:dyDescent="0.25">
      <c r="A94" s="29" t="str">
        <f t="shared" si="1"/>
        <v>SEFFRELTC199Q02HA</v>
      </c>
      <c r="B94" s="123" t="s">
        <v>362</v>
      </c>
      <c r="C94" s="123" t="s">
        <v>2206</v>
      </c>
      <c r="D94" s="123">
        <v>2.453450000000001</v>
      </c>
      <c r="E94" s="123">
        <v>0.15659000000000001</v>
      </c>
      <c r="F94" s="123">
        <v>-6.7270799999999999</v>
      </c>
      <c r="G94" s="123">
        <v>0.57396000000000003</v>
      </c>
      <c r="H94" s="123">
        <v>6.1531200000000004</v>
      </c>
      <c r="I94" s="33"/>
      <c r="J94" s="33"/>
      <c r="K94" s="33"/>
      <c r="L94" s="33"/>
    </row>
    <row r="95" spans="1:12" x14ac:dyDescent="0.25">
      <c r="A95" s="29" t="str">
        <f t="shared" si="1"/>
        <v>SEFFRELTC199Q05HA</v>
      </c>
      <c r="B95" s="123" t="s">
        <v>362</v>
      </c>
      <c r="C95" s="123" t="s">
        <v>2208</v>
      </c>
      <c r="D95" s="123">
        <v>0.98450000000000004</v>
      </c>
      <c r="E95" s="123">
        <v>0.19579999999999989</v>
      </c>
      <c r="F95" s="123">
        <v>-3.5318999999999998</v>
      </c>
      <c r="G95" s="123">
        <v>0.66642000000000001</v>
      </c>
      <c r="H95" s="123">
        <v>2.8654799999999998</v>
      </c>
      <c r="I95" s="33"/>
      <c r="J95" s="33"/>
      <c r="K95" s="33"/>
      <c r="L95" s="33"/>
    </row>
    <row r="96" spans="1:12" x14ac:dyDescent="0.25">
      <c r="A96" s="29" t="str">
        <f t="shared" si="1"/>
        <v>SEFFRELTC199Q06HA</v>
      </c>
      <c r="B96" s="123" t="s">
        <v>362</v>
      </c>
      <c r="C96" s="123" t="s">
        <v>2186</v>
      </c>
      <c r="D96" s="123">
        <v>0.62766999999999995</v>
      </c>
      <c r="E96" s="123">
        <v>-0.93845999999999985</v>
      </c>
      <c r="F96" s="123">
        <v>-2.35154</v>
      </c>
      <c r="G96" s="123">
        <v>-1.3990000000000001E-2</v>
      </c>
      <c r="H96" s="123">
        <v>2.3655300000000001</v>
      </c>
      <c r="I96" s="33"/>
      <c r="J96" s="33"/>
      <c r="K96" s="33"/>
      <c r="L96" s="33"/>
    </row>
    <row r="97" spans="1:12" x14ac:dyDescent="0.25">
      <c r="A97" s="29" t="str">
        <f t="shared" si="1"/>
        <v>SETEACHTC033Q04NA</v>
      </c>
      <c r="B97" s="123" t="s">
        <v>363</v>
      </c>
      <c r="C97" s="123" t="s">
        <v>2228</v>
      </c>
      <c r="D97" s="123">
        <v>1.32778</v>
      </c>
      <c r="E97" s="123">
        <v>0.16808000000000001</v>
      </c>
      <c r="F97" s="123">
        <v>-2.4312</v>
      </c>
      <c r="G97" s="123">
        <v>-0.2223</v>
      </c>
      <c r="H97" s="123">
        <v>2.6535000000000002</v>
      </c>
      <c r="I97" s="123"/>
      <c r="J97" s="123"/>
      <c r="K97" s="123"/>
      <c r="L97" s="123"/>
    </row>
    <row r="98" spans="1:12" x14ac:dyDescent="0.25">
      <c r="A98" s="29" t="str">
        <f t="shared" si="1"/>
        <v>SETEACHTC033Q05NA</v>
      </c>
      <c r="B98" s="123" t="s">
        <v>363</v>
      </c>
      <c r="C98" s="123" t="s">
        <v>2230</v>
      </c>
      <c r="D98" s="123">
        <v>1.6911799999999999</v>
      </c>
      <c r="E98" s="123">
        <v>0.38001000000000001</v>
      </c>
      <c r="F98" s="123">
        <v>-2.8875000000000002</v>
      </c>
      <c r="G98" s="123">
        <v>-0.35211999999999988</v>
      </c>
      <c r="H98" s="123">
        <v>3.2396200000000008</v>
      </c>
      <c r="I98" s="123"/>
      <c r="J98" s="123"/>
      <c r="K98" s="123"/>
      <c r="L98" s="123"/>
    </row>
    <row r="99" spans="1:12" x14ac:dyDescent="0.25">
      <c r="A99" s="29" t="str">
        <f t="shared" si="1"/>
        <v>SETEACHTC033Q06NA</v>
      </c>
      <c r="B99" s="123" t="s">
        <v>363</v>
      </c>
      <c r="C99" s="123" t="s">
        <v>2232</v>
      </c>
      <c r="D99" s="123">
        <v>1.9636899999999999</v>
      </c>
      <c r="E99" s="123">
        <v>-0.20848</v>
      </c>
      <c r="F99" s="123">
        <v>-3.1850000000000001</v>
      </c>
      <c r="G99" s="123">
        <v>-0.41548000000000002</v>
      </c>
      <c r="H99" s="123">
        <v>3.6004800000000001</v>
      </c>
      <c r="I99" s="123"/>
      <c r="J99" s="123"/>
      <c r="K99" s="123"/>
      <c r="L99" s="123"/>
    </row>
    <row r="100" spans="1:12" x14ac:dyDescent="0.25">
      <c r="A100" s="29" t="str">
        <f t="shared" si="1"/>
        <v>SETEACHTC033Q08NA</v>
      </c>
      <c r="B100" s="123" t="s">
        <v>363</v>
      </c>
      <c r="C100" s="123" t="s">
        <v>2234</v>
      </c>
      <c r="D100" s="123">
        <v>1.81735</v>
      </c>
      <c r="E100" s="123">
        <v>-0.33961000000000002</v>
      </c>
      <c r="F100" s="123">
        <v>-2.8453900000000001</v>
      </c>
      <c r="G100" s="123">
        <v>-0.53631999999999991</v>
      </c>
      <c r="H100" s="123">
        <v>3.3817099999999991</v>
      </c>
      <c r="I100" s="123"/>
      <c r="J100" s="123"/>
      <c r="K100" s="123"/>
      <c r="L100" s="123"/>
    </row>
    <row r="101" spans="1:12" x14ac:dyDescent="0.25">
      <c r="A101" s="29" t="str">
        <f t="shared" si="1"/>
        <v>STSCIACTTC408Q01DA</v>
      </c>
      <c r="B101" s="123" t="s">
        <v>410</v>
      </c>
      <c r="C101" s="123" t="s">
        <v>2281</v>
      </c>
      <c r="D101" s="123">
        <v>2.407280000000001</v>
      </c>
      <c r="E101" s="123">
        <v>2.2720199999999999</v>
      </c>
      <c r="F101" s="123">
        <v>-3.1840700000000011</v>
      </c>
      <c r="G101" s="123">
        <v>-0.50497000000000003</v>
      </c>
      <c r="H101" s="123">
        <v>3.6890399999999999</v>
      </c>
      <c r="I101" s="123"/>
      <c r="J101" s="123"/>
      <c r="K101" s="123"/>
      <c r="L101" s="123"/>
    </row>
    <row r="102" spans="1:12" x14ac:dyDescent="0.25">
      <c r="A102" s="29" t="str">
        <f t="shared" si="1"/>
        <v>STSCIACTTC408Q03DA</v>
      </c>
      <c r="B102" s="123" t="s">
        <v>410</v>
      </c>
      <c r="C102" s="123" t="s">
        <v>2283</v>
      </c>
      <c r="D102" s="123">
        <v>1.5268299999999999</v>
      </c>
      <c r="E102" s="123">
        <v>2.456030000000001</v>
      </c>
      <c r="F102" s="123">
        <v>-1.8081</v>
      </c>
      <c r="G102" s="123">
        <v>-0.36696000000000001</v>
      </c>
      <c r="H102" s="123">
        <v>2.1750600000000002</v>
      </c>
      <c r="I102" s="123"/>
      <c r="J102" s="123"/>
      <c r="K102" s="123"/>
      <c r="L102" s="123"/>
    </row>
    <row r="103" spans="1:12" x14ac:dyDescent="0.25">
      <c r="A103" s="29" t="str">
        <f t="shared" si="1"/>
        <v>STSCIACTTC408Q03DA_up</v>
      </c>
      <c r="B103" s="123" t="s">
        <v>410</v>
      </c>
      <c r="C103" s="123" t="s">
        <v>2877</v>
      </c>
      <c r="D103" s="123">
        <v>0.84794999999999998</v>
      </c>
      <c r="E103" s="123">
        <v>-0.14599999999999999</v>
      </c>
      <c r="F103" s="123">
        <v>-0.90295999999999998</v>
      </c>
      <c r="G103" s="123">
        <v>-0.64370999999999989</v>
      </c>
      <c r="H103" s="123">
        <v>1.54667</v>
      </c>
      <c r="I103" s="123"/>
      <c r="J103" s="123"/>
      <c r="K103" s="123" t="s">
        <v>876</v>
      </c>
      <c r="L103" s="123" t="s">
        <v>650</v>
      </c>
    </row>
    <row r="104" spans="1:12" x14ac:dyDescent="0.25">
      <c r="A104" s="29" t="str">
        <f t="shared" si="1"/>
        <v>STSCIACTTC408Q04DA</v>
      </c>
      <c r="B104" s="123" t="s">
        <v>410</v>
      </c>
      <c r="C104" s="123" t="s">
        <v>2285</v>
      </c>
      <c r="D104" s="123">
        <v>0.74021999999999988</v>
      </c>
      <c r="E104" s="123">
        <v>1.06386</v>
      </c>
      <c r="F104" s="123">
        <v>-0.41982000000000003</v>
      </c>
      <c r="G104" s="123">
        <v>-0.39715</v>
      </c>
      <c r="H104" s="123">
        <v>0.81696999999999986</v>
      </c>
      <c r="I104" s="123"/>
      <c r="J104" s="123"/>
      <c r="K104" s="123"/>
      <c r="L104" s="123"/>
    </row>
    <row r="105" spans="1:12" x14ac:dyDescent="0.25">
      <c r="A105" s="29" t="str">
        <f t="shared" si="1"/>
        <v>STSCIACTTC408Q05DA</v>
      </c>
      <c r="B105" s="123" t="s">
        <v>410</v>
      </c>
      <c r="C105" s="123" t="s">
        <v>2287</v>
      </c>
      <c r="D105" s="123">
        <v>1.9575499999999999</v>
      </c>
      <c r="E105" s="123">
        <v>2.69028</v>
      </c>
      <c r="F105" s="123">
        <v>-2.0790000000000002</v>
      </c>
      <c r="G105" s="123">
        <v>-0.57193000000000005</v>
      </c>
      <c r="H105" s="123">
        <v>2.6509299999999998</v>
      </c>
      <c r="I105" s="123"/>
      <c r="J105" s="123"/>
      <c r="K105" s="123"/>
      <c r="L105" s="123"/>
    </row>
    <row r="106" spans="1:12" x14ac:dyDescent="0.25">
      <c r="A106" s="29" t="str">
        <f t="shared" si="1"/>
        <v>STSCIACTTC408Q06DA</v>
      </c>
      <c r="B106" s="123" t="s">
        <v>410</v>
      </c>
      <c r="C106" s="123" t="s">
        <v>2289</v>
      </c>
      <c r="D106" s="123">
        <v>0.51259999999999994</v>
      </c>
      <c r="E106" s="123">
        <v>0.66124000000000016</v>
      </c>
      <c r="F106" s="123">
        <v>6.4100000000000004E-2</v>
      </c>
      <c r="G106" s="123">
        <v>-0.48126000000000002</v>
      </c>
      <c r="H106" s="123">
        <v>0.41715999999999998</v>
      </c>
      <c r="I106" s="123"/>
      <c r="J106" s="123"/>
      <c r="K106" s="123"/>
      <c r="L106" s="123"/>
    </row>
    <row r="107" spans="1:12" x14ac:dyDescent="0.25">
      <c r="A107" s="29" t="str">
        <f t="shared" si="1"/>
        <v>STSCIACTTC408Q06DA_down</v>
      </c>
      <c r="B107" s="123" t="s">
        <v>410</v>
      </c>
      <c r="C107" s="123" t="s">
        <v>2878</v>
      </c>
      <c r="D107" s="123">
        <v>0.51004000000000005</v>
      </c>
      <c r="E107" s="123">
        <v>1.45316</v>
      </c>
      <c r="F107" s="123">
        <v>0.48872999999999989</v>
      </c>
      <c r="G107" s="123">
        <v>-0.29901</v>
      </c>
      <c r="H107" s="123">
        <v>-0.18972</v>
      </c>
      <c r="I107" s="123"/>
      <c r="J107" s="123"/>
      <c r="K107" s="123" t="s">
        <v>2872</v>
      </c>
      <c r="L107" s="123" t="s">
        <v>675</v>
      </c>
    </row>
    <row r="108" spans="1:12" x14ac:dyDescent="0.25">
      <c r="A108" s="29" t="str">
        <f t="shared" si="1"/>
        <v>STSCIACTTC408Q06DA_up</v>
      </c>
      <c r="B108" s="123" t="s">
        <v>410</v>
      </c>
      <c r="C108" s="123" t="s">
        <v>2879</v>
      </c>
      <c r="D108" s="123">
        <v>0.30697000000000008</v>
      </c>
      <c r="E108" s="123">
        <v>-0.66178000000000015</v>
      </c>
      <c r="F108" s="123">
        <v>0.70326999999999995</v>
      </c>
      <c r="G108" s="123">
        <v>-0.57394999999999996</v>
      </c>
      <c r="H108" s="123">
        <v>-0.12931999999999999</v>
      </c>
      <c r="I108" s="123"/>
      <c r="J108" s="123"/>
      <c r="K108" s="123" t="s">
        <v>733</v>
      </c>
      <c r="L108" s="123" t="s">
        <v>627</v>
      </c>
    </row>
    <row r="109" spans="1:12" x14ac:dyDescent="0.25">
      <c r="A109" s="29" t="str">
        <f t="shared" si="1"/>
        <v>TCBELSCIETC420Q02DA</v>
      </c>
      <c r="B109" s="123" t="s">
        <v>411</v>
      </c>
      <c r="C109" s="123" t="s">
        <v>2393</v>
      </c>
      <c r="D109" s="123">
        <v>1.87723</v>
      </c>
      <c r="E109" s="123">
        <v>-3.7805800000000001</v>
      </c>
      <c r="F109" s="123">
        <v>-1.91032</v>
      </c>
      <c r="G109" s="123">
        <v>-1.46576</v>
      </c>
      <c r="H109" s="123">
        <v>3.3760800000000009</v>
      </c>
      <c r="I109" s="123"/>
      <c r="J109" s="123"/>
      <c r="K109" s="123"/>
      <c r="L109" s="123"/>
    </row>
    <row r="110" spans="1:12" x14ac:dyDescent="0.25">
      <c r="A110" s="29" t="str">
        <f t="shared" si="1"/>
        <v>TCBELSCIETC420Q03DA</v>
      </c>
      <c r="B110" s="123" t="s">
        <v>411</v>
      </c>
      <c r="C110" s="123" t="s">
        <v>2394</v>
      </c>
      <c r="D110" s="123">
        <v>2.42015</v>
      </c>
      <c r="E110" s="123">
        <v>-5.1065499999999986</v>
      </c>
      <c r="F110" s="123">
        <v>-2.18954</v>
      </c>
      <c r="G110" s="123">
        <v>-1.3614900000000001</v>
      </c>
      <c r="H110" s="123">
        <v>3.5510299999999999</v>
      </c>
      <c r="I110" s="123"/>
      <c r="J110" s="123"/>
      <c r="K110" s="123"/>
      <c r="L110" s="123"/>
    </row>
    <row r="111" spans="1:12" x14ac:dyDescent="0.25">
      <c r="A111" s="29" t="str">
        <f t="shared" si="1"/>
        <v>TCBELSCIETC420Q05DA</v>
      </c>
      <c r="B111" s="123" t="s">
        <v>411</v>
      </c>
      <c r="C111" s="123" t="s">
        <v>2396</v>
      </c>
      <c r="D111" s="123">
        <v>2.670529999999999</v>
      </c>
      <c r="E111" s="123">
        <v>-5.9838699999999987</v>
      </c>
      <c r="F111" s="123">
        <v>-1.9068499999999999</v>
      </c>
      <c r="G111" s="123">
        <v>-1.89493</v>
      </c>
      <c r="H111" s="123">
        <v>3.801779999999999</v>
      </c>
      <c r="I111" s="123"/>
      <c r="J111" s="123"/>
      <c r="K111" s="123"/>
      <c r="L111" s="123"/>
    </row>
    <row r="112" spans="1:12" x14ac:dyDescent="0.25">
      <c r="A112" s="29" t="str">
        <f t="shared" si="1"/>
        <v>TCBELSCIETC420Q06DA</v>
      </c>
      <c r="B112" s="123" t="s">
        <v>411</v>
      </c>
      <c r="C112" s="123" t="s">
        <v>2398</v>
      </c>
      <c r="D112" s="123">
        <v>2.7100399999999998</v>
      </c>
      <c r="E112" s="123">
        <v>-5.6478499999999991</v>
      </c>
      <c r="F112" s="123">
        <v>-2.4428299999999998</v>
      </c>
      <c r="G112" s="123">
        <v>-1.71716</v>
      </c>
      <c r="H112" s="123">
        <v>4.1599899999999996</v>
      </c>
      <c r="I112" s="123"/>
      <c r="J112" s="123"/>
      <c r="K112" s="123"/>
      <c r="L112" s="123"/>
    </row>
    <row r="113" spans="1:12" x14ac:dyDescent="0.25">
      <c r="A113" s="29" t="str">
        <f t="shared" si="1"/>
        <v>TCBELSCIETC420Q10DA</v>
      </c>
      <c r="B113" s="123" t="s">
        <v>411</v>
      </c>
      <c r="C113" s="123" t="s">
        <v>2400</v>
      </c>
      <c r="D113" s="123">
        <v>3.5249400000000009</v>
      </c>
      <c r="E113" s="123">
        <v>-7.8466500000000003</v>
      </c>
      <c r="F113" s="123">
        <v>-2.8613499999999998</v>
      </c>
      <c r="G113" s="123">
        <v>-1.9794400000000001</v>
      </c>
      <c r="H113" s="123">
        <v>4.8407899999999993</v>
      </c>
      <c r="I113" s="123"/>
      <c r="J113" s="33"/>
      <c r="K113" s="33"/>
      <c r="L113" s="33"/>
    </row>
    <row r="114" spans="1:12" x14ac:dyDescent="0.25">
      <c r="A114" s="29" t="str">
        <f t="shared" si="1"/>
        <v>TCBELSCIETC420Q11DA</v>
      </c>
      <c r="B114" s="123" t="s">
        <v>411</v>
      </c>
      <c r="C114" s="123" t="s">
        <v>2401</v>
      </c>
      <c r="D114" s="123">
        <v>3.57918</v>
      </c>
      <c r="E114" s="123">
        <v>-7.7914700000000012</v>
      </c>
      <c r="F114" s="123">
        <v>-2.9698099999999998</v>
      </c>
      <c r="G114" s="123">
        <v>-2.0360399999999998</v>
      </c>
      <c r="H114" s="123">
        <v>5.0058499999999988</v>
      </c>
      <c r="I114" s="123"/>
      <c r="J114" s="33"/>
      <c r="K114" s="33"/>
      <c r="L114" s="33"/>
    </row>
    <row r="115" spans="1:12" x14ac:dyDescent="0.25">
      <c r="A115" s="29" t="str">
        <f t="shared" si="1"/>
        <v>TCBELSCIETC420Q12DA</v>
      </c>
      <c r="B115" s="123" t="s">
        <v>411</v>
      </c>
      <c r="C115" s="123" t="s">
        <v>2403</v>
      </c>
      <c r="D115" s="123">
        <v>1.1235200000000001</v>
      </c>
      <c r="E115" s="123">
        <v>-2.5198999999999998</v>
      </c>
      <c r="F115" s="123">
        <v>-0.99578</v>
      </c>
      <c r="G115" s="123">
        <v>-0.91200999999999999</v>
      </c>
      <c r="H115" s="123">
        <v>1.9077900000000001</v>
      </c>
      <c r="I115" s="123"/>
      <c r="J115" s="33"/>
      <c r="K115" s="33"/>
      <c r="L115" s="33"/>
    </row>
    <row r="116" spans="1:12" x14ac:dyDescent="0.25">
      <c r="A116" s="29" t="str">
        <f t="shared" si="1"/>
        <v>TCBELSCIETC420Q15DA</v>
      </c>
      <c r="B116" s="123" t="s">
        <v>411</v>
      </c>
      <c r="C116" s="123" t="s">
        <v>2404</v>
      </c>
      <c r="D116" s="123">
        <v>2.4227400000000001</v>
      </c>
      <c r="E116" s="123">
        <v>-5.3090900000000012</v>
      </c>
      <c r="F116" s="123">
        <v>-2.033910000000001</v>
      </c>
      <c r="G116" s="123">
        <v>-1.5583100000000001</v>
      </c>
      <c r="H116" s="123">
        <v>3.5922200000000011</v>
      </c>
      <c r="I116" s="123"/>
      <c r="J116" s="33"/>
      <c r="K116" s="33"/>
      <c r="L116" s="33"/>
    </row>
    <row r="117" spans="1:12" x14ac:dyDescent="0.25">
      <c r="A117" s="29" t="str">
        <f t="shared" si="1"/>
        <v>TCDIGRESTC220Q02JA</v>
      </c>
      <c r="B117" s="123" t="s">
        <v>364</v>
      </c>
      <c r="C117" s="123" t="s">
        <v>2212</v>
      </c>
      <c r="D117" s="123">
        <v>1.4872000000000001</v>
      </c>
      <c r="E117" s="123">
        <v>-0.43203999999999998</v>
      </c>
      <c r="F117" s="123">
        <v>-0.88888000000000011</v>
      </c>
      <c r="G117" s="123">
        <v>-0.74922</v>
      </c>
      <c r="H117" s="123">
        <v>0.40995999999999988</v>
      </c>
      <c r="I117" s="123">
        <v>1.22814</v>
      </c>
      <c r="J117" s="33"/>
      <c r="K117" s="33"/>
      <c r="L117" s="33"/>
    </row>
    <row r="118" spans="1:12" x14ac:dyDescent="0.25">
      <c r="A118" s="29" t="str">
        <f t="shared" si="1"/>
        <v>TCDIGRESTC220Q06JA</v>
      </c>
      <c r="B118" s="123" t="s">
        <v>364</v>
      </c>
      <c r="C118" s="123" t="s">
        <v>2216</v>
      </c>
      <c r="D118" s="123">
        <v>2.815329999999999</v>
      </c>
      <c r="E118" s="123">
        <v>-0.17501</v>
      </c>
      <c r="F118" s="123">
        <v>-2.18398</v>
      </c>
      <c r="G118" s="123">
        <v>-1.0818300000000001</v>
      </c>
      <c r="H118" s="123">
        <v>0.76800000000000002</v>
      </c>
      <c r="I118" s="123">
        <v>2.4978099999999999</v>
      </c>
      <c r="J118" s="33"/>
      <c r="K118" s="33"/>
      <c r="L118" s="33"/>
    </row>
    <row r="119" spans="1:12" x14ac:dyDescent="0.25">
      <c r="A119" s="29" t="str">
        <f t="shared" si="1"/>
        <v>TCDIGRESTC220Q10JA</v>
      </c>
      <c r="B119" s="123" t="s">
        <v>364</v>
      </c>
      <c r="C119" s="123" t="s">
        <v>2220</v>
      </c>
      <c r="D119" s="123">
        <v>1.3319700000000001</v>
      </c>
      <c r="E119" s="123">
        <v>0.53469999999999995</v>
      </c>
      <c r="F119" s="123">
        <v>-0.71467000000000003</v>
      </c>
      <c r="G119" s="123">
        <v>-0.71296000000000004</v>
      </c>
      <c r="H119" s="123">
        <v>0.47389000000000009</v>
      </c>
      <c r="I119" s="123">
        <v>0.95374000000000014</v>
      </c>
      <c r="J119" s="33"/>
      <c r="K119" s="33"/>
      <c r="L119" s="33"/>
    </row>
    <row r="120" spans="1:12" x14ac:dyDescent="0.25">
      <c r="A120" s="29" t="str">
        <f t="shared" si="1"/>
        <v>TCDIGRESTC220Q11JA</v>
      </c>
      <c r="B120" s="123" t="s">
        <v>364</v>
      </c>
      <c r="C120" s="123" t="s">
        <v>2222</v>
      </c>
      <c r="D120" s="123">
        <v>1.5495300000000001</v>
      </c>
      <c r="E120" s="123">
        <v>-0.11550000000000001</v>
      </c>
      <c r="F120" s="123">
        <v>-1.3896299999999999</v>
      </c>
      <c r="G120" s="123">
        <v>-0.69184000000000001</v>
      </c>
      <c r="H120" s="123">
        <v>0.54779999999999995</v>
      </c>
      <c r="I120" s="123">
        <v>1.5336700000000001</v>
      </c>
      <c r="J120" s="33"/>
      <c r="K120" s="33"/>
      <c r="L120" s="33"/>
    </row>
    <row r="121" spans="1:12" x14ac:dyDescent="0.25">
      <c r="A121" s="29" t="str">
        <f t="shared" si="1"/>
        <v>TCDIGRESTC220Q14DA</v>
      </c>
      <c r="B121" s="123" t="s">
        <v>364</v>
      </c>
      <c r="C121" s="123" t="s">
        <v>2224</v>
      </c>
      <c r="D121" s="123">
        <v>1.15825</v>
      </c>
      <c r="E121" s="123">
        <v>1.0541700000000001</v>
      </c>
      <c r="F121" s="123">
        <v>-0.60084999999999988</v>
      </c>
      <c r="G121" s="123">
        <v>-0.65920999999999996</v>
      </c>
      <c r="H121" s="123">
        <v>0.36236000000000002</v>
      </c>
      <c r="I121" s="123">
        <v>0.89770000000000005</v>
      </c>
      <c r="J121" s="33"/>
      <c r="K121" s="33"/>
      <c r="L121" s="33"/>
    </row>
    <row r="122" spans="1:12" x14ac:dyDescent="0.25">
      <c r="A122" s="29" t="str">
        <f t="shared" si="1"/>
        <v>TCDIGRESTC220Q15DA</v>
      </c>
      <c r="B122" s="123" t="s">
        <v>364</v>
      </c>
      <c r="C122" s="123" t="s">
        <v>2226</v>
      </c>
      <c r="D122" s="123">
        <v>0.65754000000000001</v>
      </c>
      <c r="E122" s="123">
        <v>0.33867999999999998</v>
      </c>
      <c r="F122" s="123">
        <v>1.129E-2</v>
      </c>
      <c r="G122" s="123">
        <v>-0.54645999999999995</v>
      </c>
      <c r="H122" s="123">
        <v>8.3659999999999998E-2</v>
      </c>
      <c r="I122" s="123">
        <v>0.45151000000000002</v>
      </c>
      <c r="J122" s="33"/>
      <c r="K122" s="33"/>
      <c r="L122" s="33"/>
    </row>
    <row r="123" spans="1:12" x14ac:dyDescent="0.25">
      <c r="A123" s="29" t="str">
        <f t="shared" si="1"/>
        <v>TCDISCLISCTC414Q01DA</v>
      </c>
      <c r="B123" s="123" t="s">
        <v>412</v>
      </c>
      <c r="C123" s="123" t="s">
        <v>2341</v>
      </c>
      <c r="D123" s="123">
        <v>1.7559100000000001</v>
      </c>
      <c r="E123" s="123">
        <v>-1.77047</v>
      </c>
      <c r="F123" s="123">
        <v>-1.3341400000000001</v>
      </c>
      <c r="G123" s="123">
        <v>-1.40218</v>
      </c>
      <c r="H123" s="123">
        <v>2.7363200000000001</v>
      </c>
      <c r="I123" s="123"/>
      <c r="J123" s="33"/>
      <c r="K123" s="33"/>
      <c r="L123" s="33"/>
    </row>
    <row r="124" spans="1:12" x14ac:dyDescent="0.25">
      <c r="A124" s="29" t="str">
        <f t="shared" si="1"/>
        <v>TCDISCLISCTC414Q02DA</v>
      </c>
      <c r="B124" s="123" t="s">
        <v>412</v>
      </c>
      <c r="C124" s="123" t="s">
        <v>2343</v>
      </c>
      <c r="D124" s="123">
        <v>2.0092599999999998</v>
      </c>
      <c r="E124" s="123">
        <v>-2.62385</v>
      </c>
      <c r="F124" s="123">
        <v>-2.0785</v>
      </c>
      <c r="G124" s="123">
        <v>-1.01288</v>
      </c>
      <c r="H124" s="123">
        <v>3.09138</v>
      </c>
      <c r="I124" s="123"/>
      <c r="J124" s="33"/>
      <c r="K124" s="33"/>
      <c r="L124" s="33"/>
    </row>
    <row r="125" spans="1:12" x14ac:dyDescent="0.25">
      <c r="A125" s="29" t="str">
        <f t="shared" si="1"/>
        <v>TCDISCLISCTC414Q03DA</v>
      </c>
      <c r="B125" s="123" t="s">
        <v>412</v>
      </c>
      <c r="C125" s="123" t="s">
        <v>2344</v>
      </c>
      <c r="D125" s="123">
        <v>2.1535299999999999</v>
      </c>
      <c r="E125" s="123">
        <v>-2.7211099999999999</v>
      </c>
      <c r="F125" s="123">
        <v>-1.8198399999999999</v>
      </c>
      <c r="G125" s="123">
        <v>-0.89370000000000005</v>
      </c>
      <c r="H125" s="123">
        <v>2.7135400000000001</v>
      </c>
      <c r="I125" s="123"/>
      <c r="J125" s="33"/>
      <c r="K125" s="33"/>
      <c r="L125" s="33"/>
    </row>
    <row r="126" spans="1:12" x14ac:dyDescent="0.25">
      <c r="A126" s="29" t="str">
        <f t="shared" si="1"/>
        <v>TCDISCLISCTC414Q04DA</v>
      </c>
      <c r="B126" s="123" t="s">
        <v>412</v>
      </c>
      <c r="C126" s="123" t="s">
        <v>2346</v>
      </c>
      <c r="D126" s="123">
        <v>2.0518000000000001</v>
      </c>
      <c r="E126" s="123">
        <v>-2.1905999999999999</v>
      </c>
      <c r="F126" s="123">
        <v>-2.4694699999999989</v>
      </c>
      <c r="G126" s="123">
        <v>-1.0606899999999999</v>
      </c>
      <c r="H126" s="123">
        <v>3.53016</v>
      </c>
      <c r="I126" s="123"/>
      <c r="J126" s="33"/>
      <c r="K126" s="33"/>
      <c r="L126" s="33"/>
    </row>
    <row r="127" spans="1:12" x14ac:dyDescent="0.25">
      <c r="A127" s="29" t="str">
        <f t="shared" si="1"/>
        <v>TCDISCLISCTC414Q05DA</v>
      </c>
      <c r="B127" s="123" t="s">
        <v>412</v>
      </c>
      <c r="C127" s="123" t="s">
        <v>2347</v>
      </c>
      <c r="D127" s="123">
        <v>2.51864</v>
      </c>
      <c r="E127" s="123">
        <v>-2.950470000000001</v>
      </c>
      <c r="F127" s="123">
        <v>-2.7088100000000011</v>
      </c>
      <c r="G127" s="123">
        <v>-0.70737000000000005</v>
      </c>
      <c r="H127" s="123">
        <v>3.4161799999999989</v>
      </c>
      <c r="I127" s="123"/>
      <c r="J127" s="33"/>
      <c r="K127" s="33"/>
      <c r="L127" s="33"/>
    </row>
    <row r="128" spans="1:12" x14ac:dyDescent="0.25">
      <c r="A128" s="29" t="str">
        <f t="shared" si="1"/>
        <v>TCDISCLISCTC414Q06DA</v>
      </c>
      <c r="B128" s="123" t="s">
        <v>412</v>
      </c>
      <c r="C128" s="123" t="s">
        <v>2349</v>
      </c>
      <c r="D128" s="123">
        <v>1.0450200000000001</v>
      </c>
      <c r="E128" s="123">
        <v>-0.89141999999999988</v>
      </c>
      <c r="F128" s="123">
        <v>-0.91683999999999999</v>
      </c>
      <c r="G128" s="123">
        <v>-0.66554000000000002</v>
      </c>
      <c r="H128" s="123">
        <v>1.5823799999999999</v>
      </c>
      <c r="I128" s="123"/>
      <c r="J128" s="33"/>
      <c r="K128" s="33"/>
      <c r="L128" s="33"/>
    </row>
    <row r="129" spans="1:12" x14ac:dyDescent="0.25">
      <c r="A129" s="29" t="str">
        <f t="shared" si="1"/>
        <v>TCDISCLISCTC414Q08DA</v>
      </c>
      <c r="B129" s="123" t="s">
        <v>412</v>
      </c>
      <c r="C129" s="123" t="s">
        <v>2351</v>
      </c>
      <c r="D129" s="123">
        <v>1.0414699999999999</v>
      </c>
      <c r="E129" s="123">
        <v>-1.2633099999999999</v>
      </c>
      <c r="F129" s="123">
        <v>-0.80101999999999984</v>
      </c>
      <c r="G129" s="123">
        <v>-0.80779000000000001</v>
      </c>
      <c r="H129" s="123">
        <v>1.6088100000000001</v>
      </c>
      <c r="I129" s="33"/>
      <c r="J129" s="33"/>
      <c r="K129" s="33"/>
      <c r="L129" s="33"/>
    </row>
    <row r="130" spans="1:12" x14ac:dyDescent="0.25">
      <c r="A130" s="29" t="str">
        <f t="shared" ref="A130:A193" si="2">_xlfn.CONCAT(B130,C130)</f>
        <v>TCDISCLISCTC414Q09DA</v>
      </c>
      <c r="B130" s="123" t="s">
        <v>412</v>
      </c>
      <c r="C130" s="123" t="s">
        <v>2353</v>
      </c>
      <c r="D130" s="123">
        <v>1.23638</v>
      </c>
      <c r="E130" s="123">
        <v>-1.5374300000000001</v>
      </c>
      <c r="F130" s="123">
        <v>-0.89522999999999997</v>
      </c>
      <c r="G130" s="123">
        <v>-0.79981000000000002</v>
      </c>
      <c r="H130" s="123">
        <v>1.6950400000000001</v>
      </c>
      <c r="I130" s="33"/>
      <c r="J130" s="33"/>
      <c r="K130" s="33"/>
      <c r="L130" s="33"/>
    </row>
    <row r="131" spans="1:12" x14ac:dyDescent="0.25">
      <c r="A131" s="29" t="str">
        <f t="shared" si="2"/>
        <v>TCENWARETC421Q01DA</v>
      </c>
      <c r="B131" s="123" t="s">
        <v>413</v>
      </c>
      <c r="C131" s="123" t="s">
        <v>2416</v>
      </c>
      <c r="D131" s="123">
        <v>2.4507699999999999</v>
      </c>
      <c r="E131" s="123">
        <v>-5.0322899999999997</v>
      </c>
      <c r="F131" s="123">
        <v>-2.3679100000000002</v>
      </c>
      <c r="G131" s="123">
        <v>-0.67573000000000005</v>
      </c>
      <c r="H131" s="123">
        <v>3.0436399999999999</v>
      </c>
      <c r="I131" s="33"/>
      <c r="J131" s="33"/>
      <c r="K131" s="33"/>
      <c r="L131" s="33"/>
    </row>
    <row r="132" spans="1:12" x14ac:dyDescent="0.25">
      <c r="A132" s="29" t="str">
        <f t="shared" si="2"/>
        <v>TCENWARETC421Q02DA</v>
      </c>
      <c r="B132" s="123" t="s">
        <v>413</v>
      </c>
      <c r="C132" s="123" t="s">
        <v>2418</v>
      </c>
      <c r="D132" s="123">
        <v>2.1226099999999999</v>
      </c>
      <c r="E132" s="123">
        <v>-4.0166899999999988</v>
      </c>
      <c r="F132" s="123">
        <v>-2.3401900000000002</v>
      </c>
      <c r="G132" s="123">
        <v>-0.52603999999999995</v>
      </c>
      <c r="H132" s="123">
        <v>2.8662299999999998</v>
      </c>
      <c r="I132" s="33"/>
      <c r="J132" s="33"/>
      <c r="K132" s="33"/>
      <c r="L132" s="33"/>
    </row>
    <row r="133" spans="1:12" x14ac:dyDescent="0.25">
      <c r="A133" s="29" t="str">
        <f t="shared" si="2"/>
        <v>TCENWARETC421Q03DA</v>
      </c>
      <c r="B133" s="123" t="s">
        <v>413</v>
      </c>
      <c r="C133" s="123" t="s">
        <v>2420</v>
      </c>
      <c r="D133" s="123">
        <v>1.3635999999999999</v>
      </c>
      <c r="E133" s="123">
        <v>-1.9201900000000001</v>
      </c>
      <c r="F133" s="123">
        <v>-1.78853</v>
      </c>
      <c r="G133" s="123">
        <v>-3.8620000000000008E-2</v>
      </c>
      <c r="H133" s="123">
        <v>1.8271500000000001</v>
      </c>
      <c r="I133" s="33"/>
      <c r="J133" s="33"/>
      <c r="K133" s="33"/>
      <c r="L133" s="33"/>
    </row>
    <row r="134" spans="1:12" x14ac:dyDescent="0.25">
      <c r="A134" s="29" t="str">
        <f t="shared" si="2"/>
        <v>TCENWARETC421Q04DA</v>
      </c>
      <c r="B134" s="123" t="s">
        <v>413</v>
      </c>
      <c r="C134" s="123" t="s">
        <v>2422</v>
      </c>
      <c r="D134" s="123">
        <v>1.2168000000000001</v>
      </c>
      <c r="E134" s="123">
        <v>-2.1618200000000001</v>
      </c>
      <c r="F134" s="123">
        <v>-2.0154100000000001</v>
      </c>
      <c r="G134" s="123">
        <v>-0.13214000000000001</v>
      </c>
      <c r="H134" s="123">
        <v>2.1475499999999998</v>
      </c>
      <c r="I134" s="33"/>
      <c r="J134" s="33"/>
      <c r="K134" s="33"/>
      <c r="L134" s="33"/>
    </row>
    <row r="135" spans="1:12" x14ac:dyDescent="0.25">
      <c r="A135" s="29" t="str">
        <f t="shared" si="2"/>
        <v>TCENWARETC421Q05DA</v>
      </c>
      <c r="B135" s="123" t="s">
        <v>413</v>
      </c>
      <c r="C135" s="123" t="s">
        <v>2424</v>
      </c>
      <c r="D135" s="123">
        <v>3.5639899999999991</v>
      </c>
      <c r="E135" s="123">
        <v>-6.1406299999999998</v>
      </c>
      <c r="F135" s="123">
        <v>-3.5388500000000001</v>
      </c>
      <c r="G135" s="123">
        <v>-0.48629</v>
      </c>
      <c r="H135" s="123">
        <v>4.0251400000000004</v>
      </c>
      <c r="I135" s="33"/>
      <c r="J135" s="33"/>
      <c r="K135" s="33"/>
      <c r="L135" s="33"/>
    </row>
    <row r="136" spans="1:12" x14ac:dyDescent="0.25">
      <c r="A136" s="29" t="str">
        <f t="shared" si="2"/>
        <v>TCENWARETC421Q06DA</v>
      </c>
      <c r="B136" s="123" t="s">
        <v>413</v>
      </c>
      <c r="C136" s="123" t="s">
        <v>2426</v>
      </c>
      <c r="D136" s="123">
        <v>4.0518200000000011</v>
      </c>
      <c r="E136" s="123">
        <v>-8.1495499999999996</v>
      </c>
      <c r="F136" s="123">
        <v>-4.5521700000000003</v>
      </c>
      <c r="G136" s="123">
        <v>-0.62602000000000002</v>
      </c>
      <c r="H136" s="123">
        <v>5.1781900000000007</v>
      </c>
      <c r="I136" s="33"/>
      <c r="J136" s="33"/>
      <c r="K136" s="33"/>
      <c r="L136" s="33"/>
    </row>
    <row r="137" spans="1:12" x14ac:dyDescent="0.25">
      <c r="A137" s="29" t="str">
        <f t="shared" si="2"/>
        <v>TCENWARETC421Q07DA</v>
      </c>
      <c r="B137" s="123" t="s">
        <v>413</v>
      </c>
      <c r="C137" s="123" t="s">
        <v>2428</v>
      </c>
      <c r="D137" s="123">
        <v>1.8953500000000001</v>
      </c>
      <c r="E137" s="123">
        <v>-3.3655599999999999</v>
      </c>
      <c r="F137" s="123">
        <v>-2.33446</v>
      </c>
      <c r="G137" s="123">
        <v>-0.38414999999999999</v>
      </c>
      <c r="H137" s="123">
        <v>2.71861</v>
      </c>
      <c r="I137" s="33"/>
      <c r="J137" s="33"/>
      <c r="K137" s="33"/>
      <c r="L137" s="33"/>
    </row>
    <row r="138" spans="1:12" x14ac:dyDescent="0.25">
      <c r="A138" s="29" t="str">
        <f t="shared" si="2"/>
        <v>TCENWARETC421Q08DA</v>
      </c>
      <c r="B138" s="123" t="s">
        <v>413</v>
      </c>
      <c r="C138" s="123" t="s">
        <v>2430</v>
      </c>
      <c r="D138" s="123">
        <v>2.9528099999999999</v>
      </c>
      <c r="E138" s="123">
        <v>-4.7186399999999988</v>
      </c>
      <c r="F138" s="123">
        <v>-3.2468899999999992</v>
      </c>
      <c r="G138" s="123">
        <v>-0.14099999999999999</v>
      </c>
      <c r="H138" s="123">
        <v>3.3878900000000001</v>
      </c>
      <c r="I138" s="33"/>
      <c r="J138" s="33"/>
      <c r="K138" s="33"/>
      <c r="L138" s="33"/>
    </row>
    <row r="139" spans="1:12" x14ac:dyDescent="0.25">
      <c r="A139" s="29" t="str">
        <f t="shared" si="2"/>
        <v>TCENWARETC421Q09DA</v>
      </c>
      <c r="B139" s="123" t="s">
        <v>413</v>
      </c>
      <c r="C139" s="123" t="s">
        <v>2432</v>
      </c>
      <c r="D139" s="123">
        <v>2.6384500000000002</v>
      </c>
      <c r="E139" s="123">
        <v>-3.9871599999999998</v>
      </c>
      <c r="F139" s="123">
        <v>-2.6933199999999999</v>
      </c>
      <c r="G139" s="123">
        <v>-0.12576999999999999</v>
      </c>
      <c r="H139" s="123">
        <v>2.8190900000000001</v>
      </c>
      <c r="I139" s="33"/>
      <c r="J139" s="33"/>
      <c r="K139" s="33"/>
      <c r="L139" s="33"/>
    </row>
    <row r="140" spans="1:12" x14ac:dyDescent="0.25">
      <c r="A140" s="29" t="str">
        <f t="shared" si="2"/>
        <v>TCENWARETC421Q10DA</v>
      </c>
      <c r="B140" s="123" t="s">
        <v>413</v>
      </c>
      <c r="C140" s="123" t="s">
        <v>2434</v>
      </c>
      <c r="D140" s="123">
        <v>3.7712300000000001</v>
      </c>
      <c r="E140" s="123">
        <v>-6.1536299999999988</v>
      </c>
      <c r="F140" s="123">
        <v>-4.10684</v>
      </c>
      <c r="G140" s="123">
        <v>-0.40218999999999999</v>
      </c>
      <c r="H140" s="123">
        <v>4.5090300000000001</v>
      </c>
      <c r="I140" s="33"/>
      <c r="J140" s="33"/>
      <c r="K140" s="33"/>
      <c r="L140" s="33"/>
    </row>
    <row r="141" spans="1:12" x14ac:dyDescent="0.25">
      <c r="A141" s="29" t="str">
        <f t="shared" si="2"/>
        <v>TCENWARETC421Q11DA</v>
      </c>
      <c r="B141" s="123" t="s">
        <v>413</v>
      </c>
      <c r="C141" s="123" t="s">
        <v>2436</v>
      </c>
      <c r="D141" s="123">
        <v>4.7789400000000004</v>
      </c>
      <c r="E141" s="123">
        <v>-8.5106400000000022</v>
      </c>
      <c r="F141" s="123">
        <v>-5.13117</v>
      </c>
      <c r="G141" s="123">
        <v>-0.42269000000000012</v>
      </c>
      <c r="H141" s="123">
        <v>5.5538600000000002</v>
      </c>
      <c r="I141" s="33"/>
      <c r="J141" s="33"/>
      <c r="K141" s="33"/>
      <c r="L141" s="33"/>
    </row>
    <row r="142" spans="1:12" x14ac:dyDescent="0.25">
      <c r="A142" s="29" t="str">
        <f t="shared" si="2"/>
        <v>TCENWARETC421Q12DA</v>
      </c>
      <c r="B142" s="123" t="s">
        <v>413</v>
      </c>
      <c r="C142" s="123" t="s">
        <v>2438</v>
      </c>
      <c r="D142" s="123">
        <v>3.7872399999999988</v>
      </c>
      <c r="E142" s="123">
        <v>-6.70885</v>
      </c>
      <c r="F142" s="123">
        <v>-4.0573399999999991</v>
      </c>
      <c r="G142" s="123">
        <v>-0.41694999999999999</v>
      </c>
      <c r="H142" s="123">
        <v>4.4742899999999999</v>
      </c>
      <c r="I142" s="33"/>
      <c r="J142" s="33"/>
      <c r="K142" s="33"/>
      <c r="L142" s="33"/>
    </row>
    <row r="143" spans="1:12" x14ac:dyDescent="0.25">
      <c r="A143" s="29" t="str">
        <f t="shared" si="2"/>
        <v>TCENWARETC421Q13DA</v>
      </c>
      <c r="B143" s="123" t="s">
        <v>413</v>
      </c>
      <c r="C143" s="123" t="s">
        <v>2440</v>
      </c>
      <c r="D143" s="123">
        <v>2.7382399999999998</v>
      </c>
      <c r="E143" s="123">
        <v>-4.2840499999999988</v>
      </c>
      <c r="F143" s="123">
        <v>-3.106040000000001</v>
      </c>
      <c r="G143" s="123">
        <v>-0.2966100000000001</v>
      </c>
      <c r="H143" s="123">
        <v>3.40265</v>
      </c>
      <c r="I143" s="33"/>
      <c r="J143" s="33"/>
      <c r="K143" s="33"/>
      <c r="L143" s="33"/>
    </row>
    <row r="144" spans="1:12" x14ac:dyDescent="0.25">
      <c r="A144" s="29" t="str">
        <f t="shared" si="2"/>
        <v>TCENWARETC421Q14DA</v>
      </c>
      <c r="B144" s="123" t="s">
        <v>413</v>
      </c>
      <c r="C144" s="123" t="s">
        <v>2442</v>
      </c>
      <c r="D144" s="123">
        <v>2.12412</v>
      </c>
      <c r="E144" s="123">
        <v>-4.2595700000000001</v>
      </c>
      <c r="F144" s="123">
        <v>-2.0670099999999998</v>
      </c>
      <c r="G144" s="123">
        <v>-0.51573999999999998</v>
      </c>
      <c r="H144" s="123">
        <v>2.5827499999999999</v>
      </c>
      <c r="I144" s="33"/>
      <c r="J144" s="33"/>
      <c r="K144" s="33"/>
      <c r="L144" s="33"/>
    </row>
    <row r="145" spans="1:12" x14ac:dyDescent="0.25">
      <c r="A145" s="29" t="str">
        <f t="shared" si="2"/>
        <v>TCPENVACTTC424Q01DA</v>
      </c>
      <c r="B145" s="123" t="s">
        <v>414</v>
      </c>
      <c r="C145" s="123" t="s">
        <v>2406</v>
      </c>
      <c r="D145" s="123">
        <v>0.9219400000000002</v>
      </c>
      <c r="E145" s="123">
        <v>2.3974799999999998</v>
      </c>
      <c r="F145" s="123">
        <v>-0.54329000000000005</v>
      </c>
      <c r="G145" s="123">
        <v>0.19958000000000001</v>
      </c>
      <c r="H145" s="123">
        <v>0.34371000000000013</v>
      </c>
      <c r="I145" s="123"/>
      <c r="J145" s="123"/>
      <c r="K145" s="123"/>
      <c r="L145" s="123"/>
    </row>
    <row r="146" spans="1:12" x14ac:dyDescent="0.25">
      <c r="A146" s="29" t="str">
        <f t="shared" si="2"/>
        <v>TCPENVACTTC424Q03DA</v>
      </c>
      <c r="B146" s="123" t="s">
        <v>414</v>
      </c>
      <c r="C146" s="123" t="s">
        <v>2408</v>
      </c>
      <c r="D146" s="123">
        <v>1.03149</v>
      </c>
      <c r="E146" s="123">
        <v>1.9914499999999999</v>
      </c>
      <c r="F146" s="123">
        <v>-1.12155</v>
      </c>
      <c r="G146" s="123">
        <v>0.19159999999999999</v>
      </c>
      <c r="H146" s="123">
        <v>0.92995000000000005</v>
      </c>
      <c r="I146" s="123"/>
      <c r="J146" s="123"/>
      <c r="K146" s="123"/>
      <c r="L146" s="123"/>
    </row>
    <row r="147" spans="1:12" x14ac:dyDescent="0.25">
      <c r="A147" s="29" t="str">
        <f t="shared" si="2"/>
        <v>TCPENVACTTC424Q06DA</v>
      </c>
      <c r="B147" s="123" t="s">
        <v>414</v>
      </c>
      <c r="C147" s="123" t="s">
        <v>2410</v>
      </c>
      <c r="D147" s="123">
        <v>1.44739</v>
      </c>
      <c r="E147" s="123">
        <v>0.70313000000000003</v>
      </c>
      <c r="F147" s="123">
        <v>-1.9442699999999999</v>
      </c>
      <c r="G147" s="123">
        <v>0.16366</v>
      </c>
      <c r="H147" s="123">
        <v>1.78061</v>
      </c>
      <c r="I147" s="123"/>
      <c r="J147" s="123"/>
      <c r="K147" s="123"/>
      <c r="L147" s="123"/>
    </row>
    <row r="148" spans="1:12" x14ac:dyDescent="0.25">
      <c r="A148" s="29" t="str">
        <f t="shared" si="2"/>
        <v>TCPENVACTTC424Q12DA</v>
      </c>
      <c r="B148" s="123" t="s">
        <v>414</v>
      </c>
      <c r="C148" s="123" t="s">
        <v>2412</v>
      </c>
      <c r="D148" s="123">
        <v>1.6332100000000001</v>
      </c>
      <c r="E148" s="123">
        <v>1.3827400000000001</v>
      </c>
      <c r="F148" s="123">
        <v>-1.89418</v>
      </c>
      <c r="G148" s="123">
        <v>0.27132000000000001</v>
      </c>
      <c r="H148" s="123">
        <v>1.62286</v>
      </c>
      <c r="I148" s="123"/>
      <c r="J148" s="123"/>
      <c r="K148" s="123"/>
      <c r="L148" s="123"/>
    </row>
    <row r="149" spans="1:12" x14ac:dyDescent="0.25">
      <c r="A149" s="29" t="str">
        <f t="shared" si="2"/>
        <v>TCPENVACTTC424Q14DA</v>
      </c>
      <c r="B149" s="123" t="s">
        <v>414</v>
      </c>
      <c r="C149" s="123" t="s">
        <v>2414</v>
      </c>
      <c r="D149" s="123">
        <v>2.1459999999999999</v>
      </c>
      <c r="E149" s="123">
        <v>0.56423000000000001</v>
      </c>
      <c r="F149" s="123">
        <v>-2.9363700000000001</v>
      </c>
      <c r="G149" s="123">
        <v>0.42950999999999989</v>
      </c>
      <c r="H149" s="123">
        <v>2.506860000000001</v>
      </c>
      <c r="I149" s="123"/>
      <c r="J149" s="123"/>
      <c r="K149" s="123"/>
      <c r="L149" s="123"/>
    </row>
    <row r="150" spans="1:12" x14ac:dyDescent="0.25">
      <c r="A150" s="29" t="str">
        <f t="shared" si="2"/>
        <v>USEFORASTC415Q03DA</v>
      </c>
      <c r="B150" s="123" t="s">
        <v>415</v>
      </c>
      <c r="C150" s="123" t="s">
        <v>2291</v>
      </c>
      <c r="D150" s="123">
        <v>0.50992999999999988</v>
      </c>
      <c r="E150" s="123">
        <v>-0.38436999999999999</v>
      </c>
      <c r="F150" s="123">
        <v>-1.09216</v>
      </c>
      <c r="G150" s="123">
        <v>0.29478999999999989</v>
      </c>
      <c r="H150" s="123">
        <v>0.7973699999999998</v>
      </c>
      <c r="I150" s="123"/>
      <c r="J150" s="123"/>
      <c r="K150" s="123"/>
      <c r="L150" s="123"/>
    </row>
    <row r="151" spans="1:12" x14ac:dyDescent="0.25">
      <c r="A151" s="29" t="str">
        <f t="shared" si="2"/>
        <v>USEFORASTC415Q03DA_down</v>
      </c>
      <c r="B151" s="123" t="s">
        <v>415</v>
      </c>
      <c r="C151" s="123" t="s">
        <v>2880</v>
      </c>
      <c r="D151" s="123">
        <v>0.71586000000000016</v>
      </c>
      <c r="E151" s="123">
        <v>0.84421999999999997</v>
      </c>
      <c r="F151" s="123">
        <v>-2.289709999999999</v>
      </c>
      <c r="G151" s="123">
        <v>1.4719100000000001</v>
      </c>
      <c r="H151" s="123">
        <v>0.81779999999999986</v>
      </c>
      <c r="I151" s="123"/>
      <c r="J151" s="123"/>
      <c r="K151" s="123" t="s">
        <v>879</v>
      </c>
      <c r="L151" s="123" t="s">
        <v>657</v>
      </c>
    </row>
    <row r="152" spans="1:12" x14ac:dyDescent="0.25">
      <c r="A152" s="29" t="str">
        <f t="shared" si="2"/>
        <v>USEFORASTC415Q04DA</v>
      </c>
      <c r="B152" s="123" t="s">
        <v>415</v>
      </c>
      <c r="C152" s="123" t="s">
        <v>2293</v>
      </c>
      <c r="D152" s="123">
        <v>1.0097700000000001</v>
      </c>
      <c r="E152" s="123">
        <v>-4.5749999999999999E-2</v>
      </c>
      <c r="F152" s="123">
        <v>-2.0053299999999998</v>
      </c>
      <c r="G152" s="123">
        <v>0.20213</v>
      </c>
      <c r="H152" s="123">
        <v>1.8031999999999999</v>
      </c>
      <c r="I152" s="123"/>
      <c r="J152" s="123"/>
      <c r="K152" s="123"/>
      <c r="L152" s="123"/>
    </row>
    <row r="153" spans="1:12" x14ac:dyDescent="0.25">
      <c r="A153" s="29" t="str">
        <f t="shared" si="2"/>
        <v>USEFORASTC415Q05DA</v>
      </c>
      <c r="B153" s="123" t="s">
        <v>415</v>
      </c>
      <c r="C153" s="123" t="s">
        <v>2295</v>
      </c>
      <c r="D153" s="123">
        <v>1.3929</v>
      </c>
      <c r="E153" s="123">
        <v>0.45606000000000002</v>
      </c>
      <c r="F153" s="123">
        <v>-2.58684</v>
      </c>
      <c r="G153" s="123">
        <v>0.32603999999999989</v>
      </c>
      <c r="H153" s="123">
        <v>2.2608000000000001</v>
      </c>
      <c r="I153" s="123"/>
      <c r="J153" s="123"/>
      <c r="K153" s="123"/>
      <c r="L153" s="123"/>
    </row>
    <row r="154" spans="1:12" x14ac:dyDescent="0.25">
      <c r="A154" s="29" t="str">
        <f t="shared" si="2"/>
        <v>USEFORASTC415Q06DA</v>
      </c>
      <c r="B154" s="123" t="s">
        <v>415</v>
      </c>
      <c r="C154" s="123" t="s">
        <v>2297</v>
      </c>
      <c r="D154" s="123">
        <v>0.92144000000000015</v>
      </c>
      <c r="E154" s="123">
        <v>-1.2029000000000001</v>
      </c>
      <c r="F154" s="123">
        <v>-2.1848200000000002</v>
      </c>
      <c r="G154" s="123">
        <v>0.2084</v>
      </c>
      <c r="H154" s="123">
        <v>1.976420000000001</v>
      </c>
      <c r="I154" s="123"/>
      <c r="J154" s="123"/>
      <c r="K154" s="123"/>
      <c r="L154" s="123"/>
    </row>
    <row r="155" spans="1:12" x14ac:dyDescent="0.25">
      <c r="A155" s="29" t="str">
        <f t="shared" si="2"/>
        <v>USEFORASTC415Q07DA</v>
      </c>
      <c r="B155" s="123" t="s">
        <v>415</v>
      </c>
      <c r="C155" s="123" t="s">
        <v>2299</v>
      </c>
      <c r="D155" s="123">
        <v>0.94843999999999995</v>
      </c>
      <c r="E155" s="123">
        <v>-0.67969000000000002</v>
      </c>
      <c r="F155" s="123">
        <v>-1.8312900000000001</v>
      </c>
      <c r="G155" s="123">
        <v>-6.634000000000001E-2</v>
      </c>
      <c r="H155" s="123">
        <v>1.8976299999999999</v>
      </c>
      <c r="I155" s="123"/>
      <c r="J155" s="123"/>
      <c r="K155" s="123"/>
      <c r="L155" s="123"/>
    </row>
    <row r="156" spans="1:12" x14ac:dyDescent="0.25">
      <c r="A156" s="29" t="str">
        <f t="shared" si="2"/>
        <v>USEFORASTC415Q08DA</v>
      </c>
      <c r="B156" s="123" t="s">
        <v>415</v>
      </c>
      <c r="C156" s="123" t="s">
        <v>2301</v>
      </c>
      <c r="D156" s="123">
        <v>1.39279</v>
      </c>
      <c r="E156" s="123">
        <v>0.83082999999999996</v>
      </c>
      <c r="F156" s="123">
        <v>-2.2860299999999998</v>
      </c>
      <c r="G156" s="123">
        <v>0.18540999999999999</v>
      </c>
      <c r="H156" s="123">
        <v>2.1006200000000002</v>
      </c>
      <c r="I156" s="123"/>
      <c r="J156" s="123"/>
      <c r="K156" s="123"/>
      <c r="L156" s="123"/>
    </row>
    <row r="157" spans="1:12" x14ac:dyDescent="0.25">
      <c r="A157" s="29" t="str">
        <f t="shared" si="2"/>
        <v>USEFORASTC415Q09DA</v>
      </c>
      <c r="B157" s="123" t="s">
        <v>415</v>
      </c>
      <c r="C157" s="123" t="s">
        <v>2303</v>
      </c>
      <c r="D157" s="123">
        <v>1.39086</v>
      </c>
      <c r="E157" s="123">
        <v>0.37748999999999999</v>
      </c>
      <c r="F157" s="123">
        <v>-1.8804799999999999</v>
      </c>
      <c r="G157" s="123">
        <v>0.12093</v>
      </c>
      <c r="H157" s="123">
        <v>1.7595499999999999</v>
      </c>
      <c r="I157" s="123"/>
      <c r="J157" s="123"/>
      <c r="K157" s="123"/>
      <c r="L157" s="123"/>
    </row>
    <row r="158" spans="1:12" x14ac:dyDescent="0.25">
      <c r="A158" s="29" t="str">
        <f t="shared" si="2"/>
        <v>USEFORASTC415Q09DA_up</v>
      </c>
      <c r="B158" s="123" t="s">
        <v>415</v>
      </c>
      <c r="C158" s="123" t="s">
        <v>2881</v>
      </c>
      <c r="D158" s="123">
        <v>0.73858000000000001</v>
      </c>
      <c r="E158" s="123">
        <v>-1.22224</v>
      </c>
      <c r="F158" s="123">
        <v>-1.11375</v>
      </c>
      <c r="G158" s="123">
        <v>0.49954999999999999</v>
      </c>
      <c r="H158" s="123">
        <v>0.61420000000000019</v>
      </c>
      <c r="I158" s="123"/>
      <c r="J158" s="123"/>
      <c r="K158" s="123" t="s">
        <v>880</v>
      </c>
      <c r="L158" s="123" t="s">
        <v>660</v>
      </c>
    </row>
    <row r="159" spans="1:12" x14ac:dyDescent="0.25">
      <c r="A159" s="29" t="str">
        <f t="shared" si="2"/>
        <v>USEFORASTC415Q10DA</v>
      </c>
      <c r="B159" s="123" t="s">
        <v>415</v>
      </c>
      <c r="C159" s="123" t="s">
        <v>2305</v>
      </c>
      <c r="D159" s="123">
        <v>0.84633999999999998</v>
      </c>
      <c r="E159" s="123">
        <v>0.19170999999999999</v>
      </c>
      <c r="F159" s="123">
        <v>-1.5002899999999999</v>
      </c>
      <c r="G159" s="123">
        <v>2.530000000000001E-3</v>
      </c>
      <c r="H159" s="123">
        <v>1.49776</v>
      </c>
      <c r="I159" s="123"/>
      <c r="J159" s="123"/>
      <c r="K159" s="123"/>
      <c r="L159" s="123"/>
    </row>
    <row r="160" spans="1:12" x14ac:dyDescent="0.25">
      <c r="A160" s="29" t="str">
        <f t="shared" si="2"/>
        <v>USEFORASTC415Q11DA</v>
      </c>
      <c r="B160" s="123" t="s">
        <v>415</v>
      </c>
      <c r="C160" s="123" t="s">
        <v>2307</v>
      </c>
      <c r="D160" s="123">
        <v>1.1680900000000001</v>
      </c>
      <c r="E160" s="123">
        <v>0.99109000000000003</v>
      </c>
      <c r="F160" s="123">
        <v>-1.5258799999999999</v>
      </c>
      <c r="G160" s="123">
        <v>0.14974000000000001</v>
      </c>
      <c r="H160" s="123">
        <v>1.3761399999999999</v>
      </c>
      <c r="I160" s="123"/>
      <c r="J160" s="123"/>
      <c r="K160" s="123"/>
      <c r="L160" s="123"/>
    </row>
    <row r="161" spans="1:12" x14ac:dyDescent="0.25">
      <c r="A161" s="29" t="str">
        <f t="shared" si="2"/>
        <v/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spans="1:12" x14ac:dyDescent="0.25">
      <c r="A162" s="29" t="str">
        <f t="shared" si="2"/>
        <v/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spans="1:12" x14ac:dyDescent="0.25">
      <c r="A163" s="29" t="str">
        <f t="shared" si="2"/>
        <v/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spans="1:12" x14ac:dyDescent="0.25">
      <c r="A164" s="29" t="str">
        <f t="shared" si="2"/>
        <v/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spans="1:12" x14ac:dyDescent="0.25">
      <c r="A165" s="29" t="str">
        <f t="shared" si="2"/>
        <v/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spans="1:12" x14ac:dyDescent="0.25">
      <c r="A166" s="29" t="str">
        <f t="shared" si="2"/>
        <v/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spans="1:12" x14ac:dyDescent="0.25">
      <c r="A167" s="29" t="str">
        <f t="shared" si="2"/>
        <v/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spans="1:12" x14ac:dyDescent="0.25">
      <c r="A168" s="29" t="str">
        <f t="shared" si="2"/>
        <v/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spans="1:12" x14ac:dyDescent="0.25">
      <c r="A169" s="29" t="str">
        <f t="shared" si="2"/>
        <v/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spans="1:12" x14ac:dyDescent="0.25">
      <c r="A170" s="29" t="str">
        <f t="shared" si="2"/>
        <v/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spans="1:12" x14ac:dyDescent="0.25">
      <c r="A171" s="29" t="str">
        <f t="shared" si="2"/>
        <v/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spans="1:12" x14ac:dyDescent="0.25">
      <c r="A172" s="29" t="str">
        <f t="shared" si="2"/>
        <v/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spans="1:12" x14ac:dyDescent="0.25">
      <c r="A173" s="29" t="str">
        <f t="shared" si="2"/>
        <v/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spans="1:12" x14ac:dyDescent="0.25">
      <c r="A174" s="29" t="str">
        <f t="shared" si="2"/>
        <v/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spans="1:12" x14ac:dyDescent="0.25">
      <c r="A175" s="29" t="str">
        <f t="shared" si="2"/>
        <v/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spans="1:12" x14ac:dyDescent="0.25">
      <c r="A176" s="29" t="str">
        <f t="shared" si="2"/>
        <v/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spans="1:12" x14ac:dyDescent="0.25">
      <c r="A177" s="29" t="str">
        <f t="shared" si="2"/>
        <v/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spans="1:12" x14ac:dyDescent="0.25">
      <c r="A178" s="29" t="str">
        <f t="shared" si="2"/>
        <v/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spans="1:12" x14ac:dyDescent="0.25">
      <c r="A179" s="29" t="str">
        <f t="shared" si="2"/>
        <v/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spans="1:12" x14ac:dyDescent="0.25">
      <c r="A180" s="29" t="str">
        <f t="shared" si="2"/>
        <v/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spans="1:12" x14ac:dyDescent="0.25">
      <c r="A181" s="29" t="str">
        <f t="shared" si="2"/>
        <v/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spans="1:12" x14ac:dyDescent="0.25">
      <c r="A182" s="29" t="str">
        <f t="shared" si="2"/>
        <v/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spans="1:12" x14ac:dyDescent="0.25">
      <c r="A183" s="29" t="str">
        <f t="shared" si="2"/>
        <v/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spans="1:12" x14ac:dyDescent="0.25">
      <c r="A184" s="29" t="str">
        <f t="shared" si="2"/>
        <v/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spans="1:12" x14ac:dyDescent="0.25">
      <c r="A185" s="29" t="str">
        <f t="shared" si="2"/>
        <v/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spans="1:12" x14ac:dyDescent="0.25">
      <c r="A186" s="29" t="str">
        <f t="shared" si="2"/>
        <v/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spans="1:12" x14ac:dyDescent="0.25">
      <c r="A187" s="29" t="str">
        <f t="shared" si="2"/>
        <v/>
      </c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spans="1:12" x14ac:dyDescent="0.25">
      <c r="A188" s="29" t="str">
        <f t="shared" si="2"/>
        <v/>
      </c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spans="1:12" x14ac:dyDescent="0.25">
      <c r="A189" s="29" t="str">
        <f t="shared" si="2"/>
        <v/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spans="1:12" x14ac:dyDescent="0.25">
      <c r="A190" s="29" t="str">
        <f t="shared" si="2"/>
        <v/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spans="1:12" x14ac:dyDescent="0.25">
      <c r="A191" s="29" t="str">
        <f t="shared" si="2"/>
        <v/>
      </c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spans="1:12" x14ac:dyDescent="0.25">
      <c r="A192" s="29" t="str">
        <f t="shared" si="2"/>
        <v/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spans="1:12" x14ac:dyDescent="0.25">
      <c r="A193" s="29" t="str">
        <f t="shared" si="2"/>
        <v/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spans="1:12" x14ac:dyDescent="0.25">
      <c r="A194" s="29" t="str">
        <f t="shared" ref="A194:A253" si="3">_xlfn.CONCAT(B194,C194)</f>
        <v/>
      </c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spans="1:12" x14ac:dyDescent="0.25">
      <c r="A195" s="29" t="str">
        <f t="shared" si="3"/>
        <v/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spans="1:12" x14ac:dyDescent="0.25">
      <c r="A196" s="29" t="str">
        <f t="shared" si="3"/>
        <v/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spans="1:12" x14ac:dyDescent="0.25">
      <c r="A197" s="29" t="str">
        <f t="shared" si="3"/>
        <v/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spans="1:12" x14ac:dyDescent="0.25">
      <c r="A198" s="29" t="str">
        <f t="shared" si="3"/>
        <v/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spans="1:12" x14ac:dyDescent="0.25">
      <c r="A199" s="29" t="str">
        <f t="shared" si="3"/>
        <v/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spans="1:12" x14ac:dyDescent="0.25">
      <c r="A200" s="29" t="str">
        <f t="shared" si="3"/>
        <v/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spans="1:12" x14ac:dyDescent="0.25">
      <c r="A201" s="29" t="str">
        <f t="shared" si="3"/>
        <v/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spans="1:12" x14ac:dyDescent="0.25">
      <c r="A202" s="29" t="str">
        <f t="shared" si="3"/>
        <v/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spans="1:12" x14ac:dyDescent="0.25">
      <c r="A203" s="29" t="str">
        <f t="shared" si="3"/>
        <v/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spans="1:12" x14ac:dyDescent="0.25">
      <c r="A204" s="29" t="str">
        <f t="shared" si="3"/>
        <v/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spans="1:12" x14ac:dyDescent="0.25">
      <c r="A205" s="29" t="str">
        <f t="shared" si="3"/>
        <v/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spans="1:12" x14ac:dyDescent="0.25">
      <c r="A206" s="29" t="str">
        <f t="shared" si="3"/>
        <v/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spans="1:12" x14ac:dyDescent="0.25">
      <c r="A207" s="29" t="str">
        <f t="shared" si="3"/>
        <v/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spans="1:12" x14ac:dyDescent="0.25">
      <c r="A208" s="29" t="str">
        <f t="shared" si="3"/>
        <v/>
      </c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spans="1:12" x14ac:dyDescent="0.25">
      <c r="A209" s="29" t="str">
        <f t="shared" si="3"/>
        <v/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spans="1:12" x14ac:dyDescent="0.25">
      <c r="A210" s="29" t="str">
        <f t="shared" si="3"/>
        <v/>
      </c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spans="1:12" x14ac:dyDescent="0.25">
      <c r="A211" s="29" t="str">
        <f t="shared" si="3"/>
        <v/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spans="1:12" x14ac:dyDescent="0.25">
      <c r="A212" s="29" t="str">
        <f t="shared" si="3"/>
        <v/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spans="1:12" x14ac:dyDescent="0.25">
      <c r="A213" s="29" t="str">
        <f t="shared" si="3"/>
        <v/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spans="1:12" x14ac:dyDescent="0.25">
      <c r="A214" s="29" t="str">
        <f t="shared" si="3"/>
        <v/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spans="1:12" x14ac:dyDescent="0.25">
      <c r="A215" s="29" t="str">
        <f t="shared" si="3"/>
        <v/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spans="1:12" x14ac:dyDescent="0.25">
      <c r="A216" s="29" t="str">
        <f t="shared" si="3"/>
        <v/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spans="1:12" x14ac:dyDescent="0.25">
      <c r="A217" s="29" t="str">
        <f t="shared" si="3"/>
        <v/>
      </c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spans="1:12" x14ac:dyDescent="0.25">
      <c r="A218" s="29" t="str">
        <f t="shared" si="3"/>
        <v/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spans="1:12" x14ac:dyDescent="0.25">
      <c r="A219" s="29" t="str">
        <f t="shared" si="3"/>
        <v/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spans="1:12" x14ac:dyDescent="0.25">
      <c r="A220" s="29" t="str">
        <f t="shared" si="3"/>
        <v/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spans="1:12" x14ac:dyDescent="0.25">
      <c r="A221" s="29" t="str">
        <f t="shared" si="3"/>
        <v/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spans="1:12" x14ac:dyDescent="0.25">
      <c r="A222" s="29" t="str">
        <f t="shared" si="3"/>
        <v/>
      </c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spans="1:12" x14ac:dyDescent="0.25">
      <c r="A223" s="29" t="str">
        <f t="shared" si="3"/>
        <v/>
      </c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spans="1:12" x14ac:dyDescent="0.25">
      <c r="A224" s="29" t="str">
        <f t="shared" si="3"/>
        <v/>
      </c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spans="1:12" x14ac:dyDescent="0.25">
      <c r="A225" s="29" t="str">
        <f t="shared" si="3"/>
        <v/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spans="1:12" x14ac:dyDescent="0.25">
      <c r="A226" s="29" t="str">
        <f t="shared" si="3"/>
        <v/>
      </c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spans="1:12" x14ac:dyDescent="0.25">
      <c r="A227" s="29" t="str">
        <f t="shared" si="3"/>
        <v/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spans="1:12" x14ac:dyDescent="0.25">
      <c r="A228" s="29" t="str">
        <f t="shared" si="3"/>
        <v/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spans="1:12" x14ac:dyDescent="0.25">
      <c r="A229" s="29" t="str">
        <f t="shared" si="3"/>
        <v/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spans="1:12" x14ac:dyDescent="0.25">
      <c r="A230" s="29" t="str">
        <f t="shared" si="3"/>
        <v/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spans="1:12" x14ac:dyDescent="0.25">
      <c r="A231" s="29" t="str">
        <f t="shared" si="3"/>
        <v/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spans="1:12" x14ac:dyDescent="0.25">
      <c r="A232" s="29" t="str">
        <f t="shared" si="3"/>
        <v/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spans="1:12" x14ac:dyDescent="0.25">
      <c r="A233" s="29" t="str">
        <f t="shared" si="3"/>
        <v/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spans="1:12" x14ac:dyDescent="0.25">
      <c r="A234" s="29" t="str">
        <f t="shared" si="3"/>
        <v/>
      </c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spans="1:12" x14ac:dyDescent="0.25">
      <c r="A235" s="29" t="str">
        <f t="shared" si="3"/>
        <v/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spans="1:12" x14ac:dyDescent="0.25">
      <c r="A236" s="29" t="str">
        <f t="shared" si="3"/>
        <v/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spans="1:12" x14ac:dyDescent="0.25">
      <c r="A237" s="29" t="str">
        <f t="shared" si="3"/>
        <v/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spans="1:12" x14ac:dyDescent="0.25">
      <c r="A238" s="29" t="str">
        <f t="shared" si="3"/>
        <v/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spans="1:12" x14ac:dyDescent="0.25">
      <c r="A239" s="29" t="str">
        <f t="shared" si="3"/>
        <v/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spans="1:12" x14ac:dyDescent="0.25">
      <c r="A240" s="29" t="str">
        <f t="shared" si="3"/>
        <v/>
      </c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spans="1:12" x14ac:dyDescent="0.25">
      <c r="A241" s="29" t="str">
        <f t="shared" si="3"/>
        <v/>
      </c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spans="1:12" x14ac:dyDescent="0.25">
      <c r="A242" s="29" t="str">
        <f t="shared" si="3"/>
        <v/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spans="1:12" x14ac:dyDescent="0.25">
      <c r="A243" s="29" t="str">
        <f t="shared" si="3"/>
        <v/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spans="1:12" x14ac:dyDescent="0.25">
      <c r="A244" s="29" t="str">
        <f t="shared" si="3"/>
        <v/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spans="1:12" x14ac:dyDescent="0.25">
      <c r="A245" s="29" t="str">
        <f t="shared" si="3"/>
        <v/>
      </c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spans="1:12" x14ac:dyDescent="0.25">
      <c r="A246" s="29" t="str">
        <f t="shared" si="3"/>
        <v/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spans="1:12" x14ac:dyDescent="0.25">
      <c r="A247" s="29" t="str">
        <f t="shared" si="3"/>
        <v/>
      </c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spans="1:12" x14ac:dyDescent="0.25">
      <c r="A248" s="29" t="str">
        <f t="shared" si="3"/>
        <v/>
      </c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spans="1:12" x14ac:dyDescent="0.25">
      <c r="A249" s="29" t="str">
        <f t="shared" si="3"/>
        <v/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spans="1:12" x14ac:dyDescent="0.25">
      <c r="A250" s="29" t="str">
        <f t="shared" si="3"/>
        <v/>
      </c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spans="1:12" x14ac:dyDescent="0.25">
      <c r="A251" s="29" t="str">
        <f t="shared" si="3"/>
        <v/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 spans="1:12" x14ac:dyDescent="0.25">
      <c r="A252" s="29" t="str">
        <f t="shared" si="3"/>
        <v/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 spans="1:12" x14ac:dyDescent="0.25">
      <c r="A253" s="29" t="str">
        <f t="shared" si="3"/>
        <v/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</row>
  </sheetData>
  <sheetProtection sheet="1" formatColumns="0" formatRows="0"/>
  <autoFilter ref="B1:J160" xr:uid="{00000000-0009-0000-0000-0000A2000000}"/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0"/>
  <dimension ref="A1:H253"/>
  <sheetViews>
    <sheetView workbookViewId="0">
      <pane ySplit="6" topLeftCell="A7" activePane="bottomLeft" state="frozen"/>
      <selection pane="bottomLeft" sqref="A1:A1048576"/>
    </sheetView>
  </sheetViews>
  <sheetFormatPr defaultColWidth="8.7109375" defaultRowHeight="15" x14ac:dyDescent="0.25"/>
  <cols>
    <col min="1" max="1" width="22.42578125" style="22" customWidth="1"/>
    <col min="2" max="2" width="13.7109375" style="23" customWidth="1"/>
    <col min="3" max="3" width="15.42578125" style="23" customWidth="1"/>
    <col min="4" max="8" width="8.7109375" style="24" customWidth="1"/>
    <col min="9" max="9" width="8.7109375" style="23" customWidth="1"/>
    <col min="10" max="16384" width="8.7109375" style="23"/>
  </cols>
  <sheetData>
    <row r="1" spans="1:8" x14ac:dyDescent="0.25">
      <c r="A1" s="87" t="s">
        <v>2642</v>
      </c>
      <c r="B1" s="124" t="s">
        <v>317</v>
      </c>
      <c r="C1" s="134" t="s">
        <v>2643</v>
      </c>
      <c r="D1" s="135" t="s">
        <v>2644</v>
      </c>
      <c r="E1" s="135" t="s">
        <v>2645</v>
      </c>
      <c r="F1" s="135" t="s">
        <v>2646</v>
      </c>
      <c r="G1" s="135" t="s">
        <v>2647</v>
      </c>
      <c r="H1" s="135" t="s">
        <v>2648</v>
      </c>
    </row>
    <row r="2" spans="1:8" x14ac:dyDescent="0.25">
      <c r="A2" s="29" t="str">
        <f t="shared" ref="A2:A65" si="0">_xlfn.CONCAT(B2,C2)</f>
        <v>ANXENGLST247FLQ02DA</v>
      </c>
      <c r="B2" s="134" t="s">
        <v>417</v>
      </c>
      <c r="C2" s="134" t="s">
        <v>2478</v>
      </c>
      <c r="D2" s="135">
        <v>1.43807</v>
      </c>
      <c r="E2" s="135">
        <v>-0.13442999999999999</v>
      </c>
      <c r="F2" s="135">
        <v>-1.5083899999999999</v>
      </c>
      <c r="G2" s="135">
        <v>-0.30237999999999998</v>
      </c>
      <c r="H2" s="135">
        <v>1.81077</v>
      </c>
    </row>
    <row r="3" spans="1:8" x14ac:dyDescent="0.25">
      <c r="A3" s="29" t="str">
        <f t="shared" si="0"/>
        <v>ANXENGLST247FLQ03DA</v>
      </c>
      <c r="B3" s="134" t="s">
        <v>417</v>
      </c>
      <c r="C3" s="134" t="s">
        <v>2480</v>
      </c>
      <c r="D3" s="135">
        <v>1.5801000000000001</v>
      </c>
      <c r="E3" s="135">
        <v>-0.11153</v>
      </c>
      <c r="F3" s="135">
        <v>-1.4128700000000001</v>
      </c>
      <c r="G3" s="135">
        <v>-0.18287</v>
      </c>
      <c r="H3" s="135">
        <v>1.5957399999999999</v>
      </c>
    </row>
    <row r="4" spans="1:8" x14ac:dyDescent="0.25">
      <c r="A4" s="29" t="str">
        <f t="shared" si="0"/>
        <v>ANXENGLST247FLQ05DA</v>
      </c>
      <c r="B4" s="134" t="s">
        <v>417</v>
      </c>
      <c r="C4" s="134" t="s">
        <v>2482</v>
      </c>
      <c r="D4" s="135">
        <v>1.1196999999999999</v>
      </c>
      <c r="E4" s="135">
        <v>1.24499</v>
      </c>
      <c r="F4" s="135">
        <v>-1.29217</v>
      </c>
      <c r="G4" s="135">
        <v>0.17380999999999999</v>
      </c>
      <c r="H4" s="135">
        <v>1.11836</v>
      </c>
    </row>
    <row r="5" spans="1:8" x14ac:dyDescent="0.25">
      <c r="A5" s="29" t="str">
        <f t="shared" si="0"/>
        <v>ANXENGLST247FLQ06DA</v>
      </c>
      <c r="B5" s="134" t="s">
        <v>417</v>
      </c>
      <c r="C5" s="134" t="s">
        <v>2484</v>
      </c>
      <c r="D5" s="135">
        <v>1.57978</v>
      </c>
      <c r="E5" s="135">
        <v>0.98541999999999996</v>
      </c>
      <c r="F5" s="135">
        <v>-1.64507</v>
      </c>
      <c r="G5" s="135">
        <v>-5.5870000000000003E-2</v>
      </c>
      <c r="H5" s="135">
        <v>1.7009300000000001</v>
      </c>
    </row>
    <row r="6" spans="1:8" x14ac:dyDescent="0.25">
      <c r="A6" s="29" t="str">
        <f t="shared" si="0"/>
        <v>ANXENGLST247FLQ07DA</v>
      </c>
      <c r="B6" s="134" t="s">
        <v>417</v>
      </c>
      <c r="C6" s="134" t="s">
        <v>2486</v>
      </c>
      <c r="D6" s="135">
        <v>1.5530900000000001</v>
      </c>
      <c r="E6" s="135">
        <v>0.83165</v>
      </c>
      <c r="F6" s="135">
        <v>-1.50292</v>
      </c>
      <c r="G6" s="135">
        <v>-7.8310000000000005E-2</v>
      </c>
      <c r="H6" s="135">
        <v>1.5812299999999999</v>
      </c>
    </row>
    <row r="7" spans="1:8" x14ac:dyDescent="0.25">
      <c r="A7" s="29" t="str">
        <f t="shared" si="0"/>
        <v>ANXENGLST247FLQ08DA</v>
      </c>
      <c r="B7" s="134" t="s">
        <v>417</v>
      </c>
      <c r="C7" s="134" t="s">
        <v>2488</v>
      </c>
      <c r="D7" s="135">
        <v>2.3998200000000001</v>
      </c>
      <c r="E7" s="135">
        <v>-0.17357</v>
      </c>
      <c r="F7" s="135">
        <v>-2.1704599999999998</v>
      </c>
      <c r="G7" s="135">
        <v>-0.31775999999999999</v>
      </c>
      <c r="H7" s="135">
        <v>2.4882200000000001</v>
      </c>
    </row>
    <row r="8" spans="1:8" x14ac:dyDescent="0.25">
      <c r="A8" s="29" t="str">
        <f t="shared" si="0"/>
        <v>ANXENGLST247FLQ09DA</v>
      </c>
      <c r="B8" s="134" t="s">
        <v>417</v>
      </c>
      <c r="C8" s="134" t="s">
        <v>2490</v>
      </c>
      <c r="D8" s="135">
        <v>2.94937</v>
      </c>
      <c r="E8" s="135">
        <v>-0.15248</v>
      </c>
      <c r="F8" s="135">
        <v>-2.63395</v>
      </c>
      <c r="G8" s="135">
        <v>-0.37502000000000002</v>
      </c>
      <c r="H8" s="135">
        <v>3.0089600000000001</v>
      </c>
    </row>
    <row r="9" spans="1:8" x14ac:dyDescent="0.25">
      <c r="A9" s="29" t="str">
        <f t="shared" si="0"/>
        <v>EXPENGUSEST135FLQ02DA</v>
      </c>
      <c r="B9" s="134" t="s">
        <v>418</v>
      </c>
      <c r="C9" s="134" t="s">
        <v>2492</v>
      </c>
      <c r="D9" s="135">
        <v>2.09971</v>
      </c>
      <c r="E9" s="135">
        <v>-0.91166000000000003</v>
      </c>
      <c r="F9" s="135">
        <v>-1.2785899999999999</v>
      </c>
      <c r="G9" s="135">
        <v>-0.15085000000000001</v>
      </c>
      <c r="H9" s="135">
        <v>1.4294500000000001</v>
      </c>
    </row>
    <row r="10" spans="1:8" x14ac:dyDescent="0.25">
      <c r="A10" s="29" t="str">
        <f t="shared" si="0"/>
        <v>EXPENGUSEST135FLQ03DA</v>
      </c>
      <c r="B10" s="134" t="s">
        <v>418</v>
      </c>
      <c r="C10" s="134" t="s">
        <v>2494</v>
      </c>
      <c r="D10" s="135">
        <v>2.8143199999999999</v>
      </c>
      <c r="E10" s="135">
        <v>-1.5590599999999999</v>
      </c>
      <c r="F10" s="135">
        <v>-1.86469</v>
      </c>
      <c r="G10" s="135">
        <v>2.308E-2</v>
      </c>
      <c r="H10" s="135">
        <v>1.84161</v>
      </c>
    </row>
    <row r="11" spans="1:8" x14ac:dyDescent="0.25">
      <c r="A11" s="29" t="str">
        <f t="shared" si="0"/>
        <v>EXPENGUSEST135FLQ05DA</v>
      </c>
      <c r="B11" s="134" t="s">
        <v>418</v>
      </c>
      <c r="C11" s="134" t="s">
        <v>2496</v>
      </c>
      <c r="D11" s="135">
        <v>1.2596099999999999</v>
      </c>
      <c r="E11" s="135">
        <v>0.17479</v>
      </c>
      <c r="F11" s="135">
        <v>-0.85616999999999999</v>
      </c>
      <c r="G11" s="135">
        <v>0.11126999999999999</v>
      </c>
      <c r="H11" s="135">
        <v>0.74490000000000001</v>
      </c>
    </row>
    <row r="12" spans="1:8" x14ac:dyDescent="0.25">
      <c r="A12" s="29" t="str">
        <f t="shared" si="0"/>
        <v>EXPENGUSEST135FLQ06DA</v>
      </c>
      <c r="B12" s="134" t="s">
        <v>418</v>
      </c>
      <c r="C12" s="134" t="s">
        <v>2498</v>
      </c>
      <c r="D12" s="135">
        <v>1.3002499999999999</v>
      </c>
      <c r="E12" s="135">
        <v>-0.10050000000000001</v>
      </c>
      <c r="F12" s="135">
        <v>-0.68211999999999995</v>
      </c>
      <c r="G12" s="135">
        <v>-0.12720000000000001</v>
      </c>
      <c r="H12" s="135">
        <v>0.80932000000000004</v>
      </c>
    </row>
    <row r="13" spans="1:8" x14ac:dyDescent="0.25">
      <c r="A13" s="29" t="str">
        <f t="shared" si="0"/>
        <v>EXPENGUSEST135FLQ07DA</v>
      </c>
      <c r="B13" s="134" t="s">
        <v>418</v>
      </c>
      <c r="C13" s="134" t="s">
        <v>2500</v>
      </c>
      <c r="D13" s="135">
        <v>2.76396</v>
      </c>
      <c r="E13" s="135">
        <v>-0.65622999999999998</v>
      </c>
      <c r="F13" s="135">
        <v>-1.69506</v>
      </c>
      <c r="G13" s="135">
        <v>-0.12895000000000001</v>
      </c>
      <c r="H13" s="135">
        <v>1.82402</v>
      </c>
    </row>
    <row r="14" spans="1:8" x14ac:dyDescent="0.25">
      <c r="A14" s="29" t="str">
        <f t="shared" si="0"/>
        <v>EXPENGUSEST135FLQ08DA</v>
      </c>
      <c r="B14" s="134" t="s">
        <v>418</v>
      </c>
      <c r="C14" s="134" t="s">
        <v>2502</v>
      </c>
      <c r="D14" s="135">
        <v>1.3962300000000001</v>
      </c>
      <c r="E14" s="135">
        <v>-0.15848999999999999</v>
      </c>
      <c r="F14" s="135">
        <v>-0.76781999999999995</v>
      </c>
      <c r="G14" s="135">
        <v>5.7599999999999998E-2</v>
      </c>
      <c r="H14" s="135">
        <v>0.71021999999999996</v>
      </c>
    </row>
    <row r="15" spans="1:8" x14ac:dyDescent="0.25">
      <c r="A15" s="29" t="str">
        <f t="shared" si="0"/>
        <v>HLANGPROFST480FLQ01DA</v>
      </c>
      <c r="B15" s="134" t="s">
        <v>419</v>
      </c>
      <c r="C15" s="134" t="s">
        <v>2468</v>
      </c>
      <c r="D15" s="135">
        <v>2.3317399999999999</v>
      </c>
      <c r="E15" s="135">
        <v>-3.0004599999999999</v>
      </c>
      <c r="F15" s="135">
        <v>-1.6075999999999999</v>
      </c>
      <c r="G15" s="135">
        <v>-0.51719000000000004</v>
      </c>
      <c r="H15" s="135">
        <v>2.12479</v>
      </c>
    </row>
    <row r="16" spans="1:8" x14ac:dyDescent="0.25">
      <c r="A16" s="29" t="str">
        <f t="shared" si="0"/>
        <v>HLANGPROFST480FLQ02DA</v>
      </c>
      <c r="B16" s="134" t="s">
        <v>419</v>
      </c>
      <c r="C16" s="134" t="s">
        <v>2470</v>
      </c>
      <c r="D16" s="135">
        <v>2.5609299999999999</v>
      </c>
      <c r="E16" s="135">
        <v>-3.6029200000000001</v>
      </c>
      <c r="F16" s="135">
        <v>-2.07673</v>
      </c>
      <c r="G16" s="135">
        <v>-0.45506999999999997</v>
      </c>
      <c r="H16" s="135">
        <v>2.5318000000000001</v>
      </c>
    </row>
    <row r="17" spans="1:8" x14ac:dyDescent="0.25">
      <c r="A17" s="29" t="str">
        <f t="shared" si="0"/>
        <v>HLANGPROFST480FLQ04DA</v>
      </c>
      <c r="B17" s="134" t="s">
        <v>419</v>
      </c>
      <c r="C17" s="134" t="s">
        <v>2472</v>
      </c>
      <c r="D17" s="135">
        <v>3.2931900000000001</v>
      </c>
      <c r="E17" s="135">
        <v>-3.6278700000000002</v>
      </c>
      <c r="F17" s="135">
        <v>-2.62378</v>
      </c>
      <c r="G17" s="135">
        <v>-0.46766999999999997</v>
      </c>
      <c r="H17" s="135">
        <v>3.0914600000000001</v>
      </c>
    </row>
    <row r="18" spans="1:8" x14ac:dyDescent="0.25">
      <c r="A18" s="29" t="str">
        <f t="shared" si="0"/>
        <v>HLANGPROFST480FLQ05DA</v>
      </c>
      <c r="B18" s="134" t="s">
        <v>419</v>
      </c>
      <c r="C18" s="134" t="s">
        <v>2474</v>
      </c>
      <c r="D18" s="135">
        <v>2.8369599999999999</v>
      </c>
      <c r="E18" s="135">
        <v>-2.9506999999999999</v>
      </c>
      <c r="F18" s="135">
        <v>-1.9152899999999999</v>
      </c>
      <c r="G18" s="135">
        <v>-0.53102000000000005</v>
      </c>
      <c r="H18" s="135">
        <v>2.44631</v>
      </c>
    </row>
    <row r="19" spans="1:8" x14ac:dyDescent="0.25">
      <c r="A19" s="29" t="str">
        <f t="shared" si="0"/>
        <v>HLANGPROFST480FLQ06DA</v>
      </c>
      <c r="B19" s="134" t="s">
        <v>419</v>
      </c>
      <c r="C19" s="134" t="s">
        <v>2476</v>
      </c>
      <c r="D19" s="135">
        <v>2.3161700000000001</v>
      </c>
      <c r="E19" s="135">
        <v>-2.5828700000000002</v>
      </c>
      <c r="F19" s="135">
        <v>-1.5473300000000001</v>
      </c>
      <c r="G19" s="135">
        <v>-0.40195999999999998</v>
      </c>
      <c r="H19" s="135">
        <v>1.94929</v>
      </c>
    </row>
    <row r="20" spans="1:8" x14ac:dyDescent="0.25">
      <c r="A20" s="29" t="str">
        <f t="shared" si="0"/>
        <v/>
      </c>
      <c r="B20" s="33"/>
      <c r="C20" s="33"/>
      <c r="D20" s="33"/>
      <c r="E20" s="33"/>
      <c r="F20" s="33"/>
      <c r="G20" s="33"/>
      <c r="H20" s="33"/>
    </row>
    <row r="21" spans="1:8" x14ac:dyDescent="0.25">
      <c r="A21" s="29" t="str">
        <f t="shared" si="0"/>
        <v/>
      </c>
      <c r="B21" s="33"/>
      <c r="C21" s="33"/>
      <c r="D21" s="33"/>
      <c r="E21" s="33"/>
      <c r="F21" s="33"/>
      <c r="G21" s="33"/>
      <c r="H21" s="33"/>
    </row>
    <row r="22" spans="1:8" x14ac:dyDescent="0.25">
      <c r="A22" s="29" t="str">
        <f t="shared" si="0"/>
        <v/>
      </c>
      <c r="B22" s="33"/>
      <c r="C22" s="33"/>
      <c r="D22" s="33"/>
      <c r="E22" s="33"/>
      <c r="F22" s="33"/>
      <c r="G22" s="33"/>
      <c r="H22" s="33"/>
    </row>
    <row r="23" spans="1:8" x14ac:dyDescent="0.25">
      <c r="A23" s="29" t="str">
        <f t="shared" si="0"/>
        <v/>
      </c>
      <c r="B23" s="33"/>
      <c r="C23" s="33"/>
      <c r="D23" s="33"/>
      <c r="E23" s="33"/>
      <c r="F23" s="33"/>
      <c r="G23" s="33"/>
      <c r="H23" s="33"/>
    </row>
    <row r="24" spans="1:8" x14ac:dyDescent="0.25">
      <c r="A24" s="29" t="str">
        <f t="shared" si="0"/>
        <v/>
      </c>
      <c r="B24" s="33"/>
      <c r="C24" s="33"/>
      <c r="D24" s="33"/>
      <c r="E24" s="33"/>
      <c r="F24" s="33"/>
      <c r="G24" s="33"/>
      <c r="H24" s="33"/>
    </row>
    <row r="25" spans="1:8" x14ac:dyDescent="0.25">
      <c r="A25" s="29" t="str">
        <f t="shared" si="0"/>
        <v/>
      </c>
      <c r="B25" s="33"/>
      <c r="C25" s="33"/>
      <c r="D25" s="33"/>
      <c r="E25" s="33"/>
      <c r="F25" s="33"/>
      <c r="G25" s="33"/>
      <c r="H25" s="33"/>
    </row>
    <row r="26" spans="1:8" x14ac:dyDescent="0.25">
      <c r="A26" s="29" t="str">
        <f t="shared" si="0"/>
        <v/>
      </c>
      <c r="B26" s="33"/>
      <c r="C26" s="33"/>
      <c r="D26" s="33"/>
      <c r="E26" s="33"/>
      <c r="F26" s="33"/>
      <c r="G26" s="33"/>
      <c r="H26" s="33"/>
    </row>
    <row r="27" spans="1:8" x14ac:dyDescent="0.25">
      <c r="A27" s="29" t="str">
        <f t="shared" si="0"/>
        <v/>
      </c>
      <c r="B27" s="33"/>
      <c r="C27" s="33"/>
      <c r="D27" s="33"/>
      <c r="E27" s="33"/>
      <c r="F27" s="33"/>
      <c r="G27" s="33"/>
      <c r="H27" s="33"/>
    </row>
    <row r="28" spans="1:8" x14ac:dyDescent="0.25">
      <c r="A28" s="29" t="str">
        <f t="shared" si="0"/>
        <v/>
      </c>
      <c r="B28" s="33"/>
      <c r="C28" s="33"/>
      <c r="D28" s="33"/>
      <c r="E28" s="33"/>
      <c r="F28" s="33"/>
      <c r="G28" s="33"/>
      <c r="H28" s="33"/>
    </row>
    <row r="29" spans="1:8" x14ac:dyDescent="0.25">
      <c r="A29" s="29" t="str">
        <f t="shared" si="0"/>
        <v/>
      </c>
      <c r="B29" s="33"/>
      <c r="C29" s="33"/>
      <c r="D29" s="33"/>
      <c r="E29" s="33"/>
      <c r="F29" s="33"/>
      <c r="G29" s="33"/>
      <c r="H29" s="33"/>
    </row>
    <row r="30" spans="1:8" x14ac:dyDescent="0.25">
      <c r="A30" s="29" t="str">
        <f t="shared" si="0"/>
        <v/>
      </c>
      <c r="B30" s="33"/>
      <c r="C30" s="33"/>
      <c r="D30" s="33"/>
      <c r="E30" s="33"/>
      <c r="F30" s="33"/>
      <c r="G30" s="33"/>
      <c r="H30" s="33"/>
    </row>
    <row r="31" spans="1:8" x14ac:dyDescent="0.25">
      <c r="A31" s="29" t="str">
        <f t="shared" si="0"/>
        <v/>
      </c>
      <c r="B31" s="33"/>
      <c r="C31" s="33"/>
      <c r="D31" s="33"/>
      <c r="E31" s="33"/>
      <c r="F31" s="33"/>
      <c r="G31" s="33"/>
      <c r="H31" s="33"/>
    </row>
    <row r="32" spans="1:8" x14ac:dyDescent="0.25">
      <c r="A32" s="29" t="str">
        <f t="shared" si="0"/>
        <v/>
      </c>
      <c r="B32" s="33"/>
      <c r="C32" s="33"/>
      <c r="D32" s="33"/>
      <c r="E32" s="33"/>
      <c r="F32" s="33"/>
      <c r="G32" s="33"/>
      <c r="H32" s="33"/>
    </row>
    <row r="33" spans="1:8" x14ac:dyDescent="0.25">
      <c r="A33" s="29" t="str">
        <f t="shared" si="0"/>
        <v/>
      </c>
      <c r="B33" s="33"/>
      <c r="C33" s="33"/>
      <c r="D33" s="33"/>
      <c r="E33" s="33"/>
      <c r="F33" s="33"/>
      <c r="G33" s="33"/>
      <c r="H33" s="33"/>
    </row>
    <row r="34" spans="1:8" x14ac:dyDescent="0.25">
      <c r="A34" s="29" t="str">
        <f t="shared" si="0"/>
        <v/>
      </c>
      <c r="B34" s="33"/>
      <c r="C34" s="33"/>
      <c r="D34" s="33"/>
      <c r="E34" s="33"/>
      <c r="F34" s="33"/>
      <c r="G34" s="33"/>
      <c r="H34" s="33"/>
    </row>
    <row r="35" spans="1:8" x14ac:dyDescent="0.25">
      <c r="A35" s="29" t="str">
        <f t="shared" si="0"/>
        <v/>
      </c>
      <c r="B35" s="33"/>
      <c r="C35" s="33"/>
      <c r="D35" s="33"/>
      <c r="E35" s="33"/>
      <c r="F35" s="33"/>
      <c r="G35" s="33"/>
      <c r="H35" s="33"/>
    </row>
    <row r="36" spans="1:8" x14ac:dyDescent="0.25">
      <c r="A36" s="29" t="str">
        <f t="shared" si="0"/>
        <v/>
      </c>
      <c r="B36" s="33"/>
      <c r="C36" s="33"/>
      <c r="D36" s="33"/>
      <c r="E36" s="33"/>
      <c r="F36" s="33"/>
      <c r="G36" s="33"/>
      <c r="H36" s="33"/>
    </row>
    <row r="37" spans="1:8" x14ac:dyDescent="0.25">
      <c r="A37" s="29" t="str">
        <f t="shared" si="0"/>
        <v/>
      </c>
      <c r="B37" s="33"/>
      <c r="C37" s="33"/>
      <c r="D37" s="33"/>
      <c r="E37" s="33"/>
      <c r="F37" s="33"/>
      <c r="G37" s="33"/>
      <c r="H37" s="33"/>
    </row>
    <row r="38" spans="1:8" x14ac:dyDescent="0.25">
      <c r="A38" s="29" t="str">
        <f t="shared" si="0"/>
        <v/>
      </c>
      <c r="B38" s="33"/>
      <c r="C38" s="33"/>
      <c r="D38" s="33"/>
      <c r="E38" s="33"/>
      <c r="F38" s="33"/>
      <c r="G38" s="33"/>
      <c r="H38" s="33"/>
    </row>
    <row r="39" spans="1:8" x14ac:dyDescent="0.25">
      <c r="A39" s="29" t="str">
        <f t="shared" si="0"/>
        <v/>
      </c>
      <c r="B39" s="33"/>
      <c r="C39" s="33"/>
      <c r="D39" s="33"/>
      <c r="E39" s="33"/>
      <c r="F39" s="33"/>
      <c r="G39" s="33"/>
      <c r="H39" s="33"/>
    </row>
    <row r="40" spans="1:8" x14ac:dyDescent="0.25">
      <c r="A40" s="29" t="str">
        <f t="shared" si="0"/>
        <v/>
      </c>
      <c r="B40" s="33"/>
      <c r="C40" s="33"/>
      <c r="D40" s="33"/>
      <c r="E40" s="33"/>
      <c r="F40" s="33"/>
      <c r="G40" s="33"/>
      <c r="H40" s="33"/>
    </row>
    <row r="41" spans="1:8" x14ac:dyDescent="0.25">
      <c r="A41" s="29" t="str">
        <f t="shared" si="0"/>
        <v/>
      </c>
      <c r="B41" s="33"/>
      <c r="C41" s="33"/>
      <c r="D41" s="33"/>
      <c r="E41" s="33"/>
      <c r="F41" s="33"/>
      <c r="G41" s="33"/>
      <c r="H41" s="33"/>
    </row>
    <row r="42" spans="1:8" x14ac:dyDescent="0.25">
      <c r="A42" s="29" t="str">
        <f t="shared" si="0"/>
        <v/>
      </c>
      <c r="B42" s="33"/>
      <c r="C42" s="33"/>
      <c r="D42" s="33"/>
      <c r="E42" s="33"/>
      <c r="F42" s="33"/>
      <c r="G42" s="33"/>
      <c r="H42" s="33"/>
    </row>
    <row r="43" spans="1:8" x14ac:dyDescent="0.25">
      <c r="A43" s="29" t="str">
        <f t="shared" si="0"/>
        <v/>
      </c>
      <c r="B43" s="33"/>
      <c r="C43" s="33"/>
      <c r="D43" s="33"/>
      <c r="E43" s="33"/>
      <c r="F43" s="33"/>
      <c r="G43" s="33"/>
      <c r="H43" s="33"/>
    </row>
    <row r="44" spans="1:8" x14ac:dyDescent="0.25">
      <c r="A44" s="29" t="str">
        <f t="shared" si="0"/>
        <v/>
      </c>
      <c r="B44" s="33"/>
      <c r="C44" s="33"/>
      <c r="D44" s="33"/>
      <c r="E44" s="33"/>
      <c r="F44" s="33"/>
      <c r="G44" s="33"/>
      <c r="H44" s="33"/>
    </row>
    <row r="45" spans="1:8" x14ac:dyDescent="0.25">
      <c r="A45" s="29" t="str">
        <f t="shared" si="0"/>
        <v/>
      </c>
      <c r="B45" s="33"/>
      <c r="C45" s="33"/>
      <c r="D45" s="33"/>
      <c r="E45" s="33"/>
      <c r="F45" s="33"/>
      <c r="G45" s="33"/>
      <c r="H45" s="33"/>
    </row>
    <row r="46" spans="1:8" x14ac:dyDescent="0.25">
      <c r="A46" s="29" t="str">
        <f t="shared" si="0"/>
        <v/>
      </c>
      <c r="B46" s="33"/>
      <c r="C46" s="33"/>
      <c r="D46" s="33"/>
      <c r="E46" s="33"/>
      <c r="F46" s="33"/>
      <c r="G46" s="33"/>
      <c r="H46" s="33"/>
    </row>
    <row r="47" spans="1:8" x14ac:dyDescent="0.25">
      <c r="A47" s="29" t="str">
        <f t="shared" si="0"/>
        <v/>
      </c>
      <c r="B47" s="33"/>
      <c r="C47" s="33"/>
      <c r="D47" s="33"/>
      <c r="E47" s="33"/>
      <c r="F47" s="33"/>
      <c r="G47" s="33"/>
      <c r="H47" s="33"/>
    </row>
    <row r="48" spans="1:8" x14ac:dyDescent="0.25">
      <c r="A48" s="29" t="str">
        <f t="shared" si="0"/>
        <v/>
      </c>
      <c r="B48" s="33"/>
      <c r="C48" s="33"/>
      <c r="D48" s="33"/>
      <c r="E48" s="33"/>
      <c r="F48" s="33"/>
      <c r="G48" s="33"/>
      <c r="H48" s="33"/>
    </row>
    <row r="49" spans="1:8" x14ac:dyDescent="0.25">
      <c r="A49" s="29" t="str">
        <f t="shared" si="0"/>
        <v/>
      </c>
      <c r="B49" s="33"/>
      <c r="C49" s="33"/>
      <c r="D49" s="33"/>
      <c r="E49" s="33"/>
      <c r="F49" s="33"/>
      <c r="G49" s="33"/>
      <c r="H49" s="33"/>
    </row>
    <row r="50" spans="1:8" x14ac:dyDescent="0.25">
      <c r="A50" s="29" t="str">
        <f t="shared" si="0"/>
        <v/>
      </c>
      <c r="B50" s="33"/>
      <c r="C50" s="33"/>
      <c r="D50" s="33"/>
      <c r="E50" s="33"/>
      <c r="F50" s="33"/>
      <c r="G50" s="33"/>
      <c r="H50" s="33"/>
    </row>
    <row r="51" spans="1:8" x14ac:dyDescent="0.25">
      <c r="A51" s="29" t="str">
        <f t="shared" si="0"/>
        <v/>
      </c>
      <c r="B51" s="33"/>
      <c r="C51" s="33"/>
      <c r="D51" s="33"/>
      <c r="E51" s="33"/>
      <c r="F51" s="33"/>
      <c r="G51" s="33"/>
      <c r="H51" s="33"/>
    </row>
    <row r="52" spans="1:8" x14ac:dyDescent="0.25">
      <c r="A52" s="29" t="str">
        <f t="shared" si="0"/>
        <v/>
      </c>
      <c r="B52" s="33"/>
      <c r="C52" s="33"/>
      <c r="D52" s="33"/>
      <c r="E52" s="33"/>
      <c r="F52" s="33"/>
      <c r="G52" s="33"/>
      <c r="H52" s="33"/>
    </row>
    <row r="53" spans="1:8" x14ac:dyDescent="0.25">
      <c r="A53" s="29" t="str">
        <f t="shared" si="0"/>
        <v/>
      </c>
      <c r="B53" s="33"/>
      <c r="C53" s="33"/>
      <c r="D53" s="33"/>
      <c r="E53" s="33"/>
      <c r="F53" s="33"/>
      <c r="G53" s="33"/>
      <c r="H53" s="33"/>
    </row>
    <row r="54" spans="1:8" x14ac:dyDescent="0.25">
      <c r="A54" s="29" t="str">
        <f t="shared" si="0"/>
        <v/>
      </c>
      <c r="B54" s="33"/>
      <c r="C54" s="33"/>
      <c r="D54" s="33"/>
      <c r="E54" s="33"/>
      <c r="F54" s="33"/>
      <c r="G54" s="33"/>
      <c r="H54" s="33"/>
    </row>
    <row r="55" spans="1:8" x14ac:dyDescent="0.25">
      <c r="A55" s="29" t="str">
        <f t="shared" si="0"/>
        <v/>
      </c>
      <c r="B55" s="33"/>
      <c r="C55" s="33"/>
      <c r="D55" s="33"/>
      <c r="E55" s="33"/>
      <c r="F55" s="33"/>
      <c r="G55" s="33"/>
      <c r="H55" s="33"/>
    </row>
    <row r="56" spans="1:8" x14ac:dyDescent="0.25">
      <c r="A56" s="29" t="str">
        <f t="shared" si="0"/>
        <v/>
      </c>
      <c r="B56" s="33"/>
      <c r="C56" s="33"/>
      <c r="D56" s="33"/>
      <c r="E56" s="33"/>
      <c r="F56" s="33"/>
      <c r="G56" s="33"/>
      <c r="H56" s="33"/>
    </row>
    <row r="57" spans="1:8" x14ac:dyDescent="0.25">
      <c r="A57" s="29" t="str">
        <f t="shared" si="0"/>
        <v/>
      </c>
      <c r="B57" s="33"/>
      <c r="C57" s="33"/>
      <c r="D57" s="33"/>
      <c r="E57" s="33"/>
      <c r="F57" s="33"/>
      <c r="G57" s="33"/>
      <c r="H57" s="33"/>
    </row>
    <row r="58" spans="1:8" x14ac:dyDescent="0.25">
      <c r="A58" s="29" t="str">
        <f t="shared" si="0"/>
        <v/>
      </c>
      <c r="B58" s="33"/>
      <c r="C58" s="33"/>
      <c r="D58" s="33"/>
      <c r="E58" s="33"/>
      <c r="F58" s="33"/>
      <c r="G58" s="33"/>
      <c r="H58" s="33"/>
    </row>
    <row r="59" spans="1:8" x14ac:dyDescent="0.25">
      <c r="A59" s="29" t="str">
        <f t="shared" si="0"/>
        <v/>
      </c>
      <c r="B59" s="33"/>
      <c r="C59" s="33"/>
      <c r="D59" s="33"/>
      <c r="E59" s="33"/>
      <c r="F59" s="33"/>
      <c r="G59" s="33"/>
      <c r="H59" s="33"/>
    </row>
    <row r="60" spans="1:8" x14ac:dyDescent="0.25">
      <c r="A60" s="29" t="str">
        <f t="shared" si="0"/>
        <v/>
      </c>
      <c r="B60" s="33"/>
      <c r="C60" s="33"/>
      <c r="D60" s="33"/>
      <c r="E60" s="33"/>
      <c r="F60" s="33"/>
      <c r="G60" s="33"/>
      <c r="H60" s="33"/>
    </row>
    <row r="61" spans="1:8" x14ac:dyDescent="0.25">
      <c r="A61" s="29" t="str">
        <f t="shared" si="0"/>
        <v/>
      </c>
      <c r="B61" s="33"/>
      <c r="C61" s="33"/>
      <c r="D61" s="33"/>
      <c r="E61" s="33"/>
      <c r="F61" s="33"/>
      <c r="G61" s="33"/>
      <c r="H61" s="33"/>
    </row>
    <row r="62" spans="1:8" x14ac:dyDescent="0.25">
      <c r="A62" s="29" t="str">
        <f t="shared" si="0"/>
        <v/>
      </c>
      <c r="B62" s="33"/>
      <c r="C62" s="33"/>
      <c r="D62" s="33"/>
      <c r="E62" s="33"/>
      <c r="F62" s="33"/>
      <c r="G62" s="33"/>
      <c r="H62" s="33"/>
    </row>
    <row r="63" spans="1:8" x14ac:dyDescent="0.25">
      <c r="A63" s="29" t="str">
        <f t="shared" si="0"/>
        <v/>
      </c>
      <c r="B63" s="33"/>
      <c r="C63" s="33"/>
      <c r="D63" s="33"/>
      <c r="E63" s="33"/>
      <c r="F63" s="33"/>
      <c r="G63" s="33"/>
      <c r="H63" s="33"/>
    </row>
    <row r="64" spans="1:8" x14ac:dyDescent="0.25">
      <c r="A64" s="29" t="str">
        <f t="shared" si="0"/>
        <v/>
      </c>
      <c r="B64" s="33"/>
      <c r="C64" s="33"/>
      <c r="D64" s="33"/>
      <c r="E64" s="33"/>
      <c r="F64" s="33"/>
      <c r="G64" s="33"/>
      <c r="H64" s="33"/>
    </row>
    <row r="65" spans="1:8" x14ac:dyDescent="0.25">
      <c r="A65" s="29" t="str">
        <f t="shared" si="0"/>
        <v/>
      </c>
      <c r="B65" s="33"/>
      <c r="C65" s="33"/>
      <c r="D65" s="33"/>
      <c r="E65" s="33"/>
      <c r="F65" s="33"/>
      <c r="G65" s="33"/>
      <c r="H65" s="33"/>
    </row>
    <row r="66" spans="1:8" x14ac:dyDescent="0.25">
      <c r="A66" s="29" t="str">
        <f t="shared" ref="A66:A129" si="1">_xlfn.CONCAT(B66,C66)</f>
        <v/>
      </c>
      <c r="B66" s="33"/>
      <c r="C66" s="33"/>
      <c r="D66" s="33"/>
      <c r="E66" s="33"/>
      <c r="F66" s="33"/>
      <c r="G66" s="33"/>
      <c r="H66" s="33"/>
    </row>
    <row r="67" spans="1:8" x14ac:dyDescent="0.25">
      <c r="A67" s="29" t="str">
        <f t="shared" si="1"/>
        <v/>
      </c>
      <c r="B67" s="33"/>
      <c r="C67" s="33"/>
      <c r="D67" s="33"/>
      <c r="E67" s="33"/>
      <c r="F67" s="33"/>
      <c r="G67" s="33"/>
      <c r="H67" s="33"/>
    </row>
    <row r="68" spans="1:8" x14ac:dyDescent="0.25">
      <c r="A68" s="29" t="str">
        <f t="shared" si="1"/>
        <v/>
      </c>
      <c r="B68" s="33"/>
      <c r="C68" s="33"/>
      <c r="D68" s="33"/>
      <c r="E68" s="33"/>
      <c r="F68" s="33"/>
      <c r="G68" s="33"/>
      <c r="H68" s="33"/>
    </row>
    <row r="69" spans="1:8" x14ac:dyDescent="0.25">
      <c r="A69" s="29" t="str">
        <f t="shared" si="1"/>
        <v/>
      </c>
      <c r="B69" s="33"/>
      <c r="C69" s="33"/>
      <c r="D69" s="33"/>
      <c r="E69" s="33"/>
      <c r="F69" s="33"/>
      <c r="G69" s="33"/>
      <c r="H69" s="33"/>
    </row>
    <row r="70" spans="1:8" x14ac:dyDescent="0.25">
      <c r="A70" s="29" t="str">
        <f t="shared" si="1"/>
        <v/>
      </c>
      <c r="B70" s="33"/>
      <c r="C70" s="33"/>
      <c r="D70" s="33"/>
      <c r="E70" s="33"/>
      <c r="F70" s="33"/>
      <c r="G70" s="33"/>
      <c r="H70" s="33"/>
    </row>
    <row r="71" spans="1:8" x14ac:dyDescent="0.25">
      <c r="A71" s="29" t="str">
        <f t="shared" si="1"/>
        <v/>
      </c>
      <c r="B71" s="33"/>
      <c r="C71" s="33"/>
      <c r="D71" s="33"/>
      <c r="E71" s="33"/>
      <c r="F71" s="33"/>
      <c r="G71" s="33"/>
      <c r="H71" s="33"/>
    </row>
    <row r="72" spans="1:8" x14ac:dyDescent="0.25">
      <c r="A72" s="29" t="str">
        <f t="shared" si="1"/>
        <v/>
      </c>
      <c r="B72" s="33"/>
      <c r="C72" s="33"/>
      <c r="D72" s="33"/>
      <c r="E72" s="33"/>
      <c r="F72" s="33"/>
      <c r="G72" s="33"/>
      <c r="H72" s="33"/>
    </row>
    <row r="73" spans="1:8" x14ac:dyDescent="0.25">
      <c r="A73" s="29" t="str">
        <f t="shared" si="1"/>
        <v/>
      </c>
      <c r="B73" s="33"/>
      <c r="C73" s="33"/>
      <c r="D73" s="33"/>
      <c r="E73" s="33"/>
      <c r="F73" s="33"/>
      <c r="G73" s="33"/>
      <c r="H73" s="33"/>
    </row>
    <row r="74" spans="1:8" x14ac:dyDescent="0.25">
      <c r="A74" s="29" t="str">
        <f t="shared" si="1"/>
        <v/>
      </c>
      <c r="B74" s="33"/>
      <c r="C74" s="33"/>
      <c r="D74" s="33"/>
      <c r="E74" s="33"/>
      <c r="F74" s="33"/>
      <c r="G74" s="33"/>
      <c r="H74" s="33"/>
    </row>
    <row r="75" spans="1:8" x14ac:dyDescent="0.25">
      <c r="A75" s="29" t="str">
        <f t="shared" si="1"/>
        <v/>
      </c>
      <c r="B75" s="33"/>
      <c r="C75" s="33"/>
      <c r="D75" s="33"/>
      <c r="E75" s="33"/>
      <c r="F75" s="33"/>
      <c r="G75" s="33"/>
      <c r="H75" s="33"/>
    </row>
    <row r="76" spans="1:8" x14ac:dyDescent="0.25">
      <c r="A76" s="29" t="str">
        <f t="shared" si="1"/>
        <v/>
      </c>
      <c r="B76" s="33"/>
      <c r="C76" s="33"/>
      <c r="D76" s="33"/>
      <c r="E76" s="33"/>
      <c r="F76" s="33"/>
      <c r="G76" s="33"/>
      <c r="H76" s="33"/>
    </row>
    <row r="77" spans="1:8" x14ac:dyDescent="0.25">
      <c r="A77" s="29" t="str">
        <f t="shared" si="1"/>
        <v/>
      </c>
      <c r="B77" s="33"/>
      <c r="C77" s="33"/>
      <c r="D77" s="33"/>
      <c r="E77" s="33"/>
      <c r="F77" s="33"/>
      <c r="G77" s="33"/>
      <c r="H77" s="33"/>
    </row>
    <row r="78" spans="1:8" x14ac:dyDescent="0.25">
      <c r="A78" s="29" t="str">
        <f t="shared" si="1"/>
        <v/>
      </c>
      <c r="B78" s="33"/>
      <c r="C78" s="33"/>
      <c r="D78" s="33"/>
      <c r="E78" s="33"/>
      <c r="F78" s="33"/>
      <c r="G78" s="33"/>
      <c r="H78" s="33"/>
    </row>
    <row r="79" spans="1:8" x14ac:dyDescent="0.25">
      <c r="A79" s="29" t="str">
        <f t="shared" si="1"/>
        <v/>
      </c>
      <c r="B79" s="33"/>
      <c r="C79" s="33"/>
      <c r="D79" s="33"/>
      <c r="E79" s="33"/>
      <c r="F79" s="33"/>
      <c r="G79" s="33"/>
      <c r="H79" s="33"/>
    </row>
    <row r="80" spans="1:8" x14ac:dyDescent="0.25">
      <c r="A80" s="29" t="str">
        <f t="shared" si="1"/>
        <v/>
      </c>
      <c r="B80" s="33"/>
      <c r="C80" s="33"/>
      <c r="D80" s="33"/>
      <c r="E80" s="33"/>
      <c r="F80" s="33"/>
      <c r="G80" s="33"/>
      <c r="H80" s="33"/>
    </row>
    <row r="81" spans="1:8" x14ac:dyDescent="0.25">
      <c r="A81" s="29" t="str">
        <f t="shared" si="1"/>
        <v/>
      </c>
      <c r="B81" s="33"/>
      <c r="C81" s="33"/>
      <c r="D81" s="33"/>
      <c r="E81" s="33"/>
      <c r="F81" s="33"/>
      <c r="G81" s="33"/>
      <c r="H81" s="33"/>
    </row>
    <row r="82" spans="1:8" x14ac:dyDescent="0.25">
      <c r="A82" s="29" t="str">
        <f t="shared" si="1"/>
        <v/>
      </c>
      <c r="B82" s="33"/>
      <c r="C82" s="33"/>
      <c r="D82" s="33"/>
      <c r="E82" s="33"/>
      <c r="F82" s="33"/>
      <c r="G82" s="33"/>
      <c r="H82" s="33"/>
    </row>
    <row r="83" spans="1:8" x14ac:dyDescent="0.25">
      <c r="A83" s="29" t="str">
        <f t="shared" si="1"/>
        <v/>
      </c>
      <c r="B83" s="33"/>
      <c r="C83" s="33"/>
      <c r="D83" s="33"/>
      <c r="E83" s="33"/>
      <c r="F83" s="33"/>
      <c r="G83" s="33"/>
      <c r="H83" s="33"/>
    </row>
    <row r="84" spans="1:8" x14ac:dyDescent="0.25">
      <c r="A84" s="29" t="str">
        <f t="shared" si="1"/>
        <v/>
      </c>
      <c r="B84" s="33"/>
      <c r="C84" s="33"/>
      <c r="D84" s="33"/>
      <c r="E84" s="33"/>
      <c r="F84" s="33"/>
      <c r="G84" s="33"/>
      <c r="H84" s="33"/>
    </row>
    <row r="85" spans="1:8" x14ac:dyDescent="0.25">
      <c r="A85" s="29" t="str">
        <f t="shared" si="1"/>
        <v/>
      </c>
      <c r="B85" s="33"/>
      <c r="C85" s="33"/>
      <c r="D85" s="33"/>
      <c r="E85" s="33"/>
      <c r="F85" s="33"/>
      <c r="G85" s="33"/>
      <c r="H85" s="33"/>
    </row>
    <row r="86" spans="1:8" x14ac:dyDescent="0.25">
      <c r="A86" s="29" t="str">
        <f t="shared" si="1"/>
        <v/>
      </c>
      <c r="B86" s="33"/>
      <c r="C86" s="33"/>
      <c r="D86" s="33"/>
      <c r="E86" s="33"/>
      <c r="F86" s="33"/>
      <c r="G86" s="33"/>
      <c r="H86" s="33"/>
    </row>
    <row r="87" spans="1:8" x14ac:dyDescent="0.25">
      <c r="A87" s="29" t="str">
        <f t="shared" si="1"/>
        <v/>
      </c>
      <c r="B87" s="33"/>
      <c r="C87" s="33"/>
      <c r="D87" s="33"/>
      <c r="E87" s="33"/>
      <c r="F87" s="33"/>
      <c r="G87" s="33"/>
      <c r="H87" s="33"/>
    </row>
    <row r="88" spans="1:8" x14ac:dyDescent="0.25">
      <c r="A88" s="29" t="str">
        <f t="shared" si="1"/>
        <v/>
      </c>
      <c r="B88" s="33"/>
      <c r="C88" s="33"/>
      <c r="D88" s="33"/>
      <c r="E88" s="33"/>
      <c r="F88" s="33"/>
      <c r="G88" s="33"/>
      <c r="H88" s="33"/>
    </row>
    <row r="89" spans="1:8" x14ac:dyDescent="0.25">
      <c r="A89" s="29" t="str">
        <f t="shared" si="1"/>
        <v/>
      </c>
      <c r="B89" s="33"/>
      <c r="C89" s="33"/>
      <c r="D89" s="33"/>
      <c r="E89" s="33"/>
      <c r="F89" s="33"/>
      <c r="G89" s="33"/>
      <c r="H89" s="33"/>
    </row>
    <row r="90" spans="1:8" x14ac:dyDescent="0.25">
      <c r="A90" s="29" t="str">
        <f t="shared" si="1"/>
        <v/>
      </c>
      <c r="B90" s="33"/>
      <c r="C90" s="33"/>
      <c r="D90" s="33"/>
      <c r="E90" s="33"/>
      <c r="F90" s="33"/>
      <c r="G90" s="33"/>
      <c r="H90" s="33"/>
    </row>
    <row r="91" spans="1:8" x14ac:dyDescent="0.25">
      <c r="A91" s="29" t="str">
        <f t="shared" si="1"/>
        <v/>
      </c>
      <c r="B91" s="33"/>
      <c r="C91" s="33"/>
      <c r="D91" s="33"/>
      <c r="E91" s="33"/>
      <c r="F91" s="33"/>
      <c r="G91" s="33"/>
      <c r="H91" s="33"/>
    </row>
    <row r="92" spans="1:8" x14ac:dyDescent="0.25">
      <c r="A92" s="29" t="str">
        <f t="shared" si="1"/>
        <v/>
      </c>
      <c r="B92" s="33"/>
      <c r="C92" s="33"/>
      <c r="D92" s="33"/>
      <c r="E92" s="33"/>
      <c r="F92" s="33"/>
      <c r="G92" s="33"/>
      <c r="H92" s="33"/>
    </row>
    <row r="93" spans="1:8" x14ac:dyDescent="0.25">
      <c r="A93" s="29" t="str">
        <f t="shared" si="1"/>
        <v/>
      </c>
      <c r="B93" s="33"/>
      <c r="C93" s="33"/>
      <c r="D93" s="33"/>
      <c r="E93" s="33"/>
      <c r="F93" s="33"/>
      <c r="G93" s="33"/>
      <c r="H93" s="33"/>
    </row>
    <row r="94" spans="1:8" x14ac:dyDescent="0.25">
      <c r="A94" s="29" t="str">
        <f t="shared" si="1"/>
        <v/>
      </c>
      <c r="B94" s="33"/>
      <c r="C94" s="33"/>
      <c r="D94" s="33"/>
      <c r="E94" s="33"/>
      <c r="F94" s="33"/>
      <c r="G94" s="33"/>
      <c r="H94" s="33"/>
    </row>
    <row r="95" spans="1:8" x14ac:dyDescent="0.25">
      <c r="A95" s="29" t="str">
        <f t="shared" si="1"/>
        <v/>
      </c>
      <c r="B95" s="33"/>
      <c r="C95" s="33"/>
      <c r="D95" s="33"/>
      <c r="E95" s="33"/>
      <c r="F95" s="33"/>
      <c r="G95" s="33"/>
      <c r="H95" s="33"/>
    </row>
    <row r="96" spans="1:8" x14ac:dyDescent="0.25">
      <c r="A96" s="29" t="str">
        <f t="shared" si="1"/>
        <v/>
      </c>
      <c r="B96" s="33"/>
      <c r="C96" s="33"/>
      <c r="D96" s="33"/>
      <c r="E96" s="33"/>
      <c r="F96" s="33"/>
      <c r="G96" s="33"/>
      <c r="H96" s="33"/>
    </row>
    <row r="97" spans="1:8" x14ac:dyDescent="0.25">
      <c r="A97" s="29" t="str">
        <f t="shared" si="1"/>
        <v/>
      </c>
      <c r="B97" s="33"/>
      <c r="C97" s="33"/>
      <c r="D97" s="33"/>
      <c r="E97" s="33"/>
      <c r="F97" s="33"/>
      <c r="G97" s="33"/>
      <c r="H97" s="33"/>
    </row>
    <row r="98" spans="1:8" x14ac:dyDescent="0.25">
      <c r="A98" s="29" t="str">
        <f t="shared" si="1"/>
        <v/>
      </c>
      <c r="B98" s="33"/>
      <c r="C98" s="33"/>
      <c r="D98" s="33"/>
      <c r="E98" s="33"/>
      <c r="F98" s="33"/>
      <c r="G98" s="33"/>
      <c r="H98" s="33"/>
    </row>
    <row r="99" spans="1:8" x14ac:dyDescent="0.25">
      <c r="A99" s="29" t="str">
        <f t="shared" si="1"/>
        <v/>
      </c>
      <c r="B99" s="33"/>
      <c r="C99" s="33"/>
      <c r="D99" s="33"/>
      <c r="E99" s="33"/>
      <c r="F99" s="33"/>
      <c r="G99" s="33"/>
      <c r="H99" s="33"/>
    </row>
    <row r="100" spans="1:8" x14ac:dyDescent="0.25">
      <c r="A100" s="29" t="str">
        <f t="shared" si="1"/>
        <v/>
      </c>
      <c r="B100" s="33"/>
      <c r="C100" s="33"/>
      <c r="D100" s="33"/>
      <c r="E100" s="33"/>
      <c r="F100" s="33"/>
      <c r="G100" s="33"/>
      <c r="H100" s="33"/>
    </row>
    <row r="101" spans="1:8" x14ac:dyDescent="0.25">
      <c r="A101" s="29" t="str">
        <f t="shared" si="1"/>
        <v/>
      </c>
      <c r="B101" s="33"/>
      <c r="C101" s="33"/>
      <c r="D101" s="33"/>
      <c r="E101" s="33"/>
      <c r="F101" s="33"/>
      <c r="G101" s="33"/>
      <c r="H101" s="33"/>
    </row>
    <row r="102" spans="1:8" x14ac:dyDescent="0.25">
      <c r="A102" s="29" t="str">
        <f t="shared" si="1"/>
        <v/>
      </c>
      <c r="B102" s="33"/>
      <c r="C102" s="33"/>
      <c r="D102" s="33"/>
      <c r="E102" s="33"/>
      <c r="F102" s="33"/>
      <c r="G102" s="33"/>
      <c r="H102" s="33"/>
    </row>
    <row r="103" spans="1:8" x14ac:dyDescent="0.25">
      <c r="A103" s="29" t="str">
        <f t="shared" si="1"/>
        <v/>
      </c>
      <c r="B103" s="33"/>
      <c r="C103" s="33"/>
      <c r="D103" s="33"/>
      <c r="E103" s="33"/>
      <c r="F103" s="33"/>
      <c r="G103" s="33"/>
      <c r="H103" s="33"/>
    </row>
    <row r="104" spans="1:8" x14ac:dyDescent="0.25">
      <c r="A104" s="29" t="str">
        <f t="shared" si="1"/>
        <v/>
      </c>
      <c r="B104" s="33"/>
      <c r="C104" s="33"/>
      <c r="D104" s="33"/>
      <c r="E104" s="33"/>
      <c r="F104" s="33"/>
      <c r="G104" s="33"/>
      <c r="H104" s="33"/>
    </row>
    <row r="105" spans="1:8" x14ac:dyDescent="0.25">
      <c r="A105" s="29" t="str">
        <f t="shared" si="1"/>
        <v/>
      </c>
      <c r="B105" s="33"/>
      <c r="C105" s="33"/>
      <c r="D105" s="33"/>
      <c r="E105" s="33"/>
      <c r="F105" s="33"/>
      <c r="G105" s="33"/>
      <c r="H105" s="33"/>
    </row>
    <row r="106" spans="1:8" x14ac:dyDescent="0.25">
      <c r="A106" s="29" t="str">
        <f t="shared" si="1"/>
        <v/>
      </c>
      <c r="B106" s="33"/>
      <c r="C106" s="33"/>
      <c r="D106" s="33"/>
      <c r="E106" s="33"/>
      <c r="F106" s="33"/>
      <c r="G106" s="33"/>
      <c r="H106" s="33"/>
    </row>
    <row r="107" spans="1:8" x14ac:dyDescent="0.25">
      <c r="A107" s="29" t="str">
        <f t="shared" si="1"/>
        <v/>
      </c>
      <c r="B107" s="33"/>
      <c r="C107" s="33"/>
      <c r="D107" s="33"/>
      <c r="E107" s="33"/>
      <c r="F107" s="33"/>
      <c r="G107" s="33"/>
      <c r="H107" s="33"/>
    </row>
    <row r="108" spans="1:8" x14ac:dyDescent="0.25">
      <c r="A108" s="29" t="str">
        <f t="shared" si="1"/>
        <v/>
      </c>
      <c r="B108" s="33"/>
      <c r="C108" s="33"/>
      <c r="D108" s="33"/>
      <c r="E108" s="33"/>
      <c r="F108" s="33"/>
      <c r="G108" s="33"/>
      <c r="H108" s="33"/>
    </row>
    <row r="109" spans="1:8" x14ac:dyDescent="0.25">
      <c r="A109" s="29" t="str">
        <f t="shared" si="1"/>
        <v/>
      </c>
      <c r="B109" s="33"/>
      <c r="C109" s="33"/>
      <c r="D109" s="33"/>
      <c r="E109" s="33"/>
      <c r="F109" s="33"/>
      <c r="G109" s="33"/>
      <c r="H109" s="33"/>
    </row>
    <row r="110" spans="1:8" x14ac:dyDescent="0.25">
      <c r="A110" s="29" t="str">
        <f t="shared" si="1"/>
        <v/>
      </c>
      <c r="B110" s="33"/>
      <c r="C110" s="33"/>
      <c r="D110" s="33"/>
      <c r="E110" s="33"/>
      <c r="F110" s="33"/>
      <c r="G110" s="33"/>
      <c r="H110" s="33"/>
    </row>
    <row r="111" spans="1:8" x14ac:dyDescent="0.25">
      <c r="A111" s="29" t="str">
        <f t="shared" si="1"/>
        <v/>
      </c>
      <c r="B111" s="33"/>
      <c r="C111" s="33"/>
      <c r="D111" s="33"/>
      <c r="E111" s="33"/>
      <c r="F111" s="33"/>
      <c r="G111" s="33"/>
      <c r="H111" s="33"/>
    </row>
    <row r="112" spans="1:8" x14ac:dyDescent="0.25">
      <c r="A112" s="29" t="str">
        <f t="shared" si="1"/>
        <v/>
      </c>
      <c r="B112" s="33"/>
      <c r="C112" s="33"/>
      <c r="D112" s="33"/>
      <c r="E112" s="33"/>
      <c r="F112" s="33"/>
      <c r="G112" s="33"/>
      <c r="H112" s="33"/>
    </row>
    <row r="113" spans="1:8" x14ac:dyDescent="0.25">
      <c r="A113" s="29" t="str">
        <f t="shared" si="1"/>
        <v/>
      </c>
      <c r="B113" s="33"/>
      <c r="C113" s="33"/>
      <c r="D113" s="33"/>
      <c r="E113" s="33"/>
      <c r="F113" s="33"/>
      <c r="G113" s="33"/>
      <c r="H113" s="33"/>
    </row>
    <row r="114" spans="1:8" x14ac:dyDescent="0.25">
      <c r="A114" s="29" t="str">
        <f t="shared" si="1"/>
        <v/>
      </c>
      <c r="B114" s="33"/>
      <c r="C114" s="33"/>
      <c r="D114" s="33"/>
      <c r="E114" s="33"/>
      <c r="F114" s="33"/>
      <c r="G114" s="33"/>
      <c r="H114" s="33"/>
    </row>
    <row r="115" spans="1:8" x14ac:dyDescent="0.25">
      <c r="A115" s="29" t="str">
        <f t="shared" si="1"/>
        <v/>
      </c>
      <c r="B115" s="33"/>
      <c r="C115" s="33"/>
      <c r="D115" s="33"/>
      <c r="E115" s="33"/>
      <c r="F115" s="33"/>
      <c r="G115" s="33"/>
      <c r="H115" s="33"/>
    </row>
    <row r="116" spans="1:8" x14ac:dyDescent="0.25">
      <c r="A116" s="29" t="str">
        <f t="shared" si="1"/>
        <v/>
      </c>
      <c r="B116" s="33"/>
      <c r="C116" s="33"/>
      <c r="D116" s="33"/>
      <c r="E116" s="33"/>
      <c r="F116" s="33"/>
      <c r="G116" s="33"/>
      <c r="H116" s="33"/>
    </row>
    <row r="117" spans="1:8" x14ac:dyDescent="0.25">
      <c r="A117" s="29" t="str">
        <f t="shared" si="1"/>
        <v/>
      </c>
      <c r="B117" s="33"/>
      <c r="C117" s="33"/>
      <c r="D117" s="33"/>
      <c r="E117" s="33"/>
      <c r="F117" s="33"/>
      <c r="G117" s="33"/>
      <c r="H117" s="33"/>
    </row>
    <row r="118" spans="1:8" x14ac:dyDescent="0.25">
      <c r="A118" s="29" t="str">
        <f t="shared" si="1"/>
        <v/>
      </c>
      <c r="B118" s="33"/>
      <c r="C118" s="33"/>
      <c r="D118" s="33"/>
      <c r="E118" s="33"/>
      <c r="F118" s="33"/>
      <c r="G118" s="33"/>
      <c r="H118" s="33"/>
    </row>
    <row r="119" spans="1:8" x14ac:dyDescent="0.25">
      <c r="A119" s="29" t="str">
        <f t="shared" si="1"/>
        <v/>
      </c>
      <c r="B119" s="33"/>
      <c r="C119" s="33"/>
      <c r="D119" s="33"/>
      <c r="E119" s="33"/>
      <c r="F119" s="33"/>
      <c r="G119" s="33"/>
      <c r="H119" s="33"/>
    </row>
    <row r="120" spans="1:8" x14ac:dyDescent="0.25">
      <c r="A120" s="29" t="str">
        <f t="shared" si="1"/>
        <v/>
      </c>
      <c r="B120" s="33"/>
      <c r="C120" s="33"/>
      <c r="D120" s="33"/>
      <c r="E120" s="33"/>
      <c r="F120" s="33"/>
      <c r="G120" s="33"/>
      <c r="H120" s="33"/>
    </row>
    <row r="121" spans="1:8" x14ac:dyDescent="0.25">
      <c r="A121" s="29" t="str">
        <f t="shared" si="1"/>
        <v/>
      </c>
      <c r="B121" s="33"/>
      <c r="C121" s="33"/>
      <c r="D121" s="33"/>
      <c r="E121" s="33"/>
      <c r="F121" s="33"/>
      <c r="G121" s="33"/>
      <c r="H121" s="33"/>
    </row>
    <row r="122" spans="1:8" x14ac:dyDescent="0.25">
      <c r="A122" s="29" t="str">
        <f t="shared" si="1"/>
        <v/>
      </c>
      <c r="B122" s="33"/>
      <c r="C122" s="33"/>
      <c r="D122" s="33"/>
      <c r="E122" s="33"/>
      <c r="F122" s="33"/>
      <c r="G122" s="33"/>
      <c r="H122" s="33"/>
    </row>
    <row r="123" spans="1:8" x14ac:dyDescent="0.25">
      <c r="A123" s="29" t="str">
        <f t="shared" si="1"/>
        <v/>
      </c>
      <c r="B123" s="33"/>
      <c r="C123" s="33"/>
      <c r="D123" s="33"/>
      <c r="E123" s="33"/>
      <c r="F123" s="33"/>
      <c r="G123" s="33"/>
      <c r="H123" s="33"/>
    </row>
    <row r="124" spans="1:8" x14ac:dyDescent="0.25">
      <c r="A124" s="29" t="str">
        <f t="shared" si="1"/>
        <v/>
      </c>
      <c r="B124" s="33"/>
      <c r="C124" s="33"/>
      <c r="D124" s="33"/>
      <c r="E124" s="33"/>
      <c r="F124" s="33"/>
      <c r="G124" s="33"/>
      <c r="H124" s="33"/>
    </row>
    <row r="125" spans="1:8" x14ac:dyDescent="0.25">
      <c r="A125" s="29" t="str">
        <f t="shared" si="1"/>
        <v/>
      </c>
      <c r="B125" s="33"/>
      <c r="C125" s="33"/>
      <c r="D125" s="33"/>
      <c r="E125" s="33"/>
      <c r="F125" s="33"/>
      <c r="G125" s="33"/>
      <c r="H125" s="33"/>
    </row>
    <row r="126" spans="1:8" x14ac:dyDescent="0.25">
      <c r="A126" s="29" t="str">
        <f t="shared" si="1"/>
        <v/>
      </c>
      <c r="B126" s="33"/>
      <c r="C126" s="33"/>
      <c r="D126" s="33"/>
      <c r="E126" s="33"/>
      <c r="F126" s="33"/>
      <c r="G126" s="33"/>
      <c r="H126" s="33"/>
    </row>
    <row r="127" spans="1:8" x14ac:dyDescent="0.25">
      <c r="A127" s="29" t="str">
        <f t="shared" si="1"/>
        <v/>
      </c>
      <c r="B127" s="33"/>
      <c r="C127" s="33"/>
      <c r="D127" s="33"/>
      <c r="E127" s="33"/>
      <c r="F127" s="33"/>
      <c r="G127" s="33"/>
      <c r="H127" s="33"/>
    </row>
    <row r="128" spans="1:8" x14ac:dyDescent="0.25">
      <c r="A128" s="29" t="str">
        <f t="shared" si="1"/>
        <v/>
      </c>
      <c r="B128" s="33"/>
      <c r="C128" s="33"/>
      <c r="D128" s="33"/>
      <c r="E128" s="33"/>
      <c r="F128" s="33"/>
      <c r="G128" s="33"/>
      <c r="H128" s="33"/>
    </row>
    <row r="129" spans="1:8" x14ac:dyDescent="0.25">
      <c r="A129" s="29" t="str">
        <f t="shared" si="1"/>
        <v/>
      </c>
      <c r="B129" s="33"/>
      <c r="C129" s="33"/>
      <c r="D129" s="33"/>
      <c r="E129" s="33"/>
      <c r="F129" s="33"/>
      <c r="G129" s="33"/>
      <c r="H129" s="33"/>
    </row>
    <row r="130" spans="1:8" x14ac:dyDescent="0.25">
      <c r="A130" s="29" t="str">
        <f t="shared" ref="A130:A193" si="2">_xlfn.CONCAT(B130,C130)</f>
        <v/>
      </c>
      <c r="B130" s="33"/>
      <c r="C130" s="33"/>
      <c r="D130" s="33"/>
      <c r="E130" s="33"/>
      <c r="F130" s="33"/>
      <c r="G130" s="33"/>
      <c r="H130" s="33"/>
    </row>
    <row r="131" spans="1:8" x14ac:dyDescent="0.25">
      <c r="A131" s="29" t="str">
        <f t="shared" si="2"/>
        <v/>
      </c>
      <c r="B131" s="33"/>
      <c r="C131" s="33"/>
      <c r="D131" s="33"/>
      <c r="E131" s="33"/>
      <c r="F131" s="33"/>
      <c r="G131" s="33"/>
      <c r="H131" s="33"/>
    </row>
    <row r="132" spans="1:8" x14ac:dyDescent="0.25">
      <c r="A132" s="29" t="str">
        <f t="shared" si="2"/>
        <v/>
      </c>
      <c r="B132" s="33"/>
      <c r="C132" s="33"/>
      <c r="D132" s="33"/>
      <c r="E132" s="33"/>
      <c r="F132" s="33"/>
      <c r="G132" s="33"/>
      <c r="H132" s="33"/>
    </row>
    <row r="133" spans="1:8" x14ac:dyDescent="0.25">
      <c r="A133" s="29" t="str">
        <f t="shared" si="2"/>
        <v/>
      </c>
      <c r="B133" s="33"/>
      <c r="C133" s="33"/>
      <c r="D133" s="33"/>
      <c r="E133" s="33"/>
      <c r="F133" s="33"/>
      <c r="G133" s="33"/>
      <c r="H133" s="33"/>
    </row>
    <row r="134" spans="1:8" x14ac:dyDescent="0.25">
      <c r="A134" s="29" t="str">
        <f t="shared" si="2"/>
        <v/>
      </c>
      <c r="B134" s="33"/>
      <c r="C134" s="33"/>
      <c r="D134" s="33"/>
      <c r="E134" s="33"/>
      <c r="F134" s="33"/>
      <c r="G134" s="33"/>
      <c r="H134" s="33"/>
    </row>
    <row r="135" spans="1:8" x14ac:dyDescent="0.25">
      <c r="A135" s="29" t="str">
        <f t="shared" si="2"/>
        <v/>
      </c>
      <c r="B135" s="33"/>
      <c r="C135" s="33"/>
      <c r="D135" s="33"/>
      <c r="E135" s="33"/>
      <c r="F135" s="33"/>
      <c r="G135" s="33"/>
      <c r="H135" s="33"/>
    </row>
    <row r="136" spans="1:8" x14ac:dyDescent="0.25">
      <c r="A136" s="29" t="str">
        <f t="shared" si="2"/>
        <v/>
      </c>
      <c r="B136" s="33"/>
      <c r="C136" s="33"/>
      <c r="D136" s="33"/>
      <c r="E136" s="33"/>
      <c r="F136" s="33"/>
      <c r="G136" s="33"/>
      <c r="H136" s="33"/>
    </row>
    <row r="137" spans="1:8" x14ac:dyDescent="0.25">
      <c r="A137" s="29" t="str">
        <f t="shared" si="2"/>
        <v/>
      </c>
      <c r="B137" s="33"/>
      <c r="C137" s="33"/>
      <c r="D137" s="33"/>
      <c r="E137" s="33"/>
      <c r="F137" s="33"/>
      <c r="G137" s="33"/>
      <c r="H137" s="33"/>
    </row>
    <row r="138" spans="1:8" x14ac:dyDescent="0.25">
      <c r="A138" s="29" t="str">
        <f t="shared" si="2"/>
        <v/>
      </c>
      <c r="B138" s="33"/>
      <c r="C138" s="33"/>
      <c r="D138" s="33"/>
      <c r="E138" s="33"/>
      <c r="F138" s="33"/>
      <c r="G138" s="33"/>
      <c r="H138" s="33"/>
    </row>
    <row r="139" spans="1:8" x14ac:dyDescent="0.25">
      <c r="A139" s="29" t="str">
        <f t="shared" si="2"/>
        <v/>
      </c>
      <c r="B139" s="33"/>
      <c r="C139" s="33"/>
      <c r="D139" s="33"/>
      <c r="E139" s="33"/>
      <c r="F139" s="33"/>
      <c r="G139" s="33"/>
      <c r="H139" s="33"/>
    </row>
    <row r="140" spans="1:8" x14ac:dyDescent="0.25">
      <c r="A140" s="29" t="str">
        <f t="shared" si="2"/>
        <v/>
      </c>
      <c r="B140" s="33"/>
      <c r="C140" s="33"/>
      <c r="D140" s="33"/>
      <c r="E140" s="33"/>
      <c r="F140" s="33"/>
      <c r="G140" s="33"/>
      <c r="H140" s="33"/>
    </row>
    <row r="141" spans="1:8" x14ac:dyDescent="0.25">
      <c r="A141" s="29" t="str">
        <f t="shared" si="2"/>
        <v/>
      </c>
      <c r="B141" s="33"/>
      <c r="C141" s="33"/>
      <c r="D141" s="33"/>
      <c r="E141" s="33"/>
      <c r="F141" s="33"/>
      <c r="G141" s="33"/>
      <c r="H141" s="33"/>
    </row>
    <row r="142" spans="1:8" x14ac:dyDescent="0.25">
      <c r="A142" s="29" t="str">
        <f t="shared" si="2"/>
        <v/>
      </c>
      <c r="B142" s="33"/>
      <c r="C142" s="33"/>
      <c r="D142" s="33"/>
      <c r="E142" s="33"/>
      <c r="F142" s="33"/>
      <c r="G142" s="33"/>
      <c r="H142" s="33"/>
    </row>
    <row r="143" spans="1:8" x14ac:dyDescent="0.25">
      <c r="A143" s="29" t="str">
        <f t="shared" si="2"/>
        <v/>
      </c>
      <c r="B143" s="33"/>
      <c r="C143" s="33"/>
      <c r="D143" s="33"/>
      <c r="E143" s="33"/>
      <c r="F143" s="33"/>
      <c r="G143" s="33"/>
      <c r="H143" s="33"/>
    </row>
    <row r="144" spans="1:8" x14ac:dyDescent="0.25">
      <c r="A144" s="29" t="str">
        <f t="shared" si="2"/>
        <v/>
      </c>
      <c r="B144" s="33"/>
      <c r="C144" s="33"/>
      <c r="D144" s="33"/>
      <c r="E144" s="33"/>
      <c r="F144" s="33"/>
      <c r="G144" s="33"/>
      <c r="H144" s="33"/>
    </row>
    <row r="145" spans="1:8" x14ac:dyDescent="0.25">
      <c r="A145" s="29" t="str">
        <f t="shared" si="2"/>
        <v/>
      </c>
      <c r="B145" s="33"/>
      <c r="C145" s="33"/>
      <c r="D145" s="33"/>
      <c r="E145" s="33"/>
      <c r="F145" s="33"/>
      <c r="G145" s="33"/>
      <c r="H145" s="33"/>
    </row>
    <row r="146" spans="1:8" x14ac:dyDescent="0.25">
      <c r="A146" s="29" t="str">
        <f t="shared" si="2"/>
        <v/>
      </c>
      <c r="B146" s="33"/>
      <c r="C146" s="33"/>
      <c r="D146" s="33"/>
      <c r="E146" s="33"/>
      <c r="F146" s="33"/>
      <c r="G146" s="33"/>
      <c r="H146" s="33"/>
    </row>
    <row r="147" spans="1:8" x14ac:dyDescent="0.25">
      <c r="A147" s="29" t="str">
        <f t="shared" si="2"/>
        <v/>
      </c>
      <c r="B147" s="33"/>
      <c r="C147" s="33"/>
      <c r="D147" s="33"/>
      <c r="E147" s="33"/>
      <c r="F147" s="33"/>
      <c r="G147" s="33"/>
      <c r="H147" s="33"/>
    </row>
    <row r="148" spans="1:8" x14ac:dyDescent="0.25">
      <c r="A148" s="29" t="str">
        <f t="shared" si="2"/>
        <v/>
      </c>
      <c r="B148" s="33"/>
      <c r="C148" s="33"/>
      <c r="D148" s="33"/>
      <c r="E148" s="33"/>
      <c r="F148" s="33"/>
      <c r="G148" s="33"/>
      <c r="H148" s="33"/>
    </row>
    <row r="149" spans="1:8" x14ac:dyDescent="0.25">
      <c r="A149" s="29" t="str">
        <f t="shared" si="2"/>
        <v/>
      </c>
      <c r="B149" s="33"/>
      <c r="C149" s="33"/>
      <c r="D149" s="33"/>
      <c r="E149" s="33"/>
      <c r="F149" s="33"/>
      <c r="G149" s="33"/>
      <c r="H149" s="33"/>
    </row>
    <row r="150" spans="1:8" x14ac:dyDescent="0.25">
      <c r="A150" s="29" t="str">
        <f t="shared" si="2"/>
        <v/>
      </c>
      <c r="B150" s="33"/>
      <c r="C150" s="33"/>
      <c r="D150" s="33"/>
      <c r="E150" s="33"/>
      <c r="F150" s="33"/>
      <c r="G150" s="33"/>
      <c r="H150" s="33"/>
    </row>
    <row r="151" spans="1:8" x14ac:dyDescent="0.25">
      <c r="A151" s="29" t="str">
        <f t="shared" si="2"/>
        <v/>
      </c>
      <c r="B151" s="33"/>
      <c r="C151" s="33"/>
      <c r="D151" s="33"/>
      <c r="E151" s="33"/>
      <c r="F151" s="33"/>
      <c r="G151" s="33"/>
      <c r="H151" s="33"/>
    </row>
    <row r="152" spans="1:8" x14ac:dyDescent="0.25">
      <c r="A152" s="29" t="str">
        <f t="shared" si="2"/>
        <v/>
      </c>
      <c r="B152" s="33"/>
      <c r="C152" s="33"/>
      <c r="D152" s="33"/>
      <c r="E152" s="33"/>
      <c r="F152" s="33"/>
      <c r="G152" s="33"/>
      <c r="H152" s="33"/>
    </row>
    <row r="153" spans="1:8" x14ac:dyDescent="0.25">
      <c r="A153" s="29" t="str">
        <f t="shared" si="2"/>
        <v/>
      </c>
      <c r="B153" s="33"/>
      <c r="C153" s="33"/>
      <c r="D153" s="33"/>
      <c r="E153" s="33"/>
      <c r="F153" s="33"/>
      <c r="G153" s="33"/>
      <c r="H153" s="33"/>
    </row>
    <row r="154" spans="1:8" x14ac:dyDescent="0.25">
      <c r="A154" s="29" t="str">
        <f t="shared" si="2"/>
        <v/>
      </c>
      <c r="B154" s="33"/>
      <c r="C154" s="33"/>
      <c r="D154" s="33"/>
      <c r="E154" s="33"/>
      <c r="F154" s="33"/>
      <c r="G154" s="33"/>
      <c r="H154" s="33"/>
    </row>
    <row r="155" spans="1:8" x14ac:dyDescent="0.25">
      <c r="A155" s="29" t="str">
        <f t="shared" si="2"/>
        <v/>
      </c>
      <c r="B155" s="33"/>
      <c r="C155" s="33"/>
      <c r="D155" s="33"/>
      <c r="E155" s="33"/>
      <c r="F155" s="33"/>
      <c r="G155" s="33"/>
      <c r="H155" s="33"/>
    </row>
    <row r="156" spans="1:8" x14ac:dyDescent="0.25">
      <c r="A156" s="29" t="str">
        <f t="shared" si="2"/>
        <v/>
      </c>
      <c r="B156" s="33"/>
      <c r="C156" s="33"/>
      <c r="D156" s="33"/>
      <c r="E156" s="33"/>
      <c r="F156" s="33"/>
      <c r="G156" s="33"/>
      <c r="H156" s="33"/>
    </row>
    <row r="157" spans="1:8" x14ac:dyDescent="0.25">
      <c r="A157" s="29" t="str">
        <f t="shared" si="2"/>
        <v/>
      </c>
      <c r="B157" s="33"/>
      <c r="C157" s="33"/>
      <c r="D157" s="33"/>
      <c r="E157" s="33"/>
      <c r="F157" s="33"/>
      <c r="G157" s="33"/>
      <c r="H157" s="33"/>
    </row>
    <row r="158" spans="1:8" x14ac:dyDescent="0.25">
      <c r="A158" s="29" t="str">
        <f t="shared" si="2"/>
        <v/>
      </c>
      <c r="B158" s="33"/>
      <c r="C158" s="33"/>
      <c r="D158" s="33"/>
      <c r="E158" s="33"/>
      <c r="F158" s="33"/>
      <c r="G158" s="33"/>
      <c r="H158" s="33"/>
    </row>
    <row r="159" spans="1:8" x14ac:dyDescent="0.25">
      <c r="A159" s="29" t="str">
        <f t="shared" si="2"/>
        <v/>
      </c>
      <c r="B159" s="33"/>
      <c r="C159" s="33"/>
      <c r="D159" s="33"/>
      <c r="E159" s="33"/>
      <c r="F159" s="33"/>
      <c r="G159" s="33"/>
      <c r="H159" s="33"/>
    </row>
    <row r="160" spans="1:8" x14ac:dyDescent="0.25">
      <c r="A160" s="29" t="str">
        <f t="shared" si="2"/>
        <v/>
      </c>
      <c r="B160" s="33"/>
      <c r="C160" s="33"/>
      <c r="D160" s="33"/>
      <c r="E160" s="33"/>
      <c r="F160" s="33"/>
      <c r="G160" s="33"/>
      <c r="H160" s="33"/>
    </row>
    <row r="161" spans="1:8" x14ac:dyDescent="0.25">
      <c r="A161" s="29" t="str">
        <f t="shared" si="2"/>
        <v/>
      </c>
      <c r="B161" s="33"/>
      <c r="C161" s="33"/>
      <c r="D161" s="33"/>
      <c r="E161" s="33"/>
      <c r="F161" s="33"/>
      <c r="G161" s="33"/>
      <c r="H161" s="33"/>
    </row>
    <row r="162" spans="1:8" x14ac:dyDescent="0.25">
      <c r="A162" s="29" t="str">
        <f t="shared" si="2"/>
        <v/>
      </c>
      <c r="B162" s="33"/>
      <c r="C162" s="33"/>
      <c r="D162" s="33"/>
      <c r="E162" s="33"/>
      <c r="F162" s="33"/>
      <c r="G162" s="33"/>
      <c r="H162" s="33"/>
    </row>
    <row r="163" spans="1:8" x14ac:dyDescent="0.25">
      <c r="A163" s="29" t="str">
        <f t="shared" si="2"/>
        <v/>
      </c>
      <c r="B163" s="33"/>
      <c r="C163" s="33"/>
      <c r="D163" s="33"/>
      <c r="E163" s="33"/>
      <c r="F163" s="33"/>
      <c r="G163" s="33"/>
      <c r="H163" s="33"/>
    </row>
    <row r="164" spans="1:8" x14ac:dyDescent="0.25">
      <c r="A164" s="29" t="str">
        <f t="shared" si="2"/>
        <v/>
      </c>
      <c r="B164" s="33"/>
      <c r="C164" s="33"/>
      <c r="D164" s="33"/>
      <c r="E164" s="33"/>
      <c r="F164" s="33"/>
      <c r="G164" s="33"/>
      <c r="H164" s="33"/>
    </row>
    <row r="165" spans="1:8" x14ac:dyDescent="0.25">
      <c r="A165" s="29" t="str">
        <f t="shared" si="2"/>
        <v/>
      </c>
      <c r="B165" s="33"/>
      <c r="C165" s="33"/>
      <c r="D165" s="33"/>
      <c r="E165" s="33"/>
      <c r="F165" s="33"/>
      <c r="G165" s="33"/>
      <c r="H165" s="33"/>
    </row>
    <row r="166" spans="1:8" x14ac:dyDescent="0.25">
      <c r="A166" s="29" t="str">
        <f t="shared" si="2"/>
        <v/>
      </c>
      <c r="B166" s="33"/>
      <c r="C166" s="33"/>
      <c r="D166" s="33"/>
      <c r="E166" s="33"/>
      <c r="F166" s="33"/>
      <c r="G166" s="33"/>
      <c r="H166" s="33"/>
    </row>
    <row r="167" spans="1:8" x14ac:dyDescent="0.25">
      <c r="A167" s="29" t="str">
        <f t="shared" si="2"/>
        <v/>
      </c>
      <c r="B167" s="33"/>
      <c r="C167" s="33"/>
      <c r="D167" s="33"/>
      <c r="E167" s="33"/>
      <c r="F167" s="33"/>
      <c r="G167" s="33"/>
      <c r="H167" s="33"/>
    </row>
    <row r="168" spans="1:8" x14ac:dyDescent="0.25">
      <c r="A168" s="29" t="str">
        <f t="shared" si="2"/>
        <v/>
      </c>
      <c r="B168" s="33"/>
      <c r="C168" s="33"/>
      <c r="D168" s="33"/>
      <c r="E168" s="33"/>
      <c r="F168" s="33"/>
      <c r="G168" s="33"/>
      <c r="H168" s="33"/>
    </row>
    <row r="169" spans="1:8" x14ac:dyDescent="0.25">
      <c r="A169" s="29" t="str">
        <f t="shared" si="2"/>
        <v/>
      </c>
      <c r="B169" s="33"/>
      <c r="C169" s="33"/>
      <c r="D169" s="33"/>
      <c r="E169" s="33"/>
      <c r="F169" s="33"/>
      <c r="G169" s="33"/>
      <c r="H169" s="33"/>
    </row>
    <row r="170" spans="1:8" x14ac:dyDescent="0.25">
      <c r="A170" s="29" t="str">
        <f t="shared" si="2"/>
        <v/>
      </c>
      <c r="B170" s="33"/>
      <c r="C170" s="33"/>
      <c r="D170" s="33"/>
      <c r="E170" s="33"/>
      <c r="F170" s="33"/>
      <c r="G170" s="33"/>
      <c r="H170" s="33"/>
    </row>
    <row r="171" spans="1:8" x14ac:dyDescent="0.25">
      <c r="A171" s="29" t="str">
        <f t="shared" si="2"/>
        <v/>
      </c>
      <c r="B171" s="33"/>
      <c r="C171" s="33"/>
      <c r="D171" s="33"/>
      <c r="E171" s="33"/>
      <c r="F171" s="33"/>
      <c r="G171" s="33"/>
      <c r="H171" s="33"/>
    </row>
    <row r="172" spans="1:8" x14ac:dyDescent="0.25">
      <c r="A172" s="29" t="str">
        <f t="shared" si="2"/>
        <v/>
      </c>
      <c r="B172" s="33"/>
      <c r="C172" s="33"/>
      <c r="D172" s="33"/>
      <c r="E172" s="33"/>
      <c r="F172" s="33"/>
      <c r="G172" s="33"/>
      <c r="H172" s="33"/>
    </row>
    <row r="173" spans="1:8" x14ac:dyDescent="0.25">
      <c r="A173" s="29" t="str">
        <f t="shared" si="2"/>
        <v/>
      </c>
      <c r="B173" s="33"/>
      <c r="C173" s="33"/>
      <c r="D173" s="33"/>
      <c r="E173" s="33"/>
      <c r="F173" s="33"/>
      <c r="G173" s="33"/>
      <c r="H173" s="33"/>
    </row>
    <row r="174" spans="1:8" x14ac:dyDescent="0.25">
      <c r="A174" s="29" t="str">
        <f t="shared" si="2"/>
        <v/>
      </c>
      <c r="B174" s="33"/>
      <c r="C174" s="33"/>
      <c r="D174" s="33"/>
      <c r="E174" s="33"/>
      <c r="F174" s="33"/>
      <c r="G174" s="33"/>
      <c r="H174" s="33"/>
    </row>
    <row r="175" spans="1:8" x14ac:dyDescent="0.25">
      <c r="A175" s="29" t="str">
        <f t="shared" si="2"/>
        <v/>
      </c>
      <c r="B175" s="33"/>
      <c r="C175" s="33"/>
      <c r="D175" s="33"/>
      <c r="E175" s="33"/>
      <c r="F175" s="33"/>
      <c r="G175" s="33"/>
      <c r="H175" s="33"/>
    </row>
    <row r="176" spans="1:8" x14ac:dyDescent="0.25">
      <c r="A176" s="29" t="str">
        <f t="shared" si="2"/>
        <v/>
      </c>
      <c r="B176" s="33"/>
      <c r="C176" s="33"/>
      <c r="D176" s="33"/>
      <c r="E176" s="33"/>
      <c r="F176" s="33"/>
      <c r="G176" s="33"/>
      <c r="H176" s="33"/>
    </row>
    <row r="177" spans="1:8" x14ac:dyDescent="0.25">
      <c r="A177" s="29" t="str">
        <f t="shared" si="2"/>
        <v/>
      </c>
      <c r="B177" s="33"/>
      <c r="C177" s="33"/>
      <c r="D177" s="33"/>
      <c r="E177" s="33"/>
      <c r="F177" s="33"/>
      <c r="G177" s="33"/>
      <c r="H177" s="33"/>
    </row>
    <row r="178" spans="1:8" x14ac:dyDescent="0.25">
      <c r="A178" s="29" t="str">
        <f t="shared" si="2"/>
        <v/>
      </c>
      <c r="B178" s="33"/>
      <c r="C178" s="33"/>
      <c r="D178" s="33"/>
      <c r="E178" s="33"/>
      <c r="F178" s="33"/>
      <c r="G178" s="33"/>
      <c r="H178" s="33"/>
    </row>
    <row r="179" spans="1:8" x14ac:dyDescent="0.25">
      <c r="A179" s="29" t="str">
        <f t="shared" si="2"/>
        <v/>
      </c>
      <c r="B179" s="33"/>
      <c r="C179" s="33"/>
      <c r="D179" s="33"/>
      <c r="E179" s="33"/>
      <c r="F179" s="33"/>
      <c r="G179" s="33"/>
      <c r="H179" s="33"/>
    </row>
    <row r="180" spans="1:8" x14ac:dyDescent="0.25">
      <c r="A180" s="29" t="str">
        <f t="shared" si="2"/>
        <v/>
      </c>
      <c r="B180" s="33"/>
      <c r="C180" s="33"/>
      <c r="D180" s="33"/>
      <c r="E180" s="33"/>
      <c r="F180" s="33"/>
      <c r="G180" s="33"/>
      <c r="H180" s="33"/>
    </row>
    <row r="181" spans="1:8" x14ac:dyDescent="0.25">
      <c r="A181" s="29" t="str">
        <f t="shared" si="2"/>
        <v/>
      </c>
      <c r="B181" s="33"/>
      <c r="C181" s="33"/>
      <c r="D181" s="33"/>
      <c r="E181" s="33"/>
      <c r="F181" s="33"/>
      <c r="G181" s="33"/>
      <c r="H181" s="33"/>
    </row>
    <row r="182" spans="1:8" x14ac:dyDescent="0.25">
      <c r="A182" s="29" t="str">
        <f t="shared" si="2"/>
        <v/>
      </c>
      <c r="B182" s="33"/>
      <c r="C182" s="33"/>
      <c r="D182" s="33"/>
      <c r="E182" s="33"/>
      <c r="F182" s="33"/>
      <c r="G182" s="33"/>
      <c r="H182" s="33"/>
    </row>
    <row r="183" spans="1:8" x14ac:dyDescent="0.25">
      <c r="A183" s="29" t="str">
        <f t="shared" si="2"/>
        <v/>
      </c>
      <c r="B183" s="33"/>
      <c r="C183" s="33"/>
      <c r="D183" s="33"/>
      <c r="E183" s="33"/>
      <c r="F183" s="33"/>
      <c r="G183" s="33"/>
      <c r="H183" s="33"/>
    </row>
    <row r="184" spans="1:8" x14ac:dyDescent="0.25">
      <c r="A184" s="29" t="str">
        <f t="shared" si="2"/>
        <v/>
      </c>
      <c r="B184" s="33"/>
      <c r="C184" s="33"/>
      <c r="D184" s="33"/>
      <c r="E184" s="33"/>
      <c r="F184" s="33"/>
      <c r="G184" s="33"/>
      <c r="H184" s="33"/>
    </row>
    <row r="185" spans="1:8" x14ac:dyDescent="0.25">
      <c r="A185" s="29" t="str">
        <f t="shared" si="2"/>
        <v/>
      </c>
      <c r="B185" s="33"/>
      <c r="C185" s="33"/>
      <c r="D185" s="33"/>
      <c r="E185" s="33"/>
      <c r="F185" s="33"/>
      <c r="G185" s="33"/>
      <c r="H185" s="33"/>
    </row>
    <row r="186" spans="1:8" x14ac:dyDescent="0.25">
      <c r="A186" s="29" t="str">
        <f t="shared" si="2"/>
        <v/>
      </c>
      <c r="B186" s="33"/>
      <c r="C186" s="33"/>
      <c r="D186" s="33"/>
      <c r="E186" s="33"/>
      <c r="F186" s="33"/>
      <c r="G186" s="33"/>
      <c r="H186" s="33"/>
    </row>
    <row r="187" spans="1:8" x14ac:dyDescent="0.25">
      <c r="A187" s="29" t="str">
        <f t="shared" si="2"/>
        <v/>
      </c>
      <c r="B187" s="33"/>
      <c r="C187" s="33"/>
      <c r="D187" s="33"/>
      <c r="E187" s="33"/>
      <c r="F187" s="33"/>
      <c r="G187" s="33"/>
      <c r="H187" s="33"/>
    </row>
    <row r="188" spans="1:8" x14ac:dyDescent="0.25">
      <c r="A188" s="29" t="str">
        <f t="shared" si="2"/>
        <v/>
      </c>
      <c r="B188" s="33"/>
      <c r="C188" s="33"/>
      <c r="D188" s="33"/>
      <c r="E188" s="33"/>
      <c r="F188" s="33"/>
      <c r="G188" s="33"/>
      <c r="H188" s="33"/>
    </row>
    <row r="189" spans="1:8" x14ac:dyDescent="0.25">
      <c r="A189" s="29" t="str">
        <f t="shared" si="2"/>
        <v/>
      </c>
      <c r="B189" s="33"/>
      <c r="C189" s="33"/>
      <c r="D189" s="33"/>
      <c r="E189" s="33"/>
      <c r="F189" s="33"/>
      <c r="G189" s="33"/>
      <c r="H189" s="33"/>
    </row>
    <row r="190" spans="1:8" x14ac:dyDescent="0.25">
      <c r="A190" s="29" t="str">
        <f t="shared" si="2"/>
        <v/>
      </c>
      <c r="B190" s="33"/>
      <c r="C190" s="33"/>
      <c r="D190" s="33"/>
      <c r="E190" s="33"/>
      <c r="F190" s="33"/>
      <c r="G190" s="33"/>
      <c r="H190" s="33"/>
    </row>
    <row r="191" spans="1:8" x14ac:dyDescent="0.25">
      <c r="A191" s="29" t="str">
        <f t="shared" si="2"/>
        <v/>
      </c>
      <c r="B191" s="33"/>
      <c r="C191" s="33"/>
      <c r="D191" s="33"/>
      <c r="E191" s="33"/>
      <c r="F191" s="33"/>
      <c r="G191" s="33"/>
      <c r="H191" s="33"/>
    </row>
    <row r="192" spans="1:8" x14ac:dyDescent="0.25">
      <c r="A192" s="29" t="str">
        <f t="shared" si="2"/>
        <v/>
      </c>
      <c r="B192" s="33"/>
      <c r="C192" s="33"/>
      <c r="D192" s="33"/>
      <c r="E192" s="33"/>
      <c r="F192" s="33"/>
      <c r="G192" s="33"/>
      <c r="H192" s="33"/>
    </row>
    <row r="193" spans="1:8" x14ac:dyDescent="0.25">
      <c r="A193" s="29" t="str">
        <f t="shared" si="2"/>
        <v/>
      </c>
      <c r="B193" s="33"/>
      <c r="C193" s="33"/>
      <c r="D193" s="33"/>
      <c r="E193" s="33"/>
      <c r="F193" s="33"/>
      <c r="G193" s="33"/>
      <c r="H193" s="33"/>
    </row>
    <row r="194" spans="1:8" x14ac:dyDescent="0.25">
      <c r="A194" s="29" t="str">
        <f t="shared" ref="A194:A253" si="3">_xlfn.CONCAT(B194,C194)</f>
        <v/>
      </c>
      <c r="B194" s="33"/>
      <c r="C194" s="33"/>
      <c r="D194" s="33"/>
      <c r="E194" s="33"/>
      <c r="F194" s="33"/>
      <c r="G194" s="33"/>
      <c r="H194" s="33"/>
    </row>
    <row r="195" spans="1:8" x14ac:dyDescent="0.25">
      <c r="A195" s="29" t="str">
        <f t="shared" si="3"/>
        <v/>
      </c>
      <c r="B195" s="33"/>
      <c r="C195" s="33"/>
      <c r="D195" s="33"/>
      <c r="E195" s="33"/>
      <c r="F195" s="33"/>
      <c r="G195" s="33"/>
      <c r="H195" s="33"/>
    </row>
    <row r="196" spans="1:8" x14ac:dyDescent="0.25">
      <c r="A196" s="29" t="str">
        <f t="shared" si="3"/>
        <v/>
      </c>
      <c r="B196" s="33"/>
      <c r="C196" s="33"/>
      <c r="D196" s="33"/>
      <c r="E196" s="33"/>
      <c r="F196" s="33"/>
      <c r="G196" s="33"/>
      <c r="H196" s="33"/>
    </row>
    <row r="197" spans="1:8" x14ac:dyDescent="0.25">
      <c r="A197" s="29" t="str">
        <f t="shared" si="3"/>
        <v/>
      </c>
      <c r="B197" s="33"/>
      <c r="C197" s="33"/>
      <c r="D197" s="33"/>
      <c r="E197" s="33"/>
      <c r="F197" s="33"/>
      <c r="G197" s="33"/>
      <c r="H197" s="33"/>
    </row>
    <row r="198" spans="1:8" x14ac:dyDescent="0.25">
      <c r="A198" s="29" t="str">
        <f t="shared" si="3"/>
        <v/>
      </c>
      <c r="B198" s="33"/>
      <c r="C198" s="33"/>
      <c r="D198" s="33"/>
      <c r="E198" s="33"/>
      <c r="F198" s="33"/>
      <c r="G198" s="33"/>
      <c r="H198" s="33"/>
    </row>
    <row r="199" spans="1:8" x14ac:dyDescent="0.25">
      <c r="A199" s="29" t="str">
        <f t="shared" si="3"/>
        <v/>
      </c>
      <c r="B199" s="33"/>
      <c r="C199" s="33"/>
      <c r="D199" s="33"/>
      <c r="E199" s="33"/>
      <c r="F199" s="33"/>
      <c r="G199" s="33"/>
      <c r="H199" s="33"/>
    </row>
    <row r="200" spans="1:8" x14ac:dyDescent="0.25">
      <c r="A200" s="29" t="str">
        <f t="shared" si="3"/>
        <v/>
      </c>
      <c r="B200" s="33"/>
      <c r="C200" s="33"/>
      <c r="D200" s="33"/>
      <c r="E200" s="33"/>
      <c r="F200" s="33"/>
      <c r="G200" s="33"/>
      <c r="H200" s="33"/>
    </row>
    <row r="201" spans="1:8" x14ac:dyDescent="0.25">
      <c r="A201" s="29" t="str">
        <f t="shared" si="3"/>
        <v/>
      </c>
      <c r="B201" s="33"/>
      <c r="C201" s="33"/>
      <c r="D201" s="33"/>
      <c r="E201" s="33"/>
      <c r="F201" s="33"/>
      <c r="G201" s="33"/>
      <c r="H201" s="33"/>
    </row>
    <row r="202" spans="1:8" x14ac:dyDescent="0.25">
      <c r="A202" s="29" t="str">
        <f t="shared" si="3"/>
        <v/>
      </c>
      <c r="B202" s="33"/>
      <c r="C202" s="33"/>
      <c r="D202" s="33"/>
      <c r="E202" s="33"/>
      <c r="F202" s="33"/>
      <c r="G202" s="33"/>
      <c r="H202" s="33"/>
    </row>
    <row r="203" spans="1:8" x14ac:dyDescent="0.25">
      <c r="A203" s="29" t="str">
        <f t="shared" si="3"/>
        <v/>
      </c>
      <c r="B203" s="33"/>
      <c r="C203" s="33"/>
      <c r="D203" s="33"/>
      <c r="E203" s="33"/>
      <c r="F203" s="33"/>
      <c r="G203" s="33"/>
      <c r="H203" s="33"/>
    </row>
    <row r="204" spans="1:8" x14ac:dyDescent="0.25">
      <c r="A204" s="29" t="str">
        <f t="shared" si="3"/>
        <v/>
      </c>
      <c r="B204" s="33"/>
      <c r="C204" s="33"/>
      <c r="D204" s="33"/>
      <c r="E204" s="33"/>
      <c r="F204" s="33"/>
      <c r="G204" s="33"/>
      <c r="H204" s="33"/>
    </row>
    <row r="205" spans="1:8" x14ac:dyDescent="0.25">
      <c r="A205" s="29" t="str">
        <f t="shared" si="3"/>
        <v/>
      </c>
      <c r="B205" s="33"/>
      <c r="C205" s="33"/>
      <c r="D205" s="33"/>
      <c r="E205" s="33"/>
      <c r="F205" s="33"/>
      <c r="G205" s="33"/>
      <c r="H205" s="33"/>
    </row>
    <row r="206" spans="1:8" x14ac:dyDescent="0.25">
      <c r="A206" s="29" t="str">
        <f t="shared" si="3"/>
        <v/>
      </c>
      <c r="B206" s="33"/>
      <c r="C206" s="33"/>
      <c r="D206" s="33"/>
      <c r="E206" s="33"/>
      <c r="F206" s="33"/>
      <c r="G206" s="33"/>
      <c r="H206" s="33"/>
    </row>
    <row r="207" spans="1:8" x14ac:dyDescent="0.25">
      <c r="A207" s="29" t="str">
        <f t="shared" si="3"/>
        <v/>
      </c>
      <c r="B207" s="33"/>
      <c r="C207" s="33"/>
      <c r="D207" s="33"/>
      <c r="E207" s="33"/>
      <c r="F207" s="33"/>
      <c r="G207" s="33"/>
      <c r="H207" s="33"/>
    </row>
    <row r="208" spans="1:8" x14ac:dyDescent="0.25">
      <c r="A208" s="29" t="str">
        <f t="shared" si="3"/>
        <v/>
      </c>
      <c r="B208" s="33"/>
      <c r="C208" s="33"/>
      <c r="D208" s="33"/>
      <c r="E208" s="33"/>
      <c r="F208" s="33"/>
      <c r="G208" s="33"/>
      <c r="H208" s="33"/>
    </row>
    <row r="209" spans="1:8" x14ac:dyDescent="0.25">
      <c r="A209" s="29" t="str">
        <f t="shared" si="3"/>
        <v/>
      </c>
      <c r="B209" s="33"/>
      <c r="C209" s="33"/>
      <c r="D209" s="33"/>
      <c r="E209" s="33"/>
      <c r="F209" s="33"/>
      <c r="G209" s="33"/>
      <c r="H209" s="33"/>
    </row>
    <row r="210" spans="1:8" x14ac:dyDescent="0.25">
      <c r="A210" s="29" t="str">
        <f t="shared" si="3"/>
        <v/>
      </c>
      <c r="B210" s="33"/>
      <c r="C210" s="33"/>
      <c r="D210" s="33"/>
      <c r="E210" s="33"/>
      <c r="F210" s="33"/>
      <c r="G210" s="33"/>
      <c r="H210" s="33"/>
    </row>
    <row r="211" spans="1:8" x14ac:dyDescent="0.25">
      <c r="A211" s="29" t="str">
        <f t="shared" si="3"/>
        <v/>
      </c>
      <c r="B211" s="33"/>
      <c r="C211" s="33"/>
      <c r="D211" s="33"/>
      <c r="E211" s="33"/>
      <c r="F211" s="33"/>
      <c r="G211" s="33"/>
      <c r="H211" s="33"/>
    </row>
    <row r="212" spans="1:8" x14ac:dyDescent="0.25">
      <c r="A212" s="29" t="str">
        <f t="shared" si="3"/>
        <v/>
      </c>
      <c r="B212" s="33"/>
      <c r="C212" s="33"/>
      <c r="D212" s="33"/>
      <c r="E212" s="33"/>
      <c r="F212" s="33"/>
      <c r="G212" s="33"/>
      <c r="H212" s="33"/>
    </row>
    <row r="213" spans="1:8" x14ac:dyDescent="0.25">
      <c r="A213" s="29" t="str">
        <f t="shared" si="3"/>
        <v/>
      </c>
      <c r="B213" s="33"/>
      <c r="C213" s="33"/>
      <c r="D213" s="33"/>
      <c r="E213" s="33"/>
      <c r="F213" s="33"/>
      <c r="G213" s="33"/>
      <c r="H213" s="33"/>
    </row>
    <row r="214" spans="1:8" x14ac:dyDescent="0.25">
      <c r="A214" s="29" t="str">
        <f t="shared" si="3"/>
        <v/>
      </c>
      <c r="B214" s="33"/>
      <c r="C214" s="33"/>
      <c r="D214" s="33"/>
      <c r="E214" s="33"/>
      <c r="F214" s="33"/>
      <c r="G214" s="33"/>
      <c r="H214" s="33"/>
    </row>
    <row r="215" spans="1:8" x14ac:dyDescent="0.25">
      <c r="A215" s="29" t="str">
        <f t="shared" si="3"/>
        <v/>
      </c>
      <c r="B215" s="33"/>
      <c r="C215" s="33"/>
      <c r="D215" s="33"/>
      <c r="E215" s="33"/>
      <c r="F215" s="33"/>
      <c r="G215" s="33"/>
      <c r="H215" s="33"/>
    </row>
    <row r="216" spans="1:8" x14ac:dyDescent="0.25">
      <c r="A216" s="29" t="str">
        <f t="shared" si="3"/>
        <v/>
      </c>
      <c r="B216" s="33"/>
      <c r="C216" s="33"/>
      <c r="D216" s="33"/>
      <c r="E216" s="33"/>
      <c r="F216" s="33"/>
      <c r="G216" s="33"/>
      <c r="H216" s="33"/>
    </row>
    <row r="217" spans="1:8" x14ac:dyDescent="0.25">
      <c r="A217" s="29" t="str">
        <f t="shared" si="3"/>
        <v/>
      </c>
      <c r="B217" s="33"/>
      <c r="C217" s="33"/>
      <c r="D217" s="33"/>
      <c r="E217" s="33"/>
      <c r="F217" s="33"/>
      <c r="G217" s="33"/>
      <c r="H217" s="33"/>
    </row>
    <row r="218" spans="1:8" x14ac:dyDescent="0.25">
      <c r="A218" s="29" t="str">
        <f t="shared" si="3"/>
        <v/>
      </c>
      <c r="B218" s="33"/>
      <c r="C218" s="33"/>
      <c r="D218" s="33"/>
      <c r="E218" s="33"/>
      <c r="F218" s="33"/>
      <c r="G218" s="33"/>
      <c r="H218" s="33"/>
    </row>
    <row r="219" spans="1:8" x14ac:dyDescent="0.25">
      <c r="A219" s="29" t="str">
        <f t="shared" si="3"/>
        <v/>
      </c>
      <c r="B219" s="33"/>
      <c r="C219" s="33"/>
      <c r="D219" s="33"/>
      <c r="E219" s="33"/>
      <c r="F219" s="33"/>
      <c r="G219" s="33"/>
      <c r="H219" s="33"/>
    </row>
    <row r="220" spans="1:8" x14ac:dyDescent="0.25">
      <c r="A220" s="29" t="str">
        <f t="shared" si="3"/>
        <v/>
      </c>
      <c r="B220" s="33"/>
      <c r="C220" s="33"/>
      <c r="D220" s="33"/>
      <c r="E220" s="33"/>
      <c r="F220" s="33"/>
      <c r="G220" s="33"/>
      <c r="H220" s="33"/>
    </row>
    <row r="221" spans="1:8" x14ac:dyDescent="0.25">
      <c r="A221" s="29" t="str">
        <f t="shared" si="3"/>
        <v/>
      </c>
      <c r="B221" s="33"/>
      <c r="C221" s="33"/>
      <c r="D221" s="33"/>
      <c r="E221" s="33"/>
      <c r="F221" s="33"/>
      <c r="G221" s="33"/>
      <c r="H221" s="33"/>
    </row>
    <row r="222" spans="1:8" x14ac:dyDescent="0.25">
      <c r="A222" s="29" t="str">
        <f t="shared" si="3"/>
        <v/>
      </c>
      <c r="B222" s="33"/>
      <c r="C222" s="33"/>
      <c r="D222" s="33"/>
      <c r="E222" s="33"/>
      <c r="F222" s="33"/>
      <c r="G222" s="33"/>
      <c r="H222" s="33"/>
    </row>
    <row r="223" spans="1:8" x14ac:dyDescent="0.25">
      <c r="A223" s="29" t="str">
        <f t="shared" si="3"/>
        <v/>
      </c>
      <c r="B223" s="33"/>
      <c r="C223" s="33"/>
      <c r="D223" s="33"/>
      <c r="E223" s="33"/>
      <c r="F223" s="33"/>
      <c r="G223" s="33"/>
      <c r="H223" s="33"/>
    </row>
    <row r="224" spans="1:8" x14ac:dyDescent="0.25">
      <c r="A224" s="29" t="str">
        <f t="shared" si="3"/>
        <v/>
      </c>
      <c r="B224" s="33"/>
      <c r="C224" s="33"/>
      <c r="D224" s="33"/>
      <c r="E224" s="33"/>
      <c r="F224" s="33"/>
      <c r="G224" s="33"/>
      <c r="H224" s="33"/>
    </row>
    <row r="225" spans="1:8" x14ac:dyDescent="0.25">
      <c r="A225" s="29" t="str">
        <f t="shared" si="3"/>
        <v/>
      </c>
      <c r="B225" s="33"/>
      <c r="C225" s="33"/>
      <c r="D225" s="33"/>
      <c r="E225" s="33"/>
      <c r="F225" s="33"/>
      <c r="G225" s="33"/>
      <c r="H225" s="33"/>
    </row>
    <row r="226" spans="1:8" x14ac:dyDescent="0.25">
      <c r="A226" s="29" t="str">
        <f t="shared" si="3"/>
        <v/>
      </c>
      <c r="B226" s="33"/>
      <c r="C226" s="33"/>
      <c r="D226" s="33"/>
      <c r="E226" s="33"/>
      <c r="F226" s="33"/>
      <c r="G226" s="33"/>
      <c r="H226" s="33"/>
    </row>
    <row r="227" spans="1:8" x14ac:dyDescent="0.25">
      <c r="A227" s="29" t="str">
        <f t="shared" si="3"/>
        <v/>
      </c>
      <c r="B227" s="33"/>
      <c r="C227" s="33"/>
      <c r="D227" s="33"/>
      <c r="E227" s="33"/>
      <c r="F227" s="33"/>
      <c r="G227" s="33"/>
      <c r="H227" s="33"/>
    </row>
    <row r="228" spans="1:8" x14ac:dyDescent="0.25">
      <c r="A228" s="29" t="str">
        <f t="shared" si="3"/>
        <v/>
      </c>
      <c r="B228" s="33"/>
      <c r="C228" s="33"/>
      <c r="D228" s="33"/>
      <c r="E228" s="33"/>
      <c r="F228" s="33"/>
      <c r="G228" s="33"/>
      <c r="H228" s="33"/>
    </row>
    <row r="229" spans="1:8" x14ac:dyDescent="0.25">
      <c r="A229" s="29" t="str">
        <f t="shared" si="3"/>
        <v/>
      </c>
      <c r="B229" s="33"/>
      <c r="C229" s="33"/>
      <c r="D229" s="33"/>
      <c r="E229" s="33"/>
      <c r="F229" s="33"/>
      <c r="G229" s="33"/>
      <c r="H229" s="33"/>
    </row>
    <row r="230" spans="1:8" x14ac:dyDescent="0.25">
      <c r="A230" s="29" t="str">
        <f t="shared" si="3"/>
        <v/>
      </c>
      <c r="B230" s="33"/>
      <c r="C230" s="33"/>
      <c r="D230" s="33"/>
      <c r="E230" s="33"/>
      <c r="F230" s="33"/>
      <c r="G230" s="33"/>
      <c r="H230" s="33"/>
    </row>
    <row r="231" spans="1:8" x14ac:dyDescent="0.25">
      <c r="A231" s="29" t="str">
        <f t="shared" si="3"/>
        <v/>
      </c>
      <c r="B231" s="33"/>
      <c r="C231" s="33"/>
      <c r="D231" s="33"/>
      <c r="E231" s="33"/>
      <c r="F231" s="33"/>
      <c r="G231" s="33"/>
      <c r="H231" s="33"/>
    </row>
    <row r="232" spans="1:8" x14ac:dyDescent="0.25">
      <c r="A232" s="29" t="str">
        <f t="shared" si="3"/>
        <v/>
      </c>
      <c r="B232" s="33"/>
      <c r="C232" s="33"/>
      <c r="D232" s="33"/>
      <c r="E232" s="33"/>
      <c r="F232" s="33"/>
      <c r="G232" s="33"/>
      <c r="H232" s="33"/>
    </row>
    <row r="233" spans="1:8" x14ac:dyDescent="0.25">
      <c r="A233" s="29" t="str">
        <f t="shared" si="3"/>
        <v/>
      </c>
      <c r="B233" s="33"/>
      <c r="C233" s="33"/>
      <c r="D233" s="33"/>
      <c r="E233" s="33"/>
      <c r="F233" s="33"/>
      <c r="G233" s="33"/>
      <c r="H233" s="33"/>
    </row>
    <row r="234" spans="1:8" x14ac:dyDescent="0.25">
      <c r="A234" s="29" t="str">
        <f t="shared" si="3"/>
        <v/>
      </c>
      <c r="B234" s="33"/>
      <c r="C234" s="33"/>
      <c r="D234" s="33"/>
      <c r="E234" s="33"/>
      <c r="F234" s="33"/>
      <c r="G234" s="33"/>
      <c r="H234" s="33"/>
    </row>
    <row r="235" spans="1:8" x14ac:dyDescent="0.25">
      <c r="A235" s="29" t="str">
        <f t="shared" si="3"/>
        <v/>
      </c>
      <c r="B235" s="33"/>
      <c r="C235" s="33"/>
      <c r="D235" s="33"/>
      <c r="E235" s="33"/>
      <c r="F235" s="33"/>
      <c r="G235" s="33"/>
      <c r="H235" s="33"/>
    </row>
    <row r="236" spans="1:8" x14ac:dyDescent="0.25">
      <c r="A236" s="29" t="str">
        <f t="shared" si="3"/>
        <v/>
      </c>
      <c r="B236" s="33"/>
      <c r="C236" s="33"/>
      <c r="D236" s="33"/>
      <c r="E236" s="33"/>
      <c r="F236" s="33"/>
      <c r="G236" s="33"/>
      <c r="H236" s="33"/>
    </row>
    <row r="237" spans="1:8" x14ac:dyDescent="0.25">
      <c r="A237" s="29" t="str">
        <f t="shared" si="3"/>
        <v/>
      </c>
      <c r="B237" s="33"/>
      <c r="C237" s="33"/>
      <c r="D237" s="33"/>
      <c r="E237" s="33"/>
      <c r="F237" s="33"/>
      <c r="G237" s="33"/>
      <c r="H237" s="33"/>
    </row>
    <row r="238" spans="1:8" x14ac:dyDescent="0.25">
      <c r="A238" s="29" t="str">
        <f t="shared" si="3"/>
        <v/>
      </c>
      <c r="B238" s="33"/>
      <c r="C238" s="33"/>
      <c r="D238" s="33"/>
      <c r="E238" s="33"/>
      <c r="F238" s="33"/>
      <c r="G238" s="33"/>
      <c r="H238" s="33"/>
    </row>
    <row r="239" spans="1:8" x14ac:dyDescent="0.25">
      <c r="A239" s="29" t="str">
        <f t="shared" si="3"/>
        <v/>
      </c>
      <c r="B239" s="33"/>
      <c r="C239" s="33"/>
      <c r="D239" s="33"/>
      <c r="E239" s="33"/>
      <c r="F239" s="33"/>
      <c r="G239" s="33"/>
      <c r="H239" s="33"/>
    </row>
    <row r="240" spans="1:8" x14ac:dyDescent="0.25">
      <c r="A240" s="29" t="str">
        <f t="shared" si="3"/>
        <v/>
      </c>
      <c r="B240" s="33"/>
      <c r="C240" s="33"/>
      <c r="D240" s="33"/>
      <c r="E240" s="33"/>
      <c r="F240" s="33"/>
      <c r="G240" s="33"/>
      <c r="H240" s="33"/>
    </row>
    <row r="241" spans="1:8" x14ac:dyDescent="0.25">
      <c r="A241" s="29" t="str">
        <f t="shared" si="3"/>
        <v/>
      </c>
      <c r="B241" s="33"/>
      <c r="C241" s="33"/>
      <c r="D241" s="33"/>
      <c r="E241" s="33"/>
      <c r="F241" s="33"/>
      <c r="G241" s="33"/>
      <c r="H241" s="33"/>
    </row>
    <row r="242" spans="1:8" x14ac:dyDescent="0.25">
      <c r="A242" s="29" t="str">
        <f t="shared" si="3"/>
        <v/>
      </c>
      <c r="B242" s="33"/>
      <c r="C242" s="33"/>
      <c r="D242" s="33"/>
      <c r="E242" s="33"/>
      <c r="F242" s="33"/>
      <c r="G242" s="33"/>
      <c r="H242" s="33"/>
    </row>
    <row r="243" spans="1:8" x14ac:dyDescent="0.25">
      <c r="A243" s="29" t="str">
        <f t="shared" si="3"/>
        <v/>
      </c>
      <c r="B243" s="33"/>
      <c r="C243" s="33"/>
      <c r="D243" s="33"/>
      <c r="E243" s="33"/>
      <c r="F243" s="33"/>
      <c r="G243" s="33"/>
      <c r="H243" s="33"/>
    </row>
    <row r="244" spans="1:8" x14ac:dyDescent="0.25">
      <c r="A244" s="29" t="str">
        <f t="shared" si="3"/>
        <v/>
      </c>
      <c r="B244" s="33"/>
      <c r="C244" s="33"/>
      <c r="D244" s="33"/>
      <c r="E244" s="33"/>
      <c r="F244" s="33"/>
      <c r="G244" s="33"/>
      <c r="H244" s="33"/>
    </row>
    <row r="245" spans="1:8" x14ac:dyDescent="0.25">
      <c r="A245" s="29" t="str">
        <f t="shared" si="3"/>
        <v/>
      </c>
      <c r="B245" s="33"/>
      <c r="C245" s="33"/>
      <c r="D245" s="33"/>
      <c r="E245" s="33"/>
      <c r="F245" s="33"/>
      <c r="G245" s="33"/>
      <c r="H245" s="33"/>
    </row>
    <row r="246" spans="1:8" x14ac:dyDescent="0.25">
      <c r="A246" s="29" t="str">
        <f t="shared" si="3"/>
        <v/>
      </c>
      <c r="B246" s="33"/>
      <c r="C246" s="33"/>
      <c r="D246" s="33"/>
      <c r="E246" s="33"/>
      <c r="F246" s="33"/>
      <c r="G246" s="33"/>
      <c r="H246" s="33"/>
    </row>
    <row r="247" spans="1:8" x14ac:dyDescent="0.25">
      <c r="A247" s="29" t="str">
        <f t="shared" si="3"/>
        <v/>
      </c>
      <c r="B247" s="33"/>
      <c r="C247" s="33"/>
      <c r="D247" s="33"/>
      <c r="E247" s="33"/>
      <c r="F247" s="33"/>
      <c r="G247" s="33"/>
      <c r="H247" s="33"/>
    </row>
    <row r="248" spans="1:8" x14ac:dyDescent="0.25">
      <c r="A248" s="29" t="str">
        <f t="shared" si="3"/>
        <v/>
      </c>
      <c r="B248" s="33"/>
      <c r="C248" s="33"/>
      <c r="D248" s="33"/>
      <c r="E248" s="33"/>
      <c r="F248" s="33"/>
      <c r="G248" s="33"/>
      <c r="H248" s="33"/>
    </row>
    <row r="249" spans="1:8" x14ac:dyDescent="0.25">
      <c r="A249" s="29" t="str">
        <f t="shared" si="3"/>
        <v/>
      </c>
      <c r="B249" s="33"/>
      <c r="C249" s="33"/>
      <c r="D249" s="33"/>
      <c r="E249" s="33"/>
      <c r="F249" s="33"/>
      <c r="G249" s="33"/>
      <c r="H249" s="33"/>
    </row>
    <row r="250" spans="1:8" x14ac:dyDescent="0.25">
      <c r="A250" s="29" t="str">
        <f t="shared" si="3"/>
        <v/>
      </c>
      <c r="B250" s="33"/>
      <c r="C250" s="33"/>
      <c r="D250" s="33"/>
      <c r="E250" s="33"/>
      <c r="F250" s="33"/>
      <c r="G250" s="33"/>
      <c r="H250" s="33"/>
    </row>
    <row r="251" spans="1:8" x14ac:dyDescent="0.25">
      <c r="A251" s="29" t="str">
        <f t="shared" si="3"/>
        <v/>
      </c>
      <c r="B251" s="33"/>
      <c r="C251" s="33"/>
      <c r="D251" s="33"/>
      <c r="E251" s="33"/>
      <c r="F251" s="33"/>
      <c r="G251" s="33"/>
      <c r="H251" s="33"/>
    </row>
    <row r="252" spans="1:8" x14ac:dyDescent="0.25">
      <c r="A252" s="29" t="str">
        <f t="shared" si="3"/>
        <v/>
      </c>
      <c r="B252" s="33"/>
      <c r="C252" s="33"/>
      <c r="D252" s="33"/>
      <c r="E252" s="33"/>
      <c r="F252" s="33"/>
      <c r="G252" s="33"/>
      <c r="H252" s="33"/>
    </row>
    <row r="253" spans="1:8" x14ac:dyDescent="0.25">
      <c r="A253" s="29" t="str">
        <f t="shared" si="3"/>
        <v/>
      </c>
      <c r="B253" s="33"/>
      <c r="C253" s="33"/>
      <c r="D253" s="33"/>
      <c r="E253" s="33"/>
      <c r="F253" s="33"/>
      <c r="G253" s="33"/>
      <c r="H253" s="33"/>
    </row>
  </sheetData>
  <sheetProtection sheet="1" formatColumns="0" formatRows="0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1"/>
  <dimension ref="A1:I253"/>
  <sheetViews>
    <sheetView workbookViewId="0">
      <pane ySplit="6" topLeftCell="A7" activePane="bottomLeft" state="frozen"/>
      <selection pane="bottomLeft" sqref="A1:A1048576"/>
    </sheetView>
  </sheetViews>
  <sheetFormatPr defaultColWidth="8.7109375" defaultRowHeight="15" x14ac:dyDescent="0.25"/>
  <cols>
    <col min="1" max="1" width="22.42578125" style="22" customWidth="1"/>
    <col min="2" max="2" width="19" style="23" customWidth="1"/>
    <col min="3" max="3" width="41" style="23" customWidth="1"/>
    <col min="4" max="9" width="13" style="23" customWidth="1"/>
    <col min="10" max="10" width="8.7109375" style="23" customWidth="1"/>
    <col min="11" max="16384" width="8.7109375" style="23"/>
  </cols>
  <sheetData>
    <row r="1" spans="1:9" x14ac:dyDescent="0.25">
      <c r="A1" s="87" t="s">
        <v>2642</v>
      </c>
      <c r="B1" s="124" t="s">
        <v>317</v>
      </c>
      <c r="C1" s="134" t="s">
        <v>2643</v>
      </c>
      <c r="D1" s="134" t="s">
        <v>2644</v>
      </c>
      <c r="E1" s="134" t="s">
        <v>2645</v>
      </c>
      <c r="F1" s="134" t="s">
        <v>2646</v>
      </c>
      <c r="G1" s="134" t="s">
        <v>2647</v>
      </c>
      <c r="H1" s="134" t="s">
        <v>2648</v>
      </c>
      <c r="I1" s="134" t="s">
        <v>2649</v>
      </c>
    </row>
    <row r="2" spans="1:9" x14ac:dyDescent="0.25">
      <c r="A2" s="29" t="str">
        <f t="shared" ref="A2:A65" si="0">_xlfn.CONCAT(B2,C2)</f>
        <v>FENGSUPPA230FLQ01DA</v>
      </c>
      <c r="B2" s="134" t="s">
        <v>421</v>
      </c>
      <c r="C2" s="134" t="s">
        <v>2516</v>
      </c>
      <c r="D2" s="134">
        <v>0.41531000000000001</v>
      </c>
      <c r="E2" s="134">
        <v>1.0934699999999999</v>
      </c>
      <c r="F2" s="134">
        <v>0.37241999999999997</v>
      </c>
      <c r="G2" s="134">
        <v>-0.74614999999999998</v>
      </c>
      <c r="H2" s="134">
        <v>-0.12537999999999999</v>
      </c>
      <c r="I2" s="134">
        <v>0.49911</v>
      </c>
    </row>
    <row r="3" spans="1:9" x14ac:dyDescent="0.25">
      <c r="A3" s="29" t="str">
        <f t="shared" si="0"/>
        <v>FENGSUPPA230FLQ04DA</v>
      </c>
      <c r="B3" s="134" t="s">
        <v>421</v>
      </c>
      <c r="C3" s="134" t="s">
        <v>2518</v>
      </c>
      <c r="D3" s="134">
        <v>1.80881</v>
      </c>
      <c r="E3" s="134">
        <v>2.1432500000000001</v>
      </c>
      <c r="F3" s="134">
        <v>-1.31731</v>
      </c>
      <c r="G3" s="134">
        <v>-1.1877500000000001</v>
      </c>
      <c r="H3" s="134">
        <v>0.40609000000000012</v>
      </c>
      <c r="I3" s="134">
        <v>2.09897</v>
      </c>
    </row>
    <row r="4" spans="1:9" x14ac:dyDescent="0.25">
      <c r="A4" s="29" t="str">
        <f t="shared" si="0"/>
        <v>FENGSUPPA230FLQ10DA</v>
      </c>
      <c r="B4" s="134" t="s">
        <v>421</v>
      </c>
      <c r="C4" s="134" t="s">
        <v>2520</v>
      </c>
      <c r="D4" s="134">
        <v>0.59608000000000005</v>
      </c>
      <c r="E4" s="134">
        <v>1.38744</v>
      </c>
      <c r="F4" s="134">
        <v>0.52749999999999997</v>
      </c>
      <c r="G4" s="134">
        <v>-0.81081000000000003</v>
      </c>
      <c r="H4" s="134">
        <v>-4.7940000000000003E-2</v>
      </c>
      <c r="I4" s="134">
        <v>0.3312500000000001</v>
      </c>
    </row>
    <row r="5" spans="1:9" x14ac:dyDescent="0.25">
      <c r="A5" s="29" t="str">
        <f t="shared" si="0"/>
        <v>FENGSUPPA230FLQ11DA</v>
      </c>
      <c r="B5" s="134" t="s">
        <v>421</v>
      </c>
      <c r="C5" s="134" t="s">
        <v>2522</v>
      </c>
      <c r="D5" s="134">
        <v>0.44941999999999999</v>
      </c>
      <c r="E5" s="134">
        <v>1.17578</v>
      </c>
      <c r="F5" s="134">
        <v>0.30183999999999989</v>
      </c>
      <c r="G5" s="134">
        <v>-0.72440000000000015</v>
      </c>
      <c r="H5" s="134">
        <v>0.14957999999999999</v>
      </c>
      <c r="I5" s="134">
        <v>0.27298000000000011</v>
      </c>
    </row>
    <row r="6" spans="1:9" x14ac:dyDescent="0.25">
      <c r="A6" s="29" t="str">
        <f t="shared" si="0"/>
        <v>FENGSUPPA230FLQ13DA</v>
      </c>
      <c r="B6" s="134" t="s">
        <v>421</v>
      </c>
      <c r="C6" s="134" t="s">
        <v>2524</v>
      </c>
      <c r="D6" s="134">
        <v>1.86375</v>
      </c>
      <c r="E6" s="134">
        <v>2.3145099999999998</v>
      </c>
      <c r="F6" s="134">
        <v>-1.4483999999999999</v>
      </c>
      <c r="G6" s="134">
        <v>-1.0588599999999999</v>
      </c>
      <c r="H6" s="134">
        <v>0.44301000000000001</v>
      </c>
      <c r="I6" s="134">
        <v>2.064249999999999</v>
      </c>
    </row>
    <row r="7" spans="1:9" x14ac:dyDescent="0.25">
      <c r="A7" s="29" t="str">
        <f t="shared" si="0"/>
        <v>PARENGLPA225FLQ02DA</v>
      </c>
      <c r="B7" s="134" t="s">
        <v>422</v>
      </c>
      <c r="C7" s="134" t="s">
        <v>2542</v>
      </c>
      <c r="D7" s="134">
        <v>3.3140800000000001</v>
      </c>
      <c r="E7" s="134">
        <v>-0.53441000000000005</v>
      </c>
      <c r="F7" s="134">
        <v>-2.6047899999999999</v>
      </c>
      <c r="G7" s="134">
        <v>-0.32934000000000002</v>
      </c>
      <c r="H7" s="134">
        <v>2.9341300000000001</v>
      </c>
      <c r="I7" s="33"/>
    </row>
    <row r="8" spans="1:9" x14ac:dyDescent="0.25">
      <c r="A8" s="29" t="str">
        <f t="shared" si="0"/>
        <v>PARENGLPA225FLQ03DA</v>
      </c>
      <c r="B8" s="134" t="s">
        <v>422</v>
      </c>
      <c r="C8" s="134" t="s">
        <v>2544</v>
      </c>
      <c r="D8" s="134">
        <v>3.8096100000000002</v>
      </c>
      <c r="E8" s="134">
        <v>-0.39442999999999989</v>
      </c>
      <c r="F8" s="134">
        <v>-2.7950699999999999</v>
      </c>
      <c r="G8" s="134">
        <v>-0.39350000000000002</v>
      </c>
      <c r="H8" s="134">
        <v>3.1885699999999999</v>
      </c>
      <c r="I8" s="33"/>
    </row>
    <row r="9" spans="1:9" x14ac:dyDescent="0.25">
      <c r="A9" s="29" t="str">
        <f t="shared" si="0"/>
        <v>PARENGLPA225FLQ04DA</v>
      </c>
      <c r="B9" s="134" t="s">
        <v>422</v>
      </c>
      <c r="C9" s="134" t="s">
        <v>2546</v>
      </c>
      <c r="D9" s="134">
        <v>4.0971299999999991</v>
      </c>
      <c r="E9" s="134">
        <v>0.37240000000000012</v>
      </c>
      <c r="F9" s="134">
        <v>-2.9179900000000001</v>
      </c>
      <c r="G9" s="134">
        <v>-0.26835999999999999</v>
      </c>
      <c r="H9" s="134">
        <v>3.18635</v>
      </c>
      <c r="I9" s="33"/>
    </row>
    <row r="10" spans="1:9" x14ac:dyDescent="0.25">
      <c r="A10" s="29" t="str">
        <f t="shared" si="0"/>
        <v>PARENGLPA225FLQ05DA</v>
      </c>
      <c r="B10" s="134" t="s">
        <v>422</v>
      </c>
      <c r="C10" s="134" t="s">
        <v>2548</v>
      </c>
      <c r="D10" s="134">
        <v>3.0178199999999999</v>
      </c>
      <c r="E10" s="134">
        <v>1.07992</v>
      </c>
      <c r="F10" s="134">
        <v>-2.4170600000000002</v>
      </c>
      <c r="G10" s="134">
        <v>-0.20368</v>
      </c>
      <c r="H10" s="134">
        <v>2.6207400000000001</v>
      </c>
      <c r="I10" s="33"/>
    </row>
    <row r="11" spans="1:9" x14ac:dyDescent="0.25">
      <c r="A11" s="29" t="str">
        <f t="shared" si="0"/>
        <v>PARENGLPA225FLQ06DA</v>
      </c>
      <c r="B11" s="134" t="s">
        <v>422</v>
      </c>
      <c r="C11" s="134" t="s">
        <v>2550</v>
      </c>
      <c r="D11" s="134">
        <v>2.45052</v>
      </c>
      <c r="E11" s="134">
        <v>1.08365</v>
      </c>
      <c r="F11" s="134">
        <v>-1.8747199999999991</v>
      </c>
      <c r="G11" s="134">
        <v>-0.22928000000000001</v>
      </c>
      <c r="H11" s="134">
        <v>2.1040000000000001</v>
      </c>
      <c r="I11" s="33"/>
    </row>
    <row r="12" spans="1:9" x14ac:dyDescent="0.25">
      <c r="A12" s="29" t="str">
        <f t="shared" si="0"/>
        <v>PARENGLPA228FLQ01DA</v>
      </c>
      <c r="B12" s="134" t="s">
        <v>422</v>
      </c>
      <c r="C12" s="134" t="s">
        <v>2552</v>
      </c>
      <c r="D12" s="134">
        <v>2.764120000000001</v>
      </c>
      <c r="E12" s="134">
        <v>-1.5057799999999999</v>
      </c>
      <c r="F12" s="134">
        <v>-2.2861899999999999</v>
      </c>
      <c r="G12" s="134">
        <v>-0.28700999999999999</v>
      </c>
      <c r="H12" s="134">
        <v>2.5731999999999999</v>
      </c>
      <c r="I12" s="33"/>
    </row>
    <row r="13" spans="1:9" x14ac:dyDescent="0.25">
      <c r="A13" s="29" t="str">
        <f t="shared" si="0"/>
        <v>PARENGLPA228FLQ03DA</v>
      </c>
      <c r="B13" s="134" t="s">
        <v>422</v>
      </c>
      <c r="C13" s="134" t="s">
        <v>2554</v>
      </c>
      <c r="D13" s="134">
        <v>3.785029999999999</v>
      </c>
      <c r="E13" s="134">
        <v>-1.6236299999999999</v>
      </c>
      <c r="F13" s="134">
        <v>-2.7612100000000011</v>
      </c>
      <c r="G13" s="134">
        <v>-0.32278000000000012</v>
      </c>
      <c r="H13" s="134">
        <v>3.08399</v>
      </c>
      <c r="I13" s="33"/>
    </row>
    <row r="14" spans="1:9" x14ac:dyDescent="0.25">
      <c r="A14" s="29" t="str">
        <f t="shared" si="0"/>
        <v>PARENGLPA228FLQ04DA</v>
      </c>
      <c r="B14" s="134" t="s">
        <v>422</v>
      </c>
      <c r="C14" s="134" t="s">
        <v>2556</v>
      </c>
      <c r="D14" s="134">
        <v>4.3715799999999998</v>
      </c>
      <c r="E14" s="134">
        <v>-0.94068000000000018</v>
      </c>
      <c r="F14" s="134">
        <v>-3.1684600000000001</v>
      </c>
      <c r="G14" s="134">
        <v>-0.23433000000000001</v>
      </c>
      <c r="H14" s="134">
        <v>3.40279</v>
      </c>
      <c r="I14" s="33"/>
    </row>
    <row r="15" spans="1:9" x14ac:dyDescent="0.25">
      <c r="A15" s="29" t="str">
        <f t="shared" si="0"/>
        <v>PARENGLPA228FLQ05DA</v>
      </c>
      <c r="B15" s="134" t="s">
        <v>422</v>
      </c>
      <c r="C15" s="134" t="s">
        <v>2558</v>
      </c>
      <c r="D15" s="134">
        <v>3.9550900000000002</v>
      </c>
      <c r="E15" s="134">
        <v>0.45434999999999998</v>
      </c>
      <c r="F15" s="134">
        <v>-3.090879999999999</v>
      </c>
      <c r="G15" s="134">
        <v>-0.23424</v>
      </c>
      <c r="H15" s="134">
        <v>3.3251200000000001</v>
      </c>
      <c r="I15" s="33"/>
    </row>
    <row r="16" spans="1:9" x14ac:dyDescent="0.25">
      <c r="A16" s="29" t="str">
        <f t="shared" si="0"/>
        <v>PARENGLPA228FLQ06DA</v>
      </c>
      <c r="B16" s="134" t="s">
        <v>422</v>
      </c>
      <c r="C16" s="134" t="s">
        <v>2560</v>
      </c>
      <c r="D16" s="134">
        <v>3.1084399999999999</v>
      </c>
      <c r="E16" s="134">
        <v>0.79715000000000014</v>
      </c>
      <c r="F16" s="134">
        <v>-2.4850699999999999</v>
      </c>
      <c r="G16" s="134">
        <v>-0.18531</v>
      </c>
      <c r="H16" s="134">
        <v>2.6703800000000002</v>
      </c>
      <c r="I16" s="33"/>
    </row>
    <row r="17" spans="1:9" x14ac:dyDescent="0.25">
      <c r="A17" s="29" t="str">
        <f t="shared" si="0"/>
        <v>PARIMPOPA295FLQ02DA</v>
      </c>
      <c r="B17" s="134" t="s">
        <v>423</v>
      </c>
      <c r="C17" s="134" t="s">
        <v>2532</v>
      </c>
      <c r="D17" s="134">
        <v>3.1758700000000002</v>
      </c>
      <c r="E17" s="134">
        <v>-5.0903899999999993</v>
      </c>
      <c r="F17" s="134">
        <v>-2.9371399999999999</v>
      </c>
      <c r="G17" s="134">
        <v>-0.79489000000000021</v>
      </c>
      <c r="H17" s="134">
        <v>3.73203</v>
      </c>
      <c r="I17" s="33"/>
    </row>
    <row r="18" spans="1:9" x14ac:dyDescent="0.25">
      <c r="A18" s="29" t="str">
        <f t="shared" si="0"/>
        <v>PARIMPOPA295FLQ03DA</v>
      </c>
      <c r="B18" s="134" t="s">
        <v>423</v>
      </c>
      <c r="C18" s="134" t="s">
        <v>2534</v>
      </c>
      <c r="D18" s="134">
        <v>3.9779300000000002</v>
      </c>
      <c r="E18" s="134">
        <v>-6.2677899999999998</v>
      </c>
      <c r="F18" s="134">
        <v>-3.8203299999999998</v>
      </c>
      <c r="G18" s="134">
        <v>-1.0673699999999999</v>
      </c>
      <c r="H18" s="134">
        <v>4.8876999999999997</v>
      </c>
      <c r="I18" s="33"/>
    </row>
    <row r="19" spans="1:9" x14ac:dyDescent="0.25">
      <c r="A19" s="29" t="str">
        <f t="shared" si="0"/>
        <v>PARIMPOPA295FLQ06DA</v>
      </c>
      <c r="B19" s="134" t="s">
        <v>423</v>
      </c>
      <c r="C19" s="134" t="s">
        <v>2536</v>
      </c>
      <c r="D19" s="134">
        <v>1.78827</v>
      </c>
      <c r="E19" s="134">
        <v>-2.9040499999999989</v>
      </c>
      <c r="F19" s="134">
        <v>-2.1646000000000001</v>
      </c>
      <c r="G19" s="134">
        <v>-0.49425999999999992</v>
      </c>
      <c r="H19" s="134">
        <v>2.6588599999999998</v>
      </c>
      <c r="I19" s="33"/>
    </row>
    <row r="20" spans="1:9" x14ac:dyDescent="0.25">
      <c r="A20" s="29" t="str">
        <f t="shared" si="0"/>
        <v>PARIMPOPA295FLQ07DA</v>
      </c>
      <c r="B20" s="134" t="s">
        <v>423</v>
      </c>
      <c r="C20" s="134" t="s">
        <v>2538</v>
      </c>
      <c r="D20" s="134">
        <v>2.46367</v>
      </c>
      <c r="E20" s="134">
        <v>-3.7292900000000002</v>
      </c>
      <c r="F20" s="134">
        <v>-2.51431</v>
      </c>
      <c r="G20" s="134">
        <v>-0.74433000000000005</v>
      </c>
      <c r="H20" s="134">
        <v>3.2586400000000002</v>
      </c>
      <c r="I20" s="33"/>
    </row>
    <row r="21" spans="1:9" x14ac:dyDescent="0.25">
      <c r="A21" s="29" t="str">
        <f t="shared" si="0"/>
        <v>PARIMPOPA295FLQ08DA</v>
      </c>
      <c r="B21" s="134" t="s">
        <v>423</v>
      </c>
      <c r="C21" s="134" t="s">
        <v>2540</v>
      </c>
      <c r="D21" s="134">
        <v>2.04034</v>
      </c>
      <c r="E21" s="134">
        <v>-3.6056100000000009</v>
      </c>
      <c r="F21" s="134">
        <v>-1.2666299999999999</v>
      </c>
      <c r="G21" s="134">
        <v>-1.0912500000000001</v>
      </c>
      <c r="H21" s="134">
        <v>2.3578800000000002</v>
      </c>
      <c r="I21" s="33"/>
    </row>
    <row r="22" spans="1:9" x14ac:dyDescent="0.25">
      <c r="A22" s="29" t="str">
        <f t="shared" si="0"/>
        <v>PARSATPA236FLQ03DA</v>
      </c>
      <c r="B22" s="134" t="s">
        <v>424</v>
      </c>
      <c r="C22" s="134" t="s">
        <v>2526</v>
      </c>
      <c r="D22" s="134">
        <v>3.1754399999999992</v>
      </c>
      <c r="E22" s="134">
        <v>-0.14881</v>
      </c>
      <c r="F22" s="134">
        <v>-5.28261</v>
      </c>
      <c r="G22" s="134">
        <v>-3.0587300000000002</v>
      </c>
      <c r="H22" s="134">
        <v>2.647629999999999</v>
      </c>
      <c r="I22" s="134">
        <v>5.6937100000000003</v>
      </c>
    </row>
    <row r="23" spans="1:9" x14ac:dyDescent="0.25">
      <c r="A23" s="29" t="str">
        <f t="shared" si="0"/>
        <v>PARSATPA236FLQ06DA</v>
      </c>
      <c r="B23" s="134" t="s">
        <v>424</v>
      </c>
      <c r="C23" s="134" t="s">
        <v>2528</v>
      </c>
      <c r="D23" s="134">
        <v>2.2558099999999999</v>
      </c>
      <c r="E23" s="134">
        <v>0.11831</v>
      </c>
      <c r="F23" s="134">
        <v>-4.3672300000000002</v>
      </c>
      <c r="G23" s="134">
        <v>-2.0992099999999998</v>
      </c>
      <c r="H23" s="134">
        <v>2.1273</v>
      </c>
      <c r="I23" s="134">
        <v>4.3391400000000004</v>
      </c>
    </row>
    <row r="24" spans="1:9" x14ac:dyDescent="0.25">
      <c r="A24" s="29" t="str">
        <f t="shared" si="0"/>
        <v>PARSATPA236FLQ08DA</v>
      </c>
      <c r="B24" s="134" t="s">
        <v>424</v>
      </c>
      <c r="C24" s="134" t="s">
        <v>2530</v>
      </c>
      <c r="D24" s="134">
        <v>4.1711299999999989</v>
      </c>
      <c r="E24" s="134">
        <v>-0.16386999999999999</v>
      </c>
      <c r="F24" s="134">
        <v>-7.0139199999999997</v>
      </c>
      <c r="G24" s="134">
        <v>-3.3931800000000001</v>
      </c>
      <c r="H24" s="134">
        <v>3.374200000000001</v>
      </c>
      <c r="I24" s="134">
        <v>7.0328999999999997</v>
      </c>
    </row>
    <row r="25" spans="1:9" x14ac:dyDescent="0.25">
      <c r="A25" s="29" t="str">
        <f t="shared" si="0"/>
        <v>PARUSEPA264FLQ01DA</v>
      </c>
      <c r="B25" s="134" t="s">
        <v>425</v>
      </c>
      <c r="C25" s="134" t="s">
        <v>2562</v>
      </c>
      <c r="D25" s="134">
        <v>2.0149900000000001</v>
      </c>
      <c r="E25" s="134">
        <v>1.77203</v>
      </c>
      <c r="F25" s="134">
        <v>-1.37923</v>
      </c>
      <c r="G25" s="134">
        <v>0.12963</v>
      </c>
      <c r="H25" s="134">
        <v>0.33543000000000012</v>
      </c>
      <c r="I25" s="134">
        <v>0.91417000000000004</v>
      </c>
    </row>
    <row r="26" spans="1:9" x14ac:dyDescent="0.25">
      <c r="A26" s="29" t="str">
        <f t="shared" si="0"/>
        <v>PARUSEPA264FLQ02DA</v>
      </c>
      <c r="B26" s="134" t="s">
        <v>425</v>
      </c>
      <c r="C26" s="134" t="s">
        <v>2564</v>
      </c>
      <c r="D26" s="134">
        <v>3.7572499999999991</v>
      </c>
      <c r="E26" s="134">
        <v>3.3243399999999999</v>
      </c>
      <c r="F26" s="134">
        <v>-2.3898100000000002</v>
      </c>
      <c r="G26" s="134">
        <v>-0.17582999999999999</v>
      </c>
      <c r="H26" s="134">
        <v>0.75560999999999989</v>
      </c>
      <c r="I26" s="134">
        <v>1.81003</v>
      </c>
    </row>
    <row r="27" spans="1:9" x14ac:dyDescent="0.25">
      <c r="A27" s="29" t="str">
        <f t="shared" si="0"/>
        <v>PARUSEPA264FLQ03DA</v>
      </c>
      <c r="B27" s="134" t="s">
        <v>425</v>
      </c>
      <c r="C27" s="134" t="s">
        <v>2566</v>
      </c>
      <c r="D27" s="134">
        <v>2.2764600000000002</v>
      </c>
      <c r="E27" s="134">
        <v>1.3317699999999999</v>
      </c>
      <c r="F27" s="134">
        <v>-1.75718</v>
      </c>
      <c r="G27" s="134">
        <v>-0.1017</v>
      </c>
      <c r="H27" s="134">
        <v>0.54898999999999987</v>
      </c>
      <c r="I27" s="134">
        <v>1.30989</v>
      </c>
    </row>
    <row r="28" spans="1:9" x14ac:dyDescent="0.25">
      <c r="A28" s="29" t="str">
        <f t="shared" si="0"/>
        <v>PARUSEPA264FLQ04DA</v>
      </c>
      <c r="B28" s="134" t="s">
        <v>425</v>
      </c>
      <c r="C28" s="134" t="s">
        <v>2568</v>
      </c>
      <c r="D28" s="134">
        <v>3.7149899999999989</v>
      </c>
      <c r="E28" s="134">
        <v>2.3228200000000001</v>
      </c>
      <c r="F28" s="134">
        <v>-2.4518599999999999</v>
      </c>
      <c r="G28" s="134">
        <v>-0.24883</v>
      </c>
      <c r="H28" s="134">
        <v>0.81623999999999997</v>
      </c>
      <c r="I28" s="134">
        <v>1.88445</v>
      </c>
    </row>
    <row r="29" spans="1:9" x14ac:dyDescent="0.25">
      <c r="A29" s="29" t="str">
        <f t="shared" si="0"/>
        <v/>
      </c>
      <c r="B29" s="33"/>
      <c r="C29" s="33"/>
      <c r="D29" s="33"/>
      <c r="E29" s="33"/>
      <c r="F29" s="33"/>
      <c r="G29" s="33"/>
      <c r="H29" s="33"/>
      <c r="I29" s="33"/>
    </row>
    <row r="30" spans="1:9" x14ac:dyDescent="0.25">
      <c r="A30" s="29" t="str">
        <f t="shared" si="0"/>
        <v/>
      </c>
      <c r="B30" s="33"/>
      <c r="C30" s="33"/>
      <c r="D30" s="33"/>
      <c r="E30" s="33"/>
      <c r="F30" s="33"/>
      <c r="G30" s="33"/>
      <c r="H30" s="33"/>
      <c r="I30" s="33"/>
    </row>
    <row r="31" spans="1:9" x14ac:dyDescent="0.25">
      <c r="A31" s="29" t="str">
        <f t="shared" si="0"/>
        <v/>
      </c>
      <c r="B31" s="33"/>
      <c r="C31" s="33"/>
      <c r="D31" s="33"/>
      <c r="E31" s="33"/>
      <c r="F31" s="33"/>
      <c r="G31" s="33"/>
      <c r="H31" s="33"/>
      <c r="I31" s="33"/>
    </row>
    <row r="32" spans="1:9" x14ac:dyDescent="0.25">
      <c r="A32" s="29" t="str">
        <f t="shared" si="0"/>
        <v/>
      </c>
      <c r="B32" s="33"/>
      <c r="C32" s="33"/>
      <c r="D32" s="33"/>
      <c r="E32" s="33"/>
      <c r="F32" s="33"/>
      <c r="G32" s="33"/>
      <c r="H32" s="33"/>
      <c r="I32" s="33"/>
    </row>
    <row r="33" spans="1:9" x14ac:dyDescent="0.25">
      <c r="A33" s="29" t="str">
        <f t="shared" si="0"/>
        <v/>
      </c>
      <c r="B33" s="33"/>
      <c r="C33" s="33"/>
      <c r="D33" s="33"/>
      <c r="E33" s="33"/>
      <c r="F33" s="33"/>
      <c r="G33" s="33"/>
      <c r="H33" s="33"/>
      <c r="I33" s="33"/>
    </row>
    <row r="34" spans="1:9" x14ac:dyDescent="0.25">
      <c r="A34" s="29" t="str">
        <f t="shared" si="0"/>
        <v/>
      </c>
      <c r="B34" s="33"/>
      <c r="C34" s="33"/>
      <c r="D34" s="33"/>
      <c r="E34" s="33"/>
      <c r="F34" s="33"/>
      <c r="G34" s="33"/>
      <c r="H34" s="33"/>
      <c r="I34" s="33"/>
    </row>
    <row r="35" spans="1:9" x14ac:dyDescent="0.25">
      <c r="A35" s="29" t="str">
        <f t="shared" si="0"/>
        <v/>
      </c>
      <c r="B35" s="33"/>
      <c r="C35" s="33"/>
      <c r="D35" s="33"/>
      <c r="E35" s="33"/>
      <c r="F35" s="33"/>
      <c r="G35" s="33"/>
      <c r="H35" s="33"/>
      <c r="I35" s="33"/>
    </row>
    <row r="36" spans="1:9" x14ac:dyDescent="0.25">
      <c r="A36" s="29" t="str">
        <f t="shared" si="0"/>
        <v/>
      </c>
      <c r="B36" s="33"/>
      <c r="C36" s="33"/>
      <c r="D36" s="33"/>
      <c r="E36" s="33"/>
      <c r="F36" s="33"/>
      <c r="G36" s="33"/>
      <c r="H36" s="33"/>
      <c r="I36" s="33"/>
    </row>
    <row r="37" spans="1:9" x14ac:dyDescent="0.25">
      <c r="A37" s="29" t="str">
        <f t="shared" si="0"/>
        <v/>
      </c>
      <c r="B37" s="33"/>
      <c r="C37" s="33"/>
      <c r="D37" s="33"/>
      <c r="E37" s="33"/>
      <c r="F37" s="33"/>
      <c r="G37" s="33"/>
      <c r="H37" s="33"/>
      <c r="I37" s="33"/>
    </row>
    <row r="38" spans="1:9" x14ac:dyDescent="0.25">
      <c r="A38" s="29" t="str">
        <f t="shared" si="0"/>
        <v/>
      </c>
      <c r="B38" s="33"/>
      <c r="C38" s="33"/>
      <c r="D38" s="33"/>
      <c r="E38" s="33"/>
      <c r="F38" s="33"/>
      <c r="G38" s="33"/>
      <c r="H38" s="33"/>
      <c r="I38" s="33"/>
    </row>
    <row r="39" spans="1:9" x14ac:dyDescent="0.25">
      <c r="A39" s="29" t="str">
        <f t="shared" si="0"/>
        <v/>
      </c>
      <c r="B39" s="33"/>
      <c r="C39" s="33"/>
      <c r="D39" s="33"/>
      <c r="E39" s="33"/>
      <c r="F39" s="33"/>
      <c r="G39" s="33"/>
      <c r="H39" s="33"/>
      <c r="I39" s="33"/>
    </row>
    <row r="40" spans="1:9" x14ac:dyDescent="0.25">
      <c r="A40" s="29" t="str">
        <f t="shared" si="0"/>
        <v/>
      </c>
      <c r="B40" s="33"/>
      <c r="C40" s="33"/>
      <c r="D40" s="33"/>
      <c r="E40" s="33"/>
      <c r="F40" s="33"/>
      <c r="G40" s="33"/>
      <c r="H40" s="33"/>
      <c r="I40" s="33"/>
    </row>
    <row r="41" spans="1:9" x14ac:dyDescent="0.25">
      <c r="A41" s="29" t="str">
        <f t="shared" si="0"/>
        <v/>
      </c>
      <c r="B41" s="33"/>
      <c r="C41" s="33"/>
      <c r="D41" s="33"/>
      <c r="E41" s="33"/>
      <c r="F41" s="33"/>
      <c r="G41" s="33"/>
      <c r="H41" s="33"/>
      <c r="I41" s="33"/>
    </row>
    <row r="42" spans="1:9" x14ac:dyDescent="0.25">
      <c r="A42" s="29" t="str">
        <f t="shared" si="0"/>
        <v/>
      </c>
      <c r="B42" s="33"/>
      <c r="C42" s="33"/>
      <c r="D42" s="33"/>
      <c r="E42" s="33"/>
      <c r="F42" s="33"/>
      <c r="G42" s="33"/>
      <c r="H42" s="33"/>
      <c r="I42" s="33"/>
    </row>
    <row r="43" spans="1:9" x14ac:dyDescent="0.25">
      <c r="A43" s="29" t="str">
        <f t="shared" si="0"/>
        <v/>
      </c>
      <c r="B43" s="33"/>
      <c r="C43" s="33"/>
      <c r="D43" s="33"/>
      <c r="E43" s="33"/>
      <c r="F43" s="33"/>
      <c r="G43" s="33"/>
      <c r="H43" s="33"/>
      <c r="I43" s="33"/>
    </row>
    <row r="44" spans="1:9" x14ac:dyDescent="0.25">
      <c r="A44" s="29" t="str">
        <f t="shared" si="0"/>
        <v/>
      </c>
      <c r="B44" s="33"/>
      <c r="C44" s="33"/>
      <c r="D44" s="33"/>
      <c r="E44" s="33"/>
      <c r="F44" s="33"/>
      <c r="G44" s="33"/>
      <c r="H44" s="33"/>
      <c r="I44" s="33"/>
    </row>
    <row r="45" spans="1:9" x14ac:dyDescent="0.25">
      <c r="A45" s="29" t="str">
        <f t="shared" si="0"/>
        <v/>
      </c>
      <c r="B45" s="33"/>
      <c r="C45" s="33"/>
      <c r="D45" s="33"/>
      <c r="E45" s="33"/>
      <c r="F45" s="33"/>
      <c r="G45" s="33"/>
      <c r="H45" s="33"/>
      <c r="I45" s="33"/>
    </row>
    <row r="46" spans="1:9" x14ac:dyDescent="0.25">
      <c r="A46" s="29" t="str">
        <f t="shared" si="0"/>
        <v/>
      </c>
      <c r="B46" s="33"/>
      <c r="C46" s="33"/>
      <c r="D46" s="33"/>
      <c r="E46" s="33"/>
      <c r="F46" s="33"/>
      <c r="G46" s="33"/>
      <c r="H46" s="33"/>
      <c r="I46" s="33"/>
    </row>
    <row r="47" spans="1:9" x14ac:dyDescent="0.25">
      <c r="A47" s="29" t="str">
        <f t="shared" si="0"/>
        <v/>
      </c>
      <c r="B47" s="33"/>
      <c r="C47" s="33"/>
      <c r="D47" s="33"/>
      <c r="E47" s="33"/>
      <c r="F47" s="33"/>
      <c r="G47" s="33"/>
      <c r="H47" s="33"/>
      <c r="I47" s="33"/>
    </row>
    <row r="48" spans="1:9" x14ac:dyDescent="0.25">
      <c r="A48" s="29" t="str">
        <f t="shared" si="0"/>
        <v/>
      </c>
      <c r="B48" s="33"/>
      <c r="C48" s="33"/>
      <c r="D48" s="33"/>
      <c r="E48" s="33"/>
      <c r="F48" s="33"/>
      <c r="G48" s="33"/>
      <c r="H48" s="33"/>
      <c r="I48" s="33"/>
    </row>
    <row r="49" spans="1:9" x14ac:dyDescent="0.25">
      <c r="A49" s="29" t="str">
        <f t="shared" si="0"/>
        <v/>
      </c>
      <c r="B49" s="33"/>
      <c r="C49" s="33"/>
      <c r="D49" s="33"/>
      <c r="E49" s="33"/>
      <c r="F49" s="33"/>
      <c r="G49" s="33"/>
      <c r="H49" s="33"/>
      <c r="I49" s="33"/>
    </row>
    <row r="50" spans="1:9" x14ac:dyDescent="0.25">
      <c r="A50" s="29" t="str">
        <f t="shared" si="0"/>
        <v/>
      </c>
      <c r="B50" s="33"/>
      <c r="C50" s="33"/>
      <c r="D50" s="33"/>
      <c r="E50" s="33"/>
      <c r="F50" s="33"/>
      <c r="G50" s="33"/>
      <c r="H50" s="33"/>
      <c r="I50" s="33"/>
    </row>
    <row r="51" spans="1:9" x14ac:dyDescent="0.25">
      <c r="A51" s="29" t="str">
        <f t="shared" si="0"/>
        <v/>
      </c>
      <c r="B51" s="33"/>
      <c r="C51" s="33"/>
      <c r="D51" s="33"/>
      <c r="E51" s="33"/>
      <c r="F51" s="33"/>
      <c r="G51" s="33"/>
      <c r="H51" s="33"/>
      <c r="I51" s="33"/>
    </row>
    <row r="52" spans="1:9" x14ac:dyDescent="0.25">
      <c r="A52" s="29" t="str">
        <f t="shared" si="0"/>
        <v/>
      </c>
      <c r="B52" s="33"/>
      <c r="C52" s="33"/>
      <c r="D52" s="33"/>
      <c r="E52" s="33"/>
      <c r="F52" s="33"/>
      <c r="G52" s="33"/>
      <c r="H52" s="33"/>
      <c r="I52" s="33"/>
    </row>
    <row r="53" spans="1:9" x14ac:dyDescent="0.25">
      <c r="A53" s="29" t="str">
        <f t="shared" si="0"/>
        <v/>
      </c>
      <c r="B53" s="33"/>
      <c r="C53" s="33"/>
      <c r="D53" s="33"/>
      <c r="E53" s="33"/>
      <c r="F53" s="33"/>
      <c r="G53" s="33"/>
      <c r="H53" s="33"/>
      <c r="I53" s="33"/>
    </row>
    <row r="54" spans="1:9" x14ac:dyDescent="0.25">
      <c r="A54" s="29" t="str">
        <f t="shared" si="0"/>
        <v/>
      </c>
      <c r="B54" s="33"/>
      <c r="C54" s="33"/>
      <c r="D54" s="33"/>
      <c r="E54" s="33"/>
      <c r="F54" s="33"/>
      <c r="G54" s="33"/>
      <c r="H54" s="33"/>
      <c r="I54" s="33"/>
    </row>
    <row r="55" spans="1:9" x14ac:dyDescent="0.25">
      <c r="A55" s="29" t="str">
        <f t="shared" si="0"/>
        <v/>
      </c>
      <c r="B55" s="33"/>
      <c r="C55" s="33"/>
      <c r="D55" s="33"/>
      <c r="E55" s="33"/>
      <c r="F55" s="33"/>
      <c r="G55" s="33"/>
      <c r="H55" s="33"/>
      <c r="I55" s="33"/>
    </row>
    <row r="56" spans="1:9" x14ac:dyDescent="0.25">
      <c r="A56" s="29" t="str">
        <f t="shared" si="0"/>
        <v/>
      </c>
      <c r="B56" s="33"/>
      <c r="C56" s="33"/>
      <c r="D56" s="33"/>
      <c r="E56" s="33"/>
      <c r="F56" s="33"/>
      <c r="G56" s="33"/>
      <c r="H56" s="33"/>
      <c r="I56" s="33"/>
    </row>
    <row r="57" spans="1:9" x14ac:dyDescent="0.25">
      <c r="A57" s="29" t="str">
        <f t="shared" si="0"/>
        <v/>
      </c>
      <c r="B57" s="33"/>
      <c r="C57" s="33"/>
      <c r="D57" s="33"/>
      <c r="E57" s="33"/>
      <c r="F57" s="33"/>
      <c r="G57" s="33"/>
      <c r="H57" s="33"/>
      <c r="I57" s="33"/>
    </row>
    <row r="58" spans="1:9" x14ac:dyDescent="0.25">
      <c r="A58" s="29" t="str">
        <f t="shared" si="0"/>
        <v/>
      </c>
      <c r="B58" s="33"/>
      <c r="C58" s="33"/>
      <c r="D58" s="33"/>
      <c r="E58" s="33"/>
      <c r="F58" s="33"/>
      <c r="G58" s="33"/>
      <c r="H58" s="33"/>
      <c r="I58" s="33"/>
    </row>
    <row r="59" spans="1:9" x14ac:dyDescent="0.25">
      <c r="A59" s="29" t="str">
        <f t="shared" si="0"/>
        <v/>
      </c>
      <c r="B59" s="33"/>
      <c r="C59" s="33"/>
      <c r="D59" s="33"/>
      <c r="E59" s="33"/>
      <c r="F59" s="33"/>
      <c r="G59" s="33"/>
      <c r="H59" s="33"/>
      <c r="I59" s="33"/>
    </row>
    <row r="60" spans="1:9" x14ac:dyDescent="0.25">
      <c r="A60" s="29" t="str">
        <f t="shared" si="0"/>
        <v/>
      </c>
      <c r="B60" s="33"/>
      <c r="C60" s="33"/>
      <c r="D60" s="33"/>
      <c r="E60" s="33"/>
      <c r="F60" s="33"/>
      <c r="G60" s="33"/>
      <c r="H60" s="33"/>
      <c r="I60" s="33"/>
    </row>
    <row r="61" spans="1:9" x14ac:dyDescent="0.25">
      <c r="A61" s="29" t="str">
        <f t="shared" si="0"/>
        <v/>
      </c>
      <c r="B61" s="33"/>
      <c r="C61" s="33"/>
      <c r="D61" s="33"/>
      <c r="E61" s="33"/>
      <c r="F61" s="33"/>
      <c r="G61" s="33"/>
      <c r="H61" s="33"/>
      <c r="I61" s="33"/>
    </row>
    <row r="62" spans="1:9" x14ac:dyDescent="0.25">
      <c r="A62" s="29" t="str">
        <f t="shared" si="0"/>
        <v/>
      </c>
      <c r="B62" s="33"/>
      <c r="C62" s="33"/>
      <c r="D62" s="33"/>
      <c r="E62" s="33"/>
      <c r="F62" s="33"/>
      <c r="G62" s="33"/>
      <c r="H62" s="33"/>
      <c r="I62" s="33"/>
    </row>
    <row r="63" spans="1:9" x14ac:dyDescent="0.25">
      <c r="A63" s="29" t="str">
        <f t="shared" si="0"/>
        <v/>
      </c>
      <c r="B63" s="33"/>
      <c r="C63" s="33"/>
      <c r="D63" s="33"/>
      <c r="E63" s="33"/>
      <c r="F63" s="33"/>
      <c r="G63" s="33"/>
      <c r="H63" s="33"/>
      <c r="I63" s="33"/>
    </row>
    <row r="64" spans="1:9" x14ac:dyDescent="0.25">
      <c r="A64" s="29" t="str">
        <f t="shared" si="0"/>
        <v/>
      </c>
      <c r="B64" s="33"/>
      <c r="C64" s="33"/>
      <c r="D64" s="33"/>
      <c r="E64" s="33"/>
      <c r="F64" s="33"/>
      <c r="G64" s="33"/>
      <c r="H64" s="33"/>
      <c r="I64" s="33"/>
    </row>
    <row r="65" spans="1:9" x14ac:dyDescent="0.25">
      <c r="A65" s="29" t="str">
        <f t="shared" si="0"/>
        <v/>
      </c>
      <c r="B65" s="33"/>
      <c r="C65" s="33"/>
      <c r="D65" s="33"/>
      <c r="E65" s="33"/>
      <c r="F65" s="33"/>
      <c r="G65" s="33"/>
      <c r="H65" s="33"/>
      <c r="I65" s="33"/>
    </row>
    <row r="66" spans="1:9" x14ac:dyDescent="0.25">
      <c r="A66" s="29" t="str">
        <f t="shared" ref="A66:A129" si="1">_xlfn.CONCAT(B66,C66)</f>
        <v/>
      </c>
      <c r="B66" s="33"/>
      <c r="C66" s="33"/>
      <c r="D66" s="33"/>
      <c r="E66" s="33"/>
      <c r="F66" s="33"/>
      <c r="G66" s="33"/>
      <c r="H66" s="33"/>
      <c r="I66" s="33"/>
    </row>
    <row r="67" spans="1:9" x14ac:dyDescent="0.25">
      <c r="A67" s="29" t="str">
        <f t="shared" si="1"/>
        <v/>
      </c>
      <c r="B67" s="33"/>
      <c r="C67" s="33"/>
      <c r="D67" s="33"/>
      <c r="E67" s="33"/>
      <c r="F67" s="33"/>
      <c r="G67" s="33"/>
      <c r="H67" s="33"/>
      <c r="I67" s="33"/>
    </row>
    <row r="68" spans="1:9" x14ac:dyDescent="0.25">
      <c r="A68" s="29" t="str">
        <f t="shared" si="1"/>
        <v/>
      </c>
      <c r="B68" s="33"/>
      <c r="C68" s="33"/>
      <c r="D68" s="33"/>
      <c r="E68" s="33"/>
      <c r="F68" s="33"/>
      <c r="G68" s="33"/>
      <c r="H68" s="33"/>
      <c r="I68" s="33"/>
    </row>
    <row r="69" spans="1:9" x14ac:dyDescent="0.25">
      <c r="A69" s="29" t="str">
        <f t="shared" si="1"/>
        <v/>
      </c>
      <c r="B69" s="33"/>
      <c r="C69" s="33"/>
      <c r="D69" s="33"/>
      <c r="E69" s="33"/>
      <c r="F69" s="33"/>
      <c r="G69" s="33"/>
      <c r="H69" s="33"/>
      <c r="I69" s="33"/>
    </row>
    <row r="70" spans="1:9" x14ac:dyDescent="0.25">
      <c r="A70" s="29" t="str">
        <f t="shared" si="1"/>
        <v/>
      </c>
      <c r="B70" s="33"/>
      <c r="C70" s="33"/>
      <c r="D70" s="33"/>
      <c r="E70" s="33"/>
      <c r="F70" s="33"/>
      <c r="G70" s="33"/>
      <c r="H70" s="33"/>
      <c r="I70" s="33"/>
    </row>
    <row r="71" spans="1:9" x14ac:dyDescent="0.25">
      <c r="A71" s="29" t="str">
        <f t="shared" si="1"/>
        <v/>
      </c>
      <c r="B71" s="33"/>
      <c r="C71" s="33"/>
      <c r="D71" s="33"/>
      <c r="E71" s="33"/>
      <c r="F71" s="33"/>
      <c r="G71" s="33"/>
      <c r="H71" s="33"/>
      <c r="I71" s="33"/>
    </row>
    <row r="72" spans="1:9" x14ac:dyDescent="0.25">
      <c r="A72" s="29" t="str">
        <f t="shared" si="1"/>
        <v/>
      </c>
      <c r="B72" s="33"/>
      <c r="C72" s="33"/>
      <c r="D72" s="33"/>
      <c r="E72" s="33"/>
      <c r="F72" s="33"/>
      <c r="G72" s="33"/>
      <c r="H72" s="33"/>
      <c r="I72" s="33"/>
    </row>
    <row r="73" spans="1:9" x14ac:dyDescent="0.25">
      <c r="A73" s="29" t="str">
        <f t="shared" si="1"/>
        <v/>
      </c>
      <c r="B73" s="33"/>
      <c r="C73" s="33"/>
      <c r="D73" s="33"/>
      <c r="E73" s="33"/>
      <c r="F73" s="33"/>
      <c r="G73" s="33"/>
      <c r="H73" s="33"/>
      <c r="I73" s="33"/>
    </row>
    <row r="74" spans="1:9" x14ac:dyDescent="0.25">
      <c r="A74" s="29" t="str">
        <f t="shared" si="1"/>
        <v/>
      </c>
      <c r="B74" s="33"/>
      <c r="C74" s="33"/>
      <c r="D74" s="33"/>
      <c r="E74" s="33"/>
      <c r="F74" s="33"/>
      <c r="G74" s="33"/>
      <c r="H74" s="33"/>
      <c r="I74" s="33"/>
    </row>
    <row r="75" spans="1:9" x14ac:dyDescent="0.25">
      <c r="A75" s="29" t="str">
        <f t="shared" si="1"/>
        <v/>
      </c>
      <c r="B75" s="33"/>
      <c r="C75" s="33"/>
      <c r="D75" s="33"/>
      <c r="E75" s="33"/>
      <c r="F75" s="33"/>
      <c r="G75" s="33"/>
      <c r="H75" s="33"/>
      <c r="I75" s="33"/>
    </row>
    <row r="76" spans="1:9" x14ac:dyDescent="0.25">
      <c r="A76" s="29" t="str">
        <f t="shared" si="1"/>
        <v/>
      </c>
      <c r="B76" s="33"/>
      <c r="C76" s="33"/>
      <c r="D76" s="33"/>
      <c r="E76" s="33"/>
      <c r="F76" s="33"/>
      <c r="G76" s="33"/>
      <c r="H76" s="33"/>
      <c r="I76" s="33"/>
    </row>
    <row r="77" spans="1:9" x14ac:dyDescent="0.25">
      <c r="A77" s="29" t="str">
        <f t="shared" si="1"/>
        <v/>
      </c>
      <c r="B77" s="33"/>
      <c r="C77" s="33"/>
      <c r="D77" s="33"/>
      <c r="E77" s="33"/>
      <c r="F77" s="33"/>
      <c r="G77" s="33"/>
      <c r="H77" s="33"/>
      <c r="I77" s="33"/>
    </row>
    <row r="78" spans="1:9" x14ac:dyDescent="0.25">
      <c r="A78" s="29" t="str">
        <f t="shared" si="1"/>
        <v/>
      </c>
      <c r="B78" s="33"/>
      <c r="C78" s="33"/>
      <c r="D78" s="33"/>
      <c r="E78" s="33"/>
      <c r="F78" s="33"/>
      <c r="G78" s="33"/>
      <c r="H78" s="33"/>
      <c r="I78" s="33"/>
    </row>
    <row r="79" spans="1:9" x14ac:dyDescent="0.25">
      <c r="A79" s="29" t="str">
        <f t="shared" si="1"/>
        <v/>
      </c>
      <c r="B79" s="33"/>
      <c r="C79" s="33"/>
      <c r="D79" s="33"/>
      <c r="E79" s="33"/>
      <c r="F79" s="33"/>
      <c r="G79" s="33"/>
      <c r="H79" s="33"/>
      <c r="I79" s="33"/>
    </row>
    <row r="80" spans="1:9" x14ac:dyDescent="0.25">
      <c r="A80" s="29" t="str">
        <f t="shared" si="1"/>
        <v/>
      </c>
      <c r="B80" s="33"/>
      <c r="C80" s="33"/>
      <c r="D80" s="33"/>
      <c r="E80" s="33"/>
      <c r="F80" s="33"/>
      <c r="G80" s="33"/>
      <c r="H80" s="33"/>
      <c r="I80" s="33"/>
    </row>
    <row r="81" spans="1:9" x14ac:dyDescent="0.25">
      <c r="A81" s="29" t="str">
        <f t="shared" si="1"/>
        <v/>
      </c>
      <c r="B81" s="33"/>
      <c r="C81" s="33"/>
      <c r="D81" s="33"/>
      <c r="E81" s="33"/>
      <c r="F81" s="33"/>
      <c r="G81" s="33"/>
      <c r="H81" s="33"/>
      <c r="I81" s="33"/>
    </row>
    <row r="82" spans="1:9" x14ac:dyDescent="0.25">
      <c r="A82" s="29" t="str">
        <f t="shared" si="1"/>
        <v/>
      </c>
      <c r="B82" s="33"/>
      <c r="C82" s="33"/>
      <c r="D82" s="33"/>
      <c r="E82" s="33"/>
      <c r="F82" s="33"/>
      <c r="G82" s="33"/>
      <c r="H82" s="33"/>
      <c r="I82" s="33"/>
    </row>
    <row r="83" spans="1:9" x14ac:dyDescent="0.25">
      <c r="A83" s="29" t="str">
        <f t="shared" si="1"/>
        <v/>
      </c>
      <c r="B83" s="33"/>
      <c r="C83" s="33"/>
      <c r="D83" s="33"/>
      <c r="E83" s="33"/>
      <c r="F83" s="33"/>
      <c r="G83" s="33"/>
      <c r="H83" s="33"/>
      <c r="I83" s="33"/>
    </row>
    <row r="84" spans="1:9" x14ac:dyDescent="0.25">
      <c r="A84" s="29" t="str">
        <f t="shared" si="1"/>
        <v/>
      </c>
      <c r="B84" s="33"/>
      <c r="C84" s="33"/>
      <c r="D84" s="33"/>
      <c r="E84" s="33"/>
      <c r="F84" s="33"/>
      <c r="G84" s="33"/>
      <c r="H84" s="33"/>
      <c r="I84" s="33"/>
    </row>
    <row r="85" spans="1:9" x14ac:dyDescent="0.25">
      <c r="A85" s="29" t="str">
        <f t="shared" si="1"/>
        <v/>
      </c>
      <c r="B85" s="33"/>
      <c r="C85" s="33"/>
      <c r="D85" s="33"/>
      <c r="E85" s="33"/>
      <c r="F85" s="33"/>
      <c r="G85" s="33"/>
      <c r="H85" s="33"/>
      <c r="I85" s="33"/>
    </row>
    <row r="86" spans="1:9" x14ac:dyDescent="0.25">
      <c r="A86" s="29" t="str">
        <f t="shared" si="1"/>
        <v/>
      </c>
      <c r="B86" s="33"/>
      <c r="C86" s="33"/>
      <c r="D86" s="33"/>
      <c r="E86" s="33"/>
      <c r="F86" s="33"/>
      <c r="G86" s="33"/>
      <c r="H86" s="33"/>
      <c r="I86" s="33"/>
    </row>
    <row r="87" spans="1:9" x14ac:dyDescent="0.25">
      <c r="A87" s="29" t="str">
        <f t="shared" si="1"/>
        <v/>
      </c>
      <c r="B87" s="33"/>
      <c r="C87" s="33"/>
      <c r="D87" s="33"/>
      <c r="E87" s="33"/>
      <c r="F87" s="33"/>
      <c r="G87" s="33"/>
      <c r="H87" s="33"/>
      <c r="I87" s="33"/>
    </row>
    <row r="88" spans="1:9" x14ac:dyDescent="0.25">
      <c r="A88" s="29" t="str">
        <f t="shared" si="1"/>
        <v/>
      </c>
      <c r="B88" s="33"/>
      <c r="C88" s="33"/>
      <c r="D88" s="33"/>
      <c r="E88" s="33"/>
      <c r="F88" s="33"/>
      <c r="G88" s="33"/>
      <c r="H88" s="33"/>
      <c r="I88" s="33"/>
    </row>
    <row r="89" spans="1:9" x14ac:dyDescent="0.25">
      <c r="A89" s="29" t="str">
        <f t="shared" si="1"/>
        <v/>
      </c>
      <c r="B89" s="33"/>
      <c r="C89" s="33"/>
      <c r="D89" s="33"/>
      <c r="E89" s="33"/>
      <c r="F89" s="33"/>
      <c r="G89" s="33"/>
      <c r="H89" s="33"/>
      <c r="I89" s="33"/>
    </row>
    <row r="90" spans="1:9" x14ac:dyDescent="0.25">
      <c r="A90" s="29" t="str">
        <f t="shared" si="1"/>
        <v/>
      </c>
      <c r="B90" s="33"/>
      <c r="C90" s="33"/>
      <c r="D90" s="33"/>
      <c r="E90" s="33"/>
      <c r="F90" s="33"/>
      <c r="G90" s="33"/>
      <c r="H90" s="33"/>
      <c r="I90" s="33"/>
    </row>
    <row r="91" spans="1:9" x14ac:dyDescent="0.25">
      <c r="A91" s="29" t="str">
        <f t="shared" si="1"/>
        <v/>
      </c>
      <c r="B91" s="33"/>
      <c r="C91" s="33"/>
      <c r="D91" s="33"/>
      <c r="E91" s="33"/>
      <c r="F91" s="33"/>
      <c r="G91" s="33"/>
      <c r="H91" s="33"/>
      <c r="I91" s="33"/>
    </row>
    <row r="92" spans="1:9" x14ac:dyDescent="0.25">
      <c r="A92" s="29" t="str">
        <f t="shared" si="1"/>
        <v/>
      </c>
      <c r="B92" s="33"/>
      <c r="C92" s="33"/>
      <c r="D92" s="33"/>
      <c r="E92" s="33"/>
      <c r="F92" s="33"/>
      <c r="G92" s="33"/>
      <c r="H92" s="33"/>
      <c r="I92" s="33"/>
    </row>
    <row r="93" spans="1:9" x14ac:dyDescent="0.25">
      <c r="A93" s="29" t="str">
        <f t="shared" si="1"/>
        <v/>
      </c>
      <c r="B93" s="33"/>
      <c r="C93" s="33"/>
      <c r="D93" s="33"/>
      <c r="E93" s="33"/>
      <c r="F93" s="33"/>
      <c r="G93" s="33"/>
      <c r="H93" s="33"/>
      <c r="I93" s="33"/>
    </row>
    <row r="94" spans="1:9" x14ac:dyDescent="0.25">
      <c r="A94" s="29" t="str">
        <f t="shared" si="1"/>
        <v/>
      </c>
      <c r="B94" s="33"/>
      <c r="C94" s="33"/>
      <c r="D94" s="33"/>
      <c r="E94" s="33"/>
      <c r="F94" s="33"/>
      <c r="G94" s="33"/>
      <c r="H94" s="33"/>
      <c r="I94" s="33"/>
    </row>
    <row r="95" spans="1:9" x14ac:dyDescent="0.25">
      <c r="A95" s="29" t="str">
        <f t="shared" si="1"/>
        <v/>
      </c>
      <c r="B95" s="33"/>
      <c r="C95" s="33"/>
      <c r="D95" s="33"/>
      <c r="E95" s="33"/>
      <c r="F95" s="33"/>
      <c r="G95" s="33"/>
      <c r="H95" s="33"/>
      <c r="I95" s="33"/>
    </row>
    <row r="96" spans="1:9" x14ac:dyDescent="0.25">
      <c r="A96" s="29" t="str">
        <f t="shared" si="1"/>
        <v/>
      </c>
      <c r="B96" s="33"/>
      <c r="C96" s="33"/>
      <c r="D96" s="33"/>
      <c r="E96" s="33"/>
      <c r="F96" s="33"/>
      <c r="G96" s="33"/>
      <c r="H96" s="33"/>
      <c r="I96" s="33"/>
    </row>
    <row r="97" spans="1:9" x14ac:dyDescent="0.25">
      <c r="A97" s="29" t="str">
        <f t="shared" si="1"/>
        <v/>
      </c>
      <c r="B97" s="33"/>
      <c r="C97" s="33"/>
      <c r="D97" s="33"/>
      <c r="E97" s="33"/>
      <c r="F97" s="33"/>
      <c r="G97" s="33"/>
      <c r="H97" s="33"/>
      <c r="I97" s="33"/>
    </row>
    <row r="98" spans="1:9" x14ac:dyDescent="0.25">
      <c r="A98" s="29" t="str">
        <f t="shared" si="1"/>
        <v/>
      </c>
      <c r="B98" s="33"/>
      <c r="C98" s="33"/>
      <c r="D98" s="33"/>
      <c r="E98" s="33"/>
      <c r="F98" s="33"/>
      <c r="G98" s="33"/>
      <c r="H98" s="33"/>
      <c r="I98" s="33"/>
    </row>
    <row r="99" spans="1:9" x14ac:dyDescent="0.25">
      <c r="A99" s="29" t="str">
        <f t="shared" si="1"/>
        <v/>
      </c>
      <c r="B99" s="33"/>
      <c r="C99" s="33"/>
      <c r="D99" s="33"/>
      <c r="E99" s="33"/>
      <c r="F99" s="33"/>
      <c r="G99" s="33"/>
      <c r="H99" s="33"/>
      <c r="I99" s="33"/>
    </row>
    <row r="100" spans="1:9" x14ac:dyDescent="0.25">
      <c r="A100" s="29" t="str">
        <f t="shared" si="1"/>
        <v/>
      </c>
      <c r="B100" s="33"/>
      <c r="C100" s="33"/>
      <c r="D100" s="33"/>
      <c r="E100" s="33"/>
      <c r="F100" s="33"/>
      <c r="G100" s="33"/>
      <c r="H100" s="33"/>
      <c r="I100" s="33"/>
    </row>
    <row r="101" spans="1:9" x14ac:dyDescent="0.25">
      <c r="A101" s="29" t="str">
        <f t="shared" si="1"/>
        <v/>
      </c>
      <c r="B101" s="33"/>
      <c r="C101" s="33"/>
      <c r="D101" s="33"/>
      <c r="E101" s="33"/>
      <c r="F101" s="33"/>
      <c r="G101" s="33"/>
      <c r="H101" s="33"/>
      <c r="I101" s="33"/>
    </row>
    <row r="102" spans="1:9" x14ac:dyDescent="0.25">
      <c r="A102" s="29" t="str">
        <f t="shared" si="1"/>
        <v/>
      </c>
      <c r="B102" s="33"/>
      <c r="C102" s="33"/>
      <c r="D102" s="33"/>
      <c r="E102" s="33"/>
      <c r="F102" s="33"/>
      <c r="G102" s="33"/>
      <c r="H102" s="33"/>
      <c r="I102" s="33"/>
    </row>
    <row r="103" spans="1:9" x14ac:dyDescent="0.25">
      <c r="A103" s="29" t="str">
        <f t="shared" si="1"/>
        <v/>
      </c>
      <c r="B103" s="33"/>
      <c r="C103" s="33"/>
      <c r="D103" s="33"/>
      <c r="E103" s="33"/>
      <c r="F103" s="33"/>
      <c r="G103" s="33"/>
      <c r="H103" s="33"/>
      <c r="I103" s="33"/>
    </row>
    <row r="104" spans="1:9" x14ac:dyDescent="0.25">
      <c r="A104" s="29" t="str">
        <f t="shared" si="1"/>
        <v/>
      </c>
      <c r="B104" s="33"/>
      <c r="C104" s="33"/>
      <c r="D104" s="33"/>
      <c r="E104" s="33"/>
      <c r="F104" s="33"/>
      <c r="G104" s="33"/>
      <c r="H104" s="33"/>
      <c r="I104" s="33"/>
    </row>
    <row r="105" spans="1:9" x14ac:dyDescent="0.25">
      <c r="A105" s="29" t="str">
        <f t="shared" si="1"/>
        <v/>
      </c>
      <c r="B105" s="33"/>
      <c r="C105" s="33"/>
      <c r="D105" s="33"/>
      <c r="E105" s="33"/>
      <c r="F105" s="33"/>
      <c r="G105" s="33"/>
      <c r="H105" s="33"/>
      <c r="I105" s="33"/>
    </row>
    <row r="106" spans="1:9" x14ac:dyDescent="0.25">
      <c r="A106" s="29" t="str">
        <f t="shared" si="1"/>
        <v/>
      </c>
      <c r="B106" s="33"/>
      <c r="C106" s="33"/>
      <c r="D106" s="33"/>
      <c r="E106" s="33"/>
      <c r="F106" s="33"/>
      <c r="G106" s="33"/>
      <c r="H106" s="33"/>
      <c r="I106" s="33"/>
    </row>
    <row r="107" spans="1:9" x14ac:dyDescent="0.25">
      <c r="A107" s="29" t="str">
        <f t="shared" si="1"/>
        <v/>
      </c>
      <c r="B107" s="33"/>
      <c r="C107" s="33"/>
      <c r="D107" s="33"/>
      <c r="E107" s="33"/>
      <c r="F107" s="33"/>
      <c r="G107" s="33"/>
      <c r="H107" s="33"/>
      <c r="I107" s="33"/>
    </row>
    <row r="108" spans="1:9" x14ac:dyDescent="0.25">
      <c r="A108" s="29" t="str">
        <f t="shared" si="1"/>
        <v/>
      </c>
      <c r="B108" s="33"/>
      <c r="C108" s="33"/>
      <c r="D108" s="33"/>
      <c r="E108" s="33"/>
      <c r="F108" s="33"/>
      <c r="G108" s="33"/>
      <c r="H108" s="33"/>
      <c r="I108" s="33"/>
    </row>
    <row r="109" spans="1:9" x14ac:dyDescent="0.25">
      <c r="A109" s="29" t="str">
        <f t="shared" si="1"/>
        <v/>
      </c>
      <c r="B109" s="33"/>
      <c r="C109" s="33"/>
      <c r="D109" s="33"/>
      <c r="E109" s="33"/>
      <c r="F109" s="33"/>
      <c r="G109" s="33"/>
      <c r="H109" s="33"/>
      <c r="I109" s="33"/>
    </row>
    <row r="110" spans="1:9" x14ac:dyDescent="0.25">
      <c r="A110" s="29" t="str">
        <f t="shared" si="1"/>
        <v/>
      </c>
      <c r="B110" s="33"/>
      <c r="C110" s="33"/>
      <c r="D110" s="33"/>
      <c r="E110" s="33"/>
      <c r="F110" s="33"/>
      <c r="G110" s="33"/>
      <c r="H110" s="33"/>
      <c r="I110" s="33"/>
    </row>
    <row r="111" spans="1:9" x14ac:dyDescent="0.25">
      <c r="A111" s="29" t="str">
        <f t="shared" si="1"/>
        <v/>
      </c>
      <c r="B111" s="33"/>
      <c r="C111" s="33"/>
      <c r="D111" s="33"/>
      <c r="E111" s="33"/>
      <c r="F111" s="33"/>
      <c r="G111" s="33"/>
      <c r="H111" s="33"/>
      <c r="I111" s="33"/>
    </row>
    <row r="112" spans="1:9" x14ac:dyDescent="0.25">
      <c r="A112" s="29" t="str">
        <f t="shared" si="1"/>
        <v/>
      </c>
      <c r="B112" s="33"/>
      <c r="C112" s="33"/>
      <c r="D112" s="33"/>
      <c r="E112" s="33"/>
      <c r="F112" s="33"/>
      <c r="G112" s="33"/>
      <c r="H112" s="33"/>
      <c r="I112" s="33"/>
    </row>
    <row r="113" spans="1:9" x14ac:dyDescent="0.25">
      <c r="A113" s="29" t="str">
        <f t="shared" si="1"/>
        <v/>
      </c>
      <c r="B113" s="33"/>
      <c r="C113" s="33"/>
      <c r="D113" s="33"/>
      <c r="E113" s="33"/>
      <c r="F113" s="33"/>
      <c r="G113" s="33"/>
      <c r="H113" s="33"/>
      <c r="I113" s="33"/>
    </row>
    <row r="114" spans="1:9" x14ac:dyDescent="0.25">
      <c r="A114" s="29" t="str">
        <f t="shared" si="1"/>
        <v/>
      </c>
      <c r="B114" s="33"/>
      <c r="C114" s="33"/>
      <c r="D114" s="33"/>
      <c r="E114" s="33"/>
      <c r="F114" s="33"/>
      <c r="G114" s="33"/>
      <c r="H114" s="33"/>
      <c r="I114" s="33"/>
    </row>
    <row r="115" spans="1:9" x14ac:dyDescent="0.25">
      <c r="A115" s="29" t="str">
        <f t="shared" si="1"/>
        <v/>
      </c>
      <c r="B115" s="33"/>
      <c r="C115" s="33"/>
      <c r="D115" s="33"/>
      <c r="E115" s="33"/>
      <c r="F115" s="33"/>
      <c r="G115" s="33"/>
      <c r="H115" s="33"/>
      <c r="I115" s="33"/>
    </row>
    <row r="116" spans="1:9" x14ac:dyDescent="0.25">
      <c r="A116" s="29" t="str">
        <f t="shared" si="1"/>
        <v/>
      </c>
      <c r="B116" s="33"/>
      <c r="C116" s="33"/>
      <c r="D116" s="33"/>
      <c r="E116" s="33"/>
      <c r="F116" s="33"/>
      <c r="G116" s="33"/>
      <c r="H116" s="33"/>
      <c r="I116" s="33"/>
    </row>
    <row r="117" spans="1:9" x14ac:dyDescent="0.25">
      <c r="A117" s="29" t="str">
        <f t="shared" si="1"/>
        <v/>
      </c>
      <c r="B117" s="33"/>
      <c r="C117" s="33"/>
      <c r="D117" s="33"/>
      <c r="E117" s="33"/>
      <c r="F117" s="33"/>
      <c r="G117" s="33"/>
      <c r="H117" s="33"/>
      <c r="I117" s="33"/>
    </row>
    <row r="118" spans="1:9" x14ac:dyDescent="0.25">
      <c r="A118" s="29" t="str">
        <f t="shared" si="1"/>
        <v/>
      </c>
      <c r="B118" s="33"/>
      <c r="C118" s="33"/>
      <c r="D118" s="33"/>
      <c r="E118" s="33"/>
      <c r="F118" s="33"/>
      <c r="G118" s="33"/>
      <c r="H118" s="33"/>
      <c r="I118" s="33"/>
    </row>
    <row r="119" spans="1:9" x14ac:dyDescent="0.25">
      <c r="A119" s="29" t="str">
        <f t="shared" si="1"/>
        <v/>
      </c>
      <c r="B119" s="33"/>
      <c r="C119" s="33"/>
      <c r="D119" s="33"/>
      <c r="E119" s="33"/>
      <c r="F119" s="33"/>
      <c r="G119" s="33"/>
      <c r="H119" s="33"/>
      <c r="I119" s="33"/>
    </row>
    <row r="120" spans="1:9" x14ac:dyDescent="0.25">
      <c r="A120" s="29" t="str">
        <f t="shared" si="1"/>
        <v/>
      </c>
      <c r="B120" s="33"/>
      <c r="C120" s="33"/>
      <c r="D120" s="33"/>
      <c r="E120" s="33"/>
      <c r="F120" s="33"/>
      <c r="G120" s="33"/>
      <c r="H120" s="33"/>
      <c r="I120" s="33"/>
    </row>
    <row r="121" spans="1:9" x14ac:dyDescent="0.25">
      <c r="A121" s="29" t="str">
        <f t="shared" si="1"/>
        <v/>
      </c>
      <c r="B121" s="33"/>
      <c r="C121" s="33"/>
      <c r="D121" s="33"/>
      <c r="E121" s="33"/>
      <c r="F121" s="33"/>
      <c r="G121" s="33"/>
      <c r="H121" s="33"/>
      <c r="I121" s="33"/>
    </row>
    <row r="122" spans="1:9" x14ac:dyDescent="0.25">
      <c r="A122" s="29" t="str">
        <f t="shared" si="1"/>
        <v/>
      </c>
      <c r="B122" s="33"/>
      <c r="C122" s="33"/>
      <c r="D122" s="33"/>
      <c r="E122" s="33"/>
      <c r="F122" s="33"/>
      <c r="G122" s="33"/>
      <c r="H122" s="33"/>
      <c r="I122" s="33"/>
    </row>
    <row r="123" spans="1:9" x14ac:dyDescent="0.25">
      <c r="A123" s="29" t="str">
        <f t="shared" si="1"/>
        <v/>
      </c>
      <c r="B123" s="33"/>
      <c r="C123" s="33"/>
      <c r="D123" s="33"/>
      <c r="E123" s="33"/>
      <c r="F123" s="33"/>
      <c r="G123" s="33"/>
      <c r="H123" s="33"/>
      <c r="I123" s="33"/>
    </row>
    <row r="124" spans="1:9" x14ac:dyDescent="0.25">
      <c r="A124" s="29" t="str">
        <f t="shared" si="1"/>
        <v/>
      </c>
      <c r="B124" s="33"/>
      <c r="C124" s="33"/>
      <c r="D124" s="33"/>
      <c r="E124" s="33"/>
      <c r="F124" s="33"/>
      <c r="G124" s="33"/>
      <c r="H124" s="33"/>
      <c r="I124" s="33"/>
    </row>
    <row r="125" spans="1:9" x14ac:dyDescent="0.25">
      <c r="A125" s="29" t="str">
        <f t="shared" si="1"/>
        <v/>
      </c>
      <c r="B125" s="33"/>
      <c r="C125" s="33"/>
      <c r="D125" s="33"/>
      <c r="E125" s="33"/>
      <c r="F125" s="33"/>
      <c r="G125" s="33"/>
      <c r="H125" s="33"/>
      <c r="I125" s="33"/>
    </row>
    <row r="126" spans="1:9" x14ac:dyDescent="0.25">
      <c r="A126" s="29" t="str">
        <f t="shared" si="1"/>
        <v/>
      </c>
      <c r="B126" s="33"/>
      <c r="C126" s="33"/>
      <c r="D126" s="33"/>
      <c r="E126" s="33"/>
      <c r="F126" s="33"/>
      <c r="G126" s="33"/>
      <c r="H126" s="33"/>
      <c r="I126" s="33"/>
    </row>
    <row r="127" spans="1:9" x14ac:dyDescent="0.25">
      <c r="A127" s="29" t="str">
        <f t="shared" si="1"/>
        <v/>
      </c>
      <c r="B127" s="33"/>
      <c r="C127" s="33"/>
      <c r="D127" s="33"/>
      <c r="E127" s="33"/>
      <c r="F127" s="33"/>
      <c r="G127" s="33"/>
      <c r="H127" s="33"/>
      <c r="I127" s="33"/>
    </row>
    <row r="128" spans="1:9" x14ac:dyDescent="0.25">
      <c r="A128" s="29" t="str">
        <f t="shared" si="1"/>
        <v/>
      </c>
      <c r="B128" s="33"/>
      <c r="C128" s="33"/>
      <c r="D128" s="33"/>
      <c r="E128" s="33"/>
      <c r="F128" s="33"/>
      <c r="G128" s="33"/>
      <c r="H128" s="33"/>
      <c r="I128" s="33"/>
    </row>
    <row r="129" spans="1:9" x14ac:dyDescent="0.25">
      <c r="A129" s="29" t="str">
        <f t="shared" si="1"/>
        <v/>
      </c>
      <c r="B129" s="33"/>
      <c r="C129" s="33"/>
      <c r="D129" s="33"/>
      <c r="E129" s="33"/>
      <c r="F129" s="33"/>
      <c r="G129" s="33"/>
      <c r="H129" s="33"/>
      <c r="I129" s="33"/>
    </row>
    <row r="130" spans="1:9" x14ac:dyDescent="0.25">
      <c r="A130" s="29" t="str">
        <f t="shared" ref="A130:A193" si="2">_xlfn.CONCAT(B130,C130)</f>
        <v/>
      </c>
      <c r="B130" s="33"/>
      <c r="C130" s="33"/>
      <c r="D130" s="33"/>
      <c r="E130" s="33"/>
      <c r="F130" s="33"/>
      <c r="G130" s="33"/>
      <c r="H130" s="33"/>
      <c r="I130" s="33"/>
    </row>
    <row r="131" spans="1:9" x14ac:dyDescent="0.25">
      <c r="A131" s="29" t="str">
        <f t="shared" si="2"/>
        <v/>
      </c>
      <c r="B131" s="33"/>
      <c r="C131" s="33"/>
      <c r="D131" s="33"/>
      <c r="E131" s="33"/>
      <c r="F131" s="33"/>
      <c r="G131" s="33"/>
      <c r="H131" s="33"/>
      <c r="I131" s="33"/>
    </row>
    <row r="132" spans="1:9" x14ac:dyDescent="0.25">
      <c r="A132" s="29" t="str">
        <f t="shared" si="2"/>
        <v/>
      </c>
      <c r="B132" s="33"/>
      <c r="C132" s="33"/>
      <c r="D132" s="33"/>
      <c r="E132" s="33"/>
      <c r="F132" s="33"/>
      <c r="G132" s="33"/>
      <c r="H132" s="33"/>
      <c r="I132" s="33"/>
    </row>
    <row r="133" spans="1:9" x14ac:dyDescent="0.25">
      <c r="A133" s="29" t="str">
        <f t="shared" si="2"/>
        <v/>
      </c>
      <c r="B133" s="33"/>
      <c r="C133" s="33"/>
      <c r="D133" s="33"/>
      <c r="E133" s="33"/>
      <c r="F133" s="33"/>
      <c r="G133" s="33"/>
      <c r="H133" s="33"/>
      <c r="I133" s="33"/>
    </row>
    <row r="134" spans="1:9" x14ac:dyDescent="0.25">
      <c r="A134" s="29" t="str">
        <f t="shared" si="2"/>
        <v/>
      </c>
      <c r="B134" s="33"/>
      <c r="C134" s="33"/>
      <c r="D134" s="33"/>
      <c r="E134" s="33"/>
      <c r="F134" s="33"/>
      <c r="G134" s="33"/>
      <c r="H134" s="33"/>
      <c r="I134" s="33"/>
    </row>
    <row r="135" spans="1:9" x14ac:dyDescent="0.25">
      <c r="A135" s="29" t="str">
        <f t="shared" si="2"/>
        <v/>
      </c>
      <c r="B135" s="33"/>
      <c r="C135" s="33"/>
      <c r="D135" s="33"/>
      <c r="E135" s="33"/>
      <c r="F135" s="33"/>
      <c r="G135" s="33"/>
      <c r="H135" s="33"/>
      <c r="I135" s="33"/>
    </row>
    <row r="136" spans="1:9" x14ac:dyDescent="0.25">
      <c r="A136" s="29" t="str">
        <f t="shared" si="2"/>
        <v/>
      </c>
      <c r="B136" s="33"/>
      <c r="C136" s="33"/>
      <c r="D136" s="33"/>
      <c r="E136" s="33"/>
      <c r="F136" s="33"/>
      <c r="G136" s="33"/>
      <c r="H136" s="33"/>
      <c r="I136" s="33"/>
    </row>
    <row r="137" spans="1:9" x14ac:dyDescent="0.25">
      <c r="A137" s="29" t="str">
        <f t="shared" si="2"/>
        <v/>
      </c>
      <c r="B137" s="33"/>
      <c r="C137" s="33"/>
      <c r="D137" s="33"/>
      <c r="E137" s="33"/>
      <c r="F137" s="33"/>
      <c r="G137" s="33"/>
      <c r="H137" s="33"/>
      <c r="I137" s="33"/>
    </row>
    <row r="138" spans="1:9" x14ac:dyDescent="0.25">
      <c r="A138" s="29" t="str">
        <f t="shared" si="2"/>
        <v/>
      </c>
      <c r="B138" s="33"/>
      <c r="C138" s="33"/>
      <c r="D138" s="33"/>
      <c r="E138" s="33"/>
      <c r="F138" s="33"/>
      <c r="G138" s="33"/>
      <c r="H138" s="33"/>
      <c r="I138" s="33"/>
    </row>
    <row r="139" spans="1:9" x14ac:dyDescent="0.25">
      <c r="A139" s="29" t="str">
        <f t="shared" si="2"/>
        <v/>
      </c>
      <c r="B139" s="33"/>
      <c r="C139" s="33"/>
      <c r="D139" s="33"/>
      <c r="E139" s="33"/>
      <c r="F139" s="33"/>
      <c r="G139" s="33"/>
      <c r="H139" s="33"/>
      <c r="I139" s="33"/>
    </row>
    <row r="140" spans="1:9" x14ac:dyDescent="0.25">
      <c r="A140" s="29" t="str">
        <f t="shared" si="2"/>
        <v/>
      </c>
      <c r="B140" s="33"/>
      <c r="C140" s="33"/>
      <c r="D140" s="33"/>
      <c r="E140" s="33"/>
      <c r="F140" s="33"/>
      <c r="G140" s="33"/>
      <c r="H140" s="33"/>
      <c r="I140" s="33"/>
    </row>
    <row r="141" spans="1:9" x14ac:dyDescent="0.25">
      <c r="A141" s="29" t="str">
        <f t="shared" si="2"/>
        <v/>
      </c>
      <c r="B141" s="33"/>
      <c r="C141" s="33"/>
      <c r="D141" s="33"/>
      <c r="E141" s="33"/>
      <c r="F141" s="33"/>
      <c r="G141" s="33"/>
      <c r="H141" s="33"/>
      <c r="I141" s="33"/>
    </row>
    <row r="142" spans="1:9" x14ac:dyDescent="0.25">
      <c r="A142" s="29" t="str">
        <f t="shared" si="2"/>
        <v/>
      </c>
      <c r="B142" s="33"/>
      <c r="C142" s="33"/>
      <c r="D142" s="33"/>
      <c r="E142" s="33"/>
      <c r="F142" s="33"/>
      <c r="G142" s="33"/>
      <c r="H142" s="33"/>
      <c r="I142" s="33"/>
    </row>
    <row r="143" spans="1:9" x14ac:dyDescent="0.25">
      <c r="A143" s="29" t="str">
        <f t="shared" si="2"/>
        <v/>
      </c>
      <c r="B143" s="33"/>
      <c r="C143" s="33"/>
      <c r="D143" s="33"/>
      <c r="E143" s="33"/>
      <c r="F143" s="33"/>
      <c r="G143" s="33"/>
      <c r="H143" s="33"/>
      <c r="I143" s="33"/>
    </row>
    <row r="144" spans="1:9" x14ac:dyDescent="0.25">
      <c r="A144" s="29" t="str">
        <f t="shared" si="2"/>
        <v/>
      </c>
      <c r="B144" s="33"/>
      <c r="C144" s="33"/>
      <c r="D144" s="33"/>
      <c r="E144" s="33"/>
      <c r="F144" s="33"/>
      <c r="G144" s="33"/>
      <c r="H144" s="33"/>
      <c r="I144" s="33"/>
    </row>
    <row r="145" spans="1:9" x14ac:dyDescent="0.25">
      <c r="A145" s="29" t="str">
        <f t="shared" si="2"/>
        <v/>
      </c>
      <c r="B145" s="33"/>
      <c r="C145" s="33"/>
      <c r="D145" s="33"/>
      <c r="E145" s="33"/>
      <c r="F145" s="33"/>
      <c r="G145" s="33"/>
      <c r="H145" s="33"/>
      <c r="I145" s="33"/>
    </row>
    <row r="146" spans="1:9" x14ac:dyDescent="0.25">
      <c r="A146" s="29" t="str">
        <f t="shared" si="2"/>
        <v/>
      </c>
      <c r="B146" s="33"/>
      <c r="C146" s="33"/>
      <c r="D146" s="33"/>
      <c r="E146" s="33"/>
      <c r="F146" s="33"/>
      <c r="G146" s="33"/>
      <c r="H146" s="33"/>
      <c r="I146" s="33"/>
    </row>
    <row r="147" spans="1:9" x14ac:dyDescent="0.25">
      <c r="A147" s="29" t="str">
        <f t="shared" si="2"/>
        <v/>
      </c>
      <c r="B147" s="33"/>
      <c r="C147" s="33"/>
      <c r="D147" s="33"/>
      <c r="E147" s="33"/>
      <c r="F147" s="33"/>
      <c r="G147" s="33"/>
      <c r="H147" s="33"/>
      <c r="I147" s="33"/>
    </row>
    <row r="148" spans="1:9" x14ac:dyDescent="0.25">
      <c r="A148" s="29" t="str">
        <f t="shared" si="2"/>
        <v/>
      </c>
      <c r="B148" s="33"/>
      <c r="C148" s="33"/>
      <c r="D148" s="33"/>
      <c r="E148" s="33"/>
      <c r="F148" s="33"/>
      <c r="G148" s="33"/>
      <c r="H148" s="33"/>
      <c r="I148" s="33"/>
    </row>
    <row r="149" spans="1:9" x14ac:dyDescent="0.25">
      <c r="A149" s="29" t="str">
        <f t="shared" si="2"/>
        <v/>
      </c>
      <c r="B149" s="33"/>
      <c r="C149" s="33"/>
      <c r="D149" s="33"/>
      <c r="E149" s="33"/>
      <c r="F149" s="33"/>
      <c r="G149" s="33"/>
      <c r="H149" s="33"/>
      <c r="I149" s="33"/>
    </row>
    <row r="150" spans="1:9" x14ac:dyDescent="0.25">
      <c r="A150" s="29" t="str">
        <f t="shared" si="2"/>
        <v/>
      </c>
      <c r="B150" s="33"/>
      <c r="C150" s="33"/>
      <c r="D150" s="33"/>
      <c r="E150" s="33"/>
      <c r="F150" s="33"/>
      <c r="G150" s="33"/>
      <c r="H150" s="33"/>
      <c r="I150" s="33"/>
    </row>
    <row r="151" spans="1:9" x14ac:dyDescent="0.25">
      <c r="A151" s="29" t="str">
        <f t="shared" si="2"/>
        <v/>
      </c>
      <c r="B151" s="33"/>
      <c r="C151" s="33"/>
      <c r="D151" s="33"/>
      <c r="E151" s="33"/>
      <c r="F151" s="33"/>
      <c r="G151" s="33"/>
      <c r="H151" s="33"/>
      <c r="I151" s="33"/>
    </row>
    <row r="152" spans="1:9" x14ac:dyDescent="0.25">
      <c r="A152" s="29" t="str">
        <f t="shared" si="2"/>
        <v/>
      </c>
      <c r="B152" s="33"/>
      <c r="C152" s="33"/>
      <c r="D152" s="33"/>
      <c r="E152" s="33"/>
      <c r="F152" s="33"/>
      <c r="G152" s="33"/>
      <c r="H152" s="33"/>
      <c r="I152" s="33"/>
    </row>
    <row r="153" spans="1:9" x14ac:dyDescent="0.25">
      <c r="A153" s="29" t="str">
        <f t="shared" si="2"/>
        <v/>
      </c>
      <c r="B153" s="33"/>
      <c r="C153" s="33"/>
      <c r="D153" s="33"/>
      <c r="E153" s="33"/>
      <c r="F153" s="33"/>
      <c r="G153" s="33"/>
      <c r="H153" s="33"/>
      <c r="I153" s="33"/>
    </row>
    <row r="154" spans="1:9" x14ac:dyDescent="0.25">
      <c r="A154" s="29" t="str">
        <f t="shared" si="2"/>
        <v/>
      </c>
      <c r="B154" s="33"/>
      <c r="C154" s="33"/>
      <c r="D154" s="33"/>
      <c r="E154" s="33"/>
      <c r="F154" s="33"/>
      <c r="G154" s="33"/>
      <c r="H154" s="33"/>
      <c r="I154" s="33"/>
    </row>
    <row r="155" spans="1:9" x14ac:dyDescent="0.25">
      <c r="A155" s="29" t="str">
        <f t="shared" si="2"/>
        <v/>
      </c>
      <c r="B155" s="33"/>
      <c r="C155" s="33"/>
      <c r="D155" s="33"/>
      <c r="E155" s="33"/>
      <c r="F155" s="33"/>
      <c r="G155" s="33"/>
      <c r="H155" s="33"/>
      <c r="I155" s="33"/>
    </row>
    <row r="156" spans="1:9" x14ac:dyDescent="0.25">
      <c r="A156" s="29" t="str">
        <f t="shared" si="2"/>
        <v/>
      </c>
      <c r="B156" s="33"/>
      <c r="C156" s="33"/>
      <c r="D156" s="33"/>
      <c r="E156" s="33"/>
      <c r="F156" s="33"/>
      <c r="G156" s="33"/>
      <c r="H156" s="33"/>
      <c r="I156" s="33"/>
    </row>
    <row r="157" spans="1:9" x14ac:dyDescent="0.25">
      <c r="A157" s="29" t="str">
        <f t="shared" si="2"/>
        <v/>
      </c>
      <c r="B157" s="33"/>
      <c r="C157" s="33"/>
      <c r="D157" s="33"/>
      <c r="E157" s="33"/>
      <c r="F157" s="33"/>
      <c r="G157" s="33"/>
      <c r="H157" s="33"/>
      <c r="I157" s="33"/>
    </row>
    <row r="158" spans="1:9" x14ac:dyDescent="0.25">
      <c r="A158" s="29" t="str">
        <f t="shared" si="2"/>
        <v/>
      </c>
      <c r="B158" s="33"/>
      <c r="C158" s="33"/>
      <c r="D158" s="33"/>
      <c r="E158" s="33"/>
      <c r="F158" s="33"/>
      <c r="G158" s="33"/>
      <c r="H158" s="33"/>
      <c r="I158" s="33"/>
    </row>
    <row r="159" spans="1:9" x14ac:dyDescent="0.25">
      <c r="A159" s="29" t="str">
        <f t="shared" si="2"/>
        <v/>
      </c>
      <c r="B159" s="33"/>
      <c r="C159" s="33"/>
      <c r="D159" s="33"/>
      <c r="E159" s="33"/>
      <c r="F159" s="33"/>
      <c r="G159" s="33"/>
      <c r="H159" s="33"/>
      <c r="I159" s="33"/>
    </row>
    <row r="160" spans="1:9" x14ac:dyDescent="0.25">
      <c r="A160" s="29" t="str">
        <f t="shared" si="2"/>
        <v/>
      </c>
      <c r="B160" s="33"/>
      <c r="C160" s="33"/>
      <c r="D160" s="33"/>
      <c r="E160" s="33"/>
      <c r="F160" s="33"/>
      <c r="G160" s="33"/>
      <c r="H160" s="33"/>
      <c r="I160" s="33"/>
    </row>
    <row r="161" spans="1:9" x14ac:dyDescent="0.25">
      <c r="A161" s="29" t="str">
        <f t="shared" si="2"/>
        <v/>
      </c>
      <c r="B161" s="33"/>
      <c r="C161" s="33"/>
      <c r="D161" s="33"/>
      <c r="E161" s="33"/>
      <c r="F161" s="33"/>
      <c r="G161" s="33"/>
      <c r="H161" s="33"/>
      <c r="I161" s="33"/>
    </row>
    <row r="162" spans="1:9" x14ac:dyDescent="0.25">
      <c r="A162" s="29" t="str">
        <f t="shared" si="2"/>
        <v/>
      </c>
      <c r="B162" s="33"/>
      <c r="C162" s="33"/>
      <c r="D162" s="33"/>
      <c r="E162" s="33"/>
      <c r="F162" s="33"/>
      <c r="G162" s="33"/>
      <c r="H162" s="33"/>
      <c r="I162" s="33"/>
    </row>
    <row r="163" spans="1:9" x14ac:dyDescent="0.25">
      <c r="A163" s="29" t="str">
        <f t="shared" si="2"/>
        <v/>
      </c>
      <c r="B163" s="33"/>
      <c r="C163" s="33"/>
      <c r="D163" s="33"/>
      <c r="E163" s="33"/>
      <c r="F163" s="33"/>
      <c r="G163" s="33"/>
      <c r="H163" s="33"/>
      <c r="I163" s="33"/>
    </row>
    <row r="164" spans="1:9" x14ac:dyDescent="0.25">
      <c r="A164" s="29" t="str">
        <f t="shared" si="2"/>
        <v/>
      </c>
      <c r="B164" s="33"/>
      <c r="C164" s="33"/>
      <c r="D164" s="33"/>
      <c r="E164" s="33"/>
      <c r="F164" s="33"/>
      <c r="G164" s="33"/>
      <c r="H164" s="33"/>
      <c r="I164" s="33"/>
    </row>
    <row r="165" spans="1:9" x14ac:dyDescent="0.25">
      <c r="A165" s="29" t="str">
        <f t="shared" si="2"/>
        <v/>
      </c>
      <c r="B165" s="33"/>
      <c r="C165" s="33"/>
      <c r="D165" s="33"/>
      <c r="E165" s="33"/>
      <c r="F165" s="33"/>
      <c r="G165" s="33"/>
      <c r="H165" s="33"/>
      <c r="I165" s="33"/>
    </row>
    <row r="166" spans="1:9" x14ac:dyDescent="0.25">
      <c r="A166" s="29" t="str">
        <f t="shared" si="2"/>
        <v/>
      </c>
      <c r="B166" s="33"/>
      <c r="C166" s="33"/>
      <c r="D166" s="33"/>
      <c r="E166" s="33"/>
      <c r="F166" s="33"/>
      <c r="G166" s="33"/>
      <c r="H166" s="33"/>
      <c r="I166" s="33"/>
    </row>
    <row r="167" spans="1:9" x14ac:dyDescent="0.25">
      <c r="A167" s="29" t="str">
        <f t="shared" si="2"/>
        <v/>
      </c>
      <c r="B167" s="33"/>
      <c r="C167" s="33"/>
      <c r="D167" s="33"/>
      <c r="E167" s="33"/>
      <c r="F167" s="33"/>
      <c r="G167" s="33"/>
      <c r="H167" s="33"/>
      <c r="I167" s="33"/>
    </row>
    <row r="168" spans="1:9" x14ac:dyDescent="0.25">
      <c r="A168" s="29" t="str">
        <f t="shared" si="2"/>
        <v/>
      </c>
      <c r="B168" s="33"/>
      <c r="C168" s="33"/>
      <c r="D168" s="33"/>
      <c r="E168" s="33"/>
      <c r="F168" s="33"/>
      <c r="G168" s="33"/>
      <c r="H168" s="33"/>
      <c r="I168" s="33"/>
    </row>
    <row r="169" spans="1:9" x14ac:dyDescent="0.25">
      <c r="A169" s="29" t="str">
        <f t="shared" si="2"/>
        <v/>
      </c>
      <c r="B169" s="33"/>
      <c r="C169" s="33"/>
      <c r="D169" s="33"/>
      <c r="E169" s="33"/>
      <c r="F169" s="33"/>
      <c r="G169" s="33"/>
      <c r="H169" s="33"/>
      <c r="I169" s="33"/>
    </row>
    <row r="170" spans="1:9" x14ac:dyDescent="0.25">
      <c r="A170" s="29" t="str">
        <f t="shared" si="2"/>
        <v/>
      </c>
      <c r="B170" s="33"/>
      <c r="C170" s="33"/>
      <c r="D170" s="33"/>
      <c r="E170" s="33"/>
      <c r="F170" s="33"/>
      <c r="G170" s="33"/>
      <c r="H170" s="33"/>
      <c r="I170" s="33"/>
    </row>
    <row r="171" spans="1:9" x14ac:dyDescent="0.25">
      <c r="A171" s="29" t="str">
        <f t="shared" si="2"/>
        <v/>
      </c>
      <c r="B171" s="33"/>
      <c r="C171" s="33"/>
      <c r="D171" s="33"/>
      <c r="E171" s="33"/>
      <c r="F171" s="33"/>
      <c r="G171" s="33"/>
      <c r="H171" s="33"/>
      <c r="I171" s="33"/>
    </row>
    <row r="172" spans="1:9" x14ac:dyDescent="0.25">
      <c r="A172" s="29" t="str">
        <f t="shared" si="2"/>
        <v/>
      </c>
      <c r="B172" s="33"/>
      <c r="C172" s="33"/>
      <c r="D172" s="33"/>
      <c r="E172" s="33"/>
      <c r="F172" s="33"/>
      <c r="G172" s="33"/>
      <c r="H172" s="33"/>
      <c r="I172" s="33"/>
    </row>
    <row r="173" spans="1:9" x14ac:dyDescent="0.25">
      <c r="A173" s="29" t="str">
        <f t="shared" si="2"/>
        <v/>
      </c>
      <c r="B173" s="33"/>
      <c r="C173" s="33"/>
      <c r="D173" s="33"/>
      <c r="E173" s="33"/>
      <c r="F173" s="33"/>
      <c r="G173" s="33"/>
      <c r="H173" s="33"/>
      <c r="I173" s="33"/>
    </row>
    <row r="174" spans="1:9" x14ac:dyDescent="0.25">
      <c r="A174" s="29" t="str">
        <f t="shared" si="2"/>
        <v/>
      </c>
      <c r="B174" s="33"/>
      <c r="C174" s="33"/>
      <c r="D174" s="33"/>
      <c r="E174" s="33"/>
      <c r="F174" s="33"/>
      <c r="G174" s="33"/>
      <c r="H174" s="33"/>
      <c r="I174" s="33"/>
    </row>
    <row r="175" spans="1:9" x14ac:dyDescent="0.25">
      <c r="A175" s="29" t="str">
        <f t="shared" si="2"/>
        <v/>
      </c>
      <c r="B175" s="33"/>
      <c r="C175" s="33"/>
      <c r="D175" s="33"/>
      <c r="E175" s="33"/>
      <c r="F175" s="33"/>
      <c r="G175" s="33"/>
      <c r="H175" s="33"/>
      <c r="I175" s="33"/>
    </row>
    <row r="176" spans="1:9" x14ac:dyDescent="0.25">
      <c r="A176" s="29" t="str">
        <f t="shared" si="2"/>
        <v/>
      </c>
      <c r="B176" s="33"/>
      <c r="C176" s="33"/>
      <c r="D176" s="33"/>
      <c r="E176" s="33"/>
      <c r="F176" s="33"/>
      <c r="G176" s="33"/>
      <c r="H176" s="33"/>
      <c r="I176" s="33"/>
    </row>
    <row r="177" spans="1:9" x14ac:dyDescent="0.25">
      <c r="A177" s="29" t="str">
        <f t="shared" si="2"/>
        <v/>
      </c>
      <c r="B177" s="33"/>
      <c r="C177" s="33"/>
      <c r="D177" s="33"/>
      <c r="E177" s="33"/>
      <c r="F177" s="33"/>
      <c r="G177" s="33"/>
      <c r="H177" s="33"/>
      <c r="I177" s="33"/>
    </row>
    <row r="178" spans="1:9" x14ac:dyDescent="0.25">
      <c r="A178" s="29" t="str">
        <f t="shared" si="2"/>
        <v/>
      </c>
      <c r="B178" s="33"/>
      <c r="C178" s="33"/>
      <c r="D178" s="33"/>
      <c r="E178" s="33"/>
      <c r="F178" s="33"/>
      <c r="G178" s="33"/>
      <c r="H178" s="33"/>
      <c r="I178" s="33"/>
    </row>
    <row r="179" spans="1:9" x14ac:dyDescent="0.25">
      <c r="A179" s="29" t="str">
        <f t="shared" si="2"/>
        <v/>
      </c>
      <c r="B179" s="33"/>
      <c r="C179" s="33"/>
      <c r="D179" s="33"/>
      <c r="E179" s="33"/>
      <c r="F179" s="33"/>
      <c r="G179" s="33"/>
      <c r="H179" s="33"/>
      <c r="I179" s="33"/>
    </row>
    <row r="180" spans="1:9" x14ac:dyDescent="0.25">
      <c r="A180" s="29" t="str">
        <f t="shared" si="2"/>
        <v/>
      </c>
      <c r="B180" s="33"/>
      <c r="C180" s="33"/>
      <c r="D180" s="33"/>
      <c r="E180" s="33"/>
      <c r="F180" s="33"/>
      <c r="G180" s="33"/>
      <c r="H180" s="33"/>
      <c r="I180" s="33"/>
    </row>
    <row r="181" spans="1:9" x14ac:dyDescent="0.25">
      <c r="A181" s="29" t="str">
        <f t="shared" si="2"/>
        <v/>
      </c>
      <c r="B181" s="33"/>
      <c r="C181" s="33"/>
      <c r="D181" s="33"/>
      <c r="E181" s="33"/>
      <c r="F181" s="33"/>
      <c r="G181" s="33"/>
      <c r="H181" s="33"/>
      <c r="I181" s="33"/>
    </row>
    <row r="182" spans="1:9" x14ac:dyDescent="0.25">
      <c r="A182" s="29" t="str">
        <f t="shared" si="2"/>
        <v/>
      </c>
      <c r="B182" s="33"/>
      <c r="C182" s="33"/>
      <c r="D182" s="33"/>
      <c r="E182" s="33"/>
      <c r="F182" s="33"/>
      <c r="G182" s="33"/>
      <c r="H182" s="33"/>
      <c r="I182" s="33"/>
    </row>
    <row r="183" spans="1:9" x14ac:dyDescent="0.25">
      <c r="A183" s="29" t="str">
        <f t="shared" si="2"/>
        <v/>
      </c>
      <c r="B183" s="33"/>
      <c r="C183" s="33"/>
      <c r="D183" s="33"/>
      <c r="E183" s="33"/>
      <c r="F183" s="33"/>
      <c r="G183" s="33"/>
      <c r="H183" s="33"/>
      <c r="I183" s="33"/>
    </row>
    <row r="184" spans="1:9" x14ac:dyDescent="0.25">
      <c r="A184" s="29" t="str">
        <f t="shared" si="2"/>
        <v/>
      </c>
      <c r="B184" s="33"/>
      <c r="C184" s="33"/>
      <c r="D184" s="33"/>
      <c r="E184" s="33"/>
      <c r="F184" s="33"/>
      <c r="G184" s="33"/>
      <c r="H184" s="33"/>
      <c r="I184" s="33"/>
    </row>
    <row r="185" spans="1:9" x14ac:dyDescent="0.25">
      <c r="A185" s="29" t="str">
        <f t="shared" si="2"/>
        <v/>
      </c>
      <c r="B185" s="33"/>
      <c r="C185" s="33"/>
      <c r="D185" s="33"/>
      <c r="E185" s="33"/>
      <c r="F185" s="33"/>
      <c r="G185" s="33"/>
      <c r="H185" s="33"/>
      <c r="I185" s="33"/>
    </row>
    <row r="186" spans="1:9" x14ac:dyDescent="0.25">
      <c r="A186" s="29" t="str">
        <f t="shared" si="2"/>
        <v/>
      </c>
      <c r="B186" s="33"/>
      <c r="C186" s="33"/>
      <c r="D186" s="33"/>
      <c r="E186" s="33"/>
      <c r="F186" s="33"/>
      <c r="G186" s="33"/>
      <c r="H186" s="33"/>
      <c r="I186" s="33"/>
    </row>
    <row r="187" spans="1:9" x14ac:dyDescent="0.25">
      <c r="A187" s="29" t="str">
        <f t="shared" si="2"/>
        <v/>
      </c>
      <c r="B187" s="33"/>
      <c r="C187" s="33"/>
      <c r="D187" s="33"/>
      <c r="E187" s="33"/>
      <c r="F187" s="33"/>
      <c r="G187" s="33"/>
      <c r="H187" s="33"/>
      <c r="I187" s="33"/>
    </row>
    <row r="188" spans="1:9" x14ac:dyDescent="0.25">
      <c r="A188" s="29" t="str">
        <f t="shared" si="2"/>
        <v/>
      </c>
      <c r="B188" s="33"/>
      <c r="C188" s="33"/>
      <c r="D188" s="33"/>
      <c r="E188" s="33"/>
      <c r="F188" s="33"/>
      <c r="G188" s="33"/>
      <c r="H188" s="33"/>
      <c r="I188" s="33"/>
    </row>
    <row r="189" spans="1:9" x14ac:dyDescent="0.25">
      <c r="A189" s="29" t="str">
        <f t="shared" si="2"/>
        <v/>
      </c>
      <c r="B189" s="33"/>
      <c r="C189" s="33"/>
      <c r="D189" s="33"/>
      <c r="E189" s="33"/>
      <c r="F189" s="33"/>
      <c r="G189" s="33"/>
      <c r="H189" s="33"/>
      <c r="I189" s="33"/>
    </row>
    <row r="190" spans="1:9" x14ac:dyDescent="0.25">
      <c r="A190" s="29" t="str">
        <f t="shared" si="2"/>
        <v/>
      </c>
      <c r="B190" s="33"/>
      <c r="C190" s="33"/>
      <c r="D190" s="33"/>
      <c r="E190" s="33"/>
      <c r="F190" s="33"/>
      <c r="G190" s="33"/>
      <c r="H190" s="33"/>
      <c r="I190" s="33"/>
    </row>
    <row r="191" spans="1:9" x14ac:dyDescent="0.25">
      <c r="A191" s="29" t="str">
        <f t="shared" si="2"/>
        <v/>
      </c>
      <c r="B191" s="33"/>
      <c r="C191" s="33"/>
      <c r="D191" s="33"/>
      <c r="E191" s="33"/>
      <c r="F191" s="33"/>
      <c r="G191" s="33"/>
      <c r="H191" s="33"/>
      <c r="I191" s="33"/>
    </row>
    <row r="192" spans="1:9" x14ac:dyDescent="0.25">
      <c r="A192" s="29" t="str">
        <f t="shared" si="2"/>
        <v/>
      </c>
      <c r="B192" s="33"/>
      <c r="C192" s="33"/>
      <c r="D192" s="33"/>
      <c r="E192" s="33"/>
      <c r="F192" s="33"/>
      <c r="G192" s="33"/>
      <c r="H192" s="33"/>
      <c r="I192" s="33"/>
    </row>
    <row r="193" spans="1:9" x14ac:dyDescent="0.25">
      <c r="A193" s="29" t="str">
        <f t="shared" si="2"/>
        <v/>
      </c>
      <c r="B193" s="33"/>
      <c r="C193" s="33"/>
      <c r="D193" s="33"/>
      <c r="E193" s="33"/>
      <c r="F193" s="33"/>
      <c r="G193" s="33"/>
      <c r="H193" s="33"/>
      <c r="I193" s="33"/>
    </row>
    <row r="194" spans="1:9" x14ac:dyDescent="0.25">
      <c r="A194" s="29" t="str">
        <f t="shared" ref="A194:A253" si="3">_xlfn.CONCAT(B194,C194)</f>
        <v/>
      </c>
      <c r="B194" s="33"/>
      <c r="C194" s="33"/>
      <c r="D194" s="33"/>
      <c r="E194" s="33"/>
      <c r="F194" s="33"/>
      <c r="G194" s="33"/>
      <c r="H194" s="33"/>
      <c r="I194" s="33"/>
    </row>
    <row r="195" spans="1:9" x14ac:dyDescent="0.25">
      <c r="A195" s="29" t="str">
        <f t="shared" si="3"/>
        <v/>
      </c>
      <c r="B195" s="33"/>
      <c r="C195" s="33"/>
      <c r="D195" s="33"/>
      <c r="E195" s="33"/>
      <c r="F195" s="33"/>
      <c r="G195" s="33"/>
      <c r="H195" s="33"/>
      <c r="I195" s="33"/>
    </row>
    <row r="196" spans="1:9" x14ac:dyDescent="0.25">
      <c r="A196" s="29" t="str">
        <f t="shared" si="3"/>
        <v/>
      </c>
      <c r="B196" s="33"/>
      <c r="C196" s="33"/>
      <c r="D196" s="33"/>
      <c r="E196" s="33"/>
      <c r="F196" s="33"/>
      <c r="G196" s="33"/>
      <c r="H196" s="33"/>
      <c r="I196" s="33"/>
    </row>
    <row r="197" spans="1:9" x14ac:dyDescent="0.25">
      <c r="A197" s="29" t="str">
        <f t="shared" si="3"/>
        <v/>
      </c>
      <c r="B197" s="33"/>
      <c r="C197" s="33"/>
      <c r="D197" s="33"/>
      <c r="E197" s="33"/>
      <c r="F197" s="33"/>
      <c r="G197" s="33"/>
      <c r="H197" s="33"/>
      <c r="I197" s="33"/>
    </row>
    <row r="198" spans="1:9" x14ac:dyDescent="0.25">
      <c r="A198" s="29" t="str">
        <f t="shared" si="3"/>
        <v/>
      </c>
      <c r="B198" s="33"/>
      <c r="C198" s="33"/>
      <c r="D198" s="33"/>
      <c r="E198" s="33"/>
      <c r="F198" s="33"/>
      <c r="G198" s="33"/>
      <c r="H198" s="33"/>
      <c r="I198" s="33"/>
    </row>
    <row r="199" spans="1:9" x14ac:dyDescent="0.25">
      <c r="A199" s="29" t="str">
        <f t="shared" si="3"/>
        <v/>
      </c>
      <c r="B199" s="33"/>
      <c r="C199" s="33"/>
      <c r="D199" s="33"/>
      <c r="E199" s="33"/>
      <c r="F199" s="33"/>
      <c r="G199" s="33"/>
      <c r="H199" s="33"/>
      <c r="I199" s="33"/>
    </row>
    <row r="200" spans="1:9" x14ac:dyDescent="0.25">
      <c r="A200" s="29" t="str">
        <f t="shared" si="3"/>
        <v/>
      </c>
      <c r="B200" s="33"/>
      <c r="C200" s="33"/>
      <c r="D200" s="33"/>
      <c r="E200" s="33"/>
      <c r="F200" s="33"/>
      <c r="G200" s="33"/>
      <c r="H200" s="33"/>
      <c r="I200" s="33"/>
    </row>
    <row r="201" spans="1:9" x14ac:dyDescent="0.25">
      <c r="A201" s="29" t="str">
        <f t="shared" si="3"/>
        <v/>
      </c>
      <c r="B201" s="33"/>
      <c r="C201" s="33"/>
      <c r="D201" s="33"/>
      <c r="E201" s="33"/>
      <c r="F201" s="33"/>
      <c r="G201" s="33"/>
      <c r="H201" s="33"/>
      <c r="I201" s="33"/>
    </row>
    <row r="202" spans="1:9" x14ac:dyDescent="0.25">
      <c r="A202" s="29" t="str">
        <f t="shared" si="3"/>
        <v/>
      </c>
      <c r="B202" s="33"/>
      <c r="C202" s="33"/>
      <c r="D202" s="33"/>
      <c r="E202" s="33"/>
      <c r="F202" s="33"/>
      <c r="G202" s="33"/>
      <c r="H202" s="33"/>
      <c r="I202" s="33"/>
    </row>
    <row r="203" spans="1:9" x14ac:dyDescent="0.25">
      <c r="A203" s="29" t="str">
        <f t="shared" si="3"/>
        <v/>
      </c>
      <c r="B203" s="33"/>
      <c r="C203" s="33"/>
      <c r="D203" s="33"/>
      <c r="E203" s="33"/>
      <c r="F203" s="33"/>
      <c r="G203" s="33"/>
      <c r="H203" s="33"/>
      <c r="I203" s="33"/>
    </row>
    <row r="204" spans="1:9" x14ac:dyDescent="0.25">
      <c r="A204" s="29" t="str">
        <f t="shared" si="3"/>
        <v/>
      </c>
      <c r="B204" s="33"/>
      <c r="C204" s="33"/>
      <c r="D204" s="33"/>
      <c r="E204" s="33"/>
      <c r="F204" s="33"/>
      <c r="G204" s="33"/>
      <c r="H204" s="33"/>
      <c r="I204" s="33"/>
    </row>
    <row r="205" spans="1:9" x14ac:dyDescent="0.25">
      <c r="A205" s="29" t="str">
        <f t="shared" si="3"/>
        <v/>
      </c>
      <c r="B205" s="33"/>
      <c r="C205" s="33"/>
      <c r="D205" s="33"/>
      <c r="E205" s="33"/>
      <c r="F205" s="33"/>
      <c r="G205" s="33"/>
      <c r="H205" s="33"/>
      <c r="I205" s="33"/>
    </row>
    <row r="206" spans="1:9" x14ac:dyDescent="0.25">
      <c r="A206" s="29" t="str">
        <f t="shared" si="3"/>
        <v/>
      </c>
      <c r="B206" s="33"/>
      <c r="C206" s="33"/>
      <c r="D206" s="33"/>
      <c r="E206" s="33"/>
      <c r="F206" s="33"/>
      <c r="G206" s="33"/>
      <c r="H206" s="33"/>
      <c r="I206" s="33"/>
    </row>
    <row r="207" spans="1:9" x14ac:dyDescent="0.25">
      <c r="A207" s="29" t="str">
        <f t="shared" si="3"/>
        <v/>
      </c>
      <c r="B207" s="33"/>
      <c r="C207" s="33"/>
      <c r="D207" s="33"/>
      <c r="E207" s="33"/>
      <c r="F207" s="33"/>
      <c r="G207" s="33"/>
      <c r="H207" s="33"/>
      <c r="I207" s="33"/>
    </row>
    <row r="208" spans="1:9" x14ac:dyDescent="0.25">
      <c r="A208" s="29" t="str">
        <f t="shared" si="3"/>
        <v/>
      </c>
      <c r="B208" s="33"/>
      <c r="C208" s="33"/>
      <c r="D208" s="33"/>
      <c r="E208" s="33"/>
      <c r="F208" s="33"/>
      <c r="G208" s="33"/>
      <c r="H208" s="33"/>
      <c r="I208" s="33"/>
    </row>
    <row r="209" spans="1:9" x14ac:dyDescent="0.25">
      <c r="A209" s="29" t="str">
        <f t="shared" si="3"/>
        <v/>
      </c>
      <c r="B209" s="33"/>
      <c r="C209" s="33"/>
      <c r="D209" s="33"/>
      <c r="E209" s="33"/>
      <c r="F209" s="33"/>
      <c r="G209" s="33"/>
      <c r="H209" s="33"/>
      <c r="I209" s="33"/>
    </row>
    <row r="210" spans="1:9" x14ac:dyDescent="0.25">
      <c r="A210" s="29" t="str">
        <f t="shared" si="3"/>
        <v/>
      </c>
      <c r="B210" s="33"/>
      <c r="C210" s="33"/>
      <c r="D210" s="33"/>
      <c r="E210" s="33"/>
      <c r="F210" s="33"/>
      <c r="G210" s="33"/>
      <c r="H210" s="33"/>
      <c r="I210" s="33"/>
    </row>
    <row r="211" spans="1:9" x14ac:dyDescent="0.25">
      <c r="A211" s="29" t="str">
        <f t="shared" si="3"/>
        <v/>
      </c>
      <c r="B211" s="33"/>
      <c r="C211" s="33"/>
      <c r="D211" s="33"/>
      <c r="E211" s="33"/>
      <c r="F211" s="33"/>
      <c r="G211" s="33"/>
      <c r="H211" s="33"/>
      <c r="I211" s="33"/>
    </row>
    <row r="212" spans="1:9" x14ac:dyDescent="0.25">
      <c r="A212" s="29" t="str">
        <f t="shared" si="3"/>
        <v/>
      </c>
      <c r="B212" s="33"/>
      <c r="C212" s="33"/>
      <c r="D212" s="33"/>
      <c r="E212" s="33"/>
      <c r="F212" s="33"/>
      <c r="G212" s="33"/>
      <c r="H212" s="33"/>
      <c r="I212" s="33"/>
    </row>
    <row r="213" spans="1:9" x14ac:dyDescent="0.25">
      <c r="A213" s="29" t="str">
        <f t="shared" si="3"/>
        <v/>
      </c>
      <c r="B213" s="33"/>
      <c r="C213" s="33"/>
      <c r="D213" s="33"/>
      <c r="E213" s="33"/>
      <c r="F213" s="33"/>
      <c r="G213" s="33"/>
      <c r="H213" s="33"/>
      <c r="I213" s="33"/>
    </row>
    <row r="214" spans="1:9" x14ac:dyDescent="0.25">
      <c r="A214" s="29" t="str">
        <f t="shared" si="3"/>
        <v/>
      </c>
      <c r="B214" s="33"/>
      <c r="C214" s="33"/>
      <c r="D214" s="33"/>
      <c r="E214" s="33"/>
      <c r="F214" s="33"/>
      <c r="G214" s="33"/>
      <c r="H214" s="33"/>
      <c r="I214" s="33"/>
    </row>
    <row r="215" spans="1:9" x14ac:dyDescent="0.25">
      <c r="A215" s="29" t="str">
        <f t="shared" si="3"/>
        <v/>
      </c>
      <c r="B215" s="33"/>
      <c r="C215" s="33"/>
      <c r="D215" s="33"/>
      <c r="E215" s="33"/>
      <c r="F215" s="33"/>
      <c r="G215" s="33"/>
      <c r="H215" s="33"/>
      <c r="I215" s="33"/>
    </row>
    <row r="216" spans="1:9" x14ac:dyDescent="0.25">
      <c r="A216" s="29" t="str">
        <f t="shared" si="3"/>
        <v/>
      </c>
      <c r="B216" s="33"/>
      <c r="C216" s="33"/>
      <c r="D216" s="33"/>
      <c r="E216" s="33"/>
      <c r="F216" s="33"/>
      <c r="G216" s="33"/>
      <c r="H216" s="33"/>
      <c r="I216" s="33"/>
    </row>
    <row r="217" spans="1:9" x14ac:dyDescent="0.25">
      <c r="A217" s="29" t="str">
        <f t="shared" si="3"/>
        <v/>
      </c>
      <c r="B217" s="33"/>
      <c r="C217" s="33"/>
      <c r="D217" s="33"/>
      <c r="E217" s="33"/>
      <c r="F217" s="33"/>
      <c r="G217" s="33"/>
      <c r="H217" s="33"/>
      <c r="I217" s="33"/>
    </row>
    <row r="218" spans="1:9" x14ac:dyDescent="0.25">
      <c r="A218" s="29" t="str">
        <f t="shared" si="3"/>
        <v/>
      </c>
      <c r="B218" s="33"/>
      <c r="C218" s="33"/>
      <c r="D218" s="33"/>
      <c r="E218" s="33"/>
      <c r="F218" s="33"/>
      <c r="G218" s="33"/>
      <c r="H218" s="33"/>
      <c r="I218" s="33"/>
    </row>
    <row r="219" spans="1:9" x14ac:dyDescent="0.25">
      <c r="A219" s="29" t="str">
        <f t="shared" si="3"/>
        <v/>
      </c>
      <c r="B219" s="33"/>
      <c r="C219" s="33"/>
      <c r="D219" s="33"/>
      <c r="E219" s="33"/>
      <c r="F219" s="33"/>
      <c r="G219" s="33"/>
      <c r="H219" s="33"/>
      <c r="I219" s="33"/>
    </row>
    <row r="220" spans="1:9" x14ac:dyDescent="0.25">
      <c r="A220" s="29" t="str">
        <f t="shared" si="3"/>
        <v/>
      </c>
      <c r="B220" s="33"/>
      <c r="C220" s="33"/>
      <c r="D220" s="33"/>
      <c r="E220" s="33"/>
      <c r="F220" s="33"/>
      <c r="G220" s="33"/>
      <c r="H220" s="33"/>
      <c r="I220" s="33"/>
    </row>
    <row r="221" spans="1:9" x14ac:dyDescent="0.25">
      <c r="A221" s="29" t="str">
        <f t="shared" si="3"/>
        <v/>
      </c>
      <c r="B221" s="33"/>
      <c r="C221" s="33"/>
      <c r="D221" s="33"/>
      <c r="E221" s="33"/>
      <c r="F221" s="33"/>
      <c r="G221" s="33"/>
      <c r="H221" s="33"/>
      <c r="I221" s="33"/>
    </row>
    <row r="222" spans="1:9" x14ac:dyDescent="0.25">
      <c r="A222" s="29" t="str">
        <f t="shared" si="3"/>
        <v/>
      </c>
      <c r="B222" s="33"/>
      <c r="C222" s="33"/>
      <c r="D222" s="33"/>
      <c r="E222" s="33"/>
      <c r="F222" s="33"/>
      <c r="G222" s="33"/>
      <c r="H222" s="33"/>
      <c r="I222" s="33"/>
    </row>
    <row r="223" spans="1:9" x14ac:dyDescent="0.25">
      <c r="A223" s="29" t="str">
        <f t="shared" si="3"/>
        <v/>
      </c>
      <c r="B223" s="33"/>
      <c r="C223" s="33"/>
      <c r="D223" s="33"/>
      <c r="E223" s="33"/>
      <c r="F223" s="33"/>
      <c r="G223" s="33"/>
      <c r="H223" s="33"/>
      <c r="I223" s="33"/>
    </row>
    <row r="224" spans="1:9" x14ac:dyDescent="0.25">
      <c r="A224" s="29" t="str">
        <f t="shared" si="3"/>
        <v/>
      </c>
      <c r="B224" s="33"/>
      <c r="C224" s="33"/>
      <c r="D224" s="33"/>
      <c r="E224" s="33"/>
      <c r="F224" s="33"/>
      <c r="G224" s="33"/>
      <c r="H224" s="33"/>
      <c r="I224" s="33"/>
    </row>
    <row r="225" spans="1:9" x14ac:dyDescent="0.25">
      <c r="A225" s="29" t="str">
        <f t="shared" si="3"/>
        <v/>
      </c>
      <c r="B225" s="33"/>
      <c r="C225" s="33"/>
      <c r="D225" s="33"/>
      <c r="E225" s="33"/>
      <c r="F225" s="33"/>
      <c r="G225" s="33"/>
      <c r="H225" s="33"/>
      <c r="I225" s="33"/>
    </row>
    <row r="226" spans="1:9" x14ac:dyDescent="0.25">
      <c r="A226" s="29" t="str">
        <f t="shared" si="3"/>
        <v/>
      </c>
      <c r="B226" s="33"/>
      <c r="C226" s="33"/>
      <c r="D226" s="33"/>
      <c r="E226" s="33"/>
      <c r="F226" s="33"/>
      <c r="G226" s="33"/>
      <c r="H226" s="33"/>
      <c r="I226" s="33"/>
    </row>
    <row r="227" spans="1:9" x14ac:dyDescent="0.25">
      <c r="A227" s="29" t="str">
        <f t="shared" si="3"/>
        <v/>
      </c>
      <c r="B227" s="33"/>
      <c r="C227" s="33"/>
      <c r="D227" s="33"/>
      <c r="E227" s="33"/>
      <c r="F227" s="33"/>
      <c r="G227" s="33"/>
      <c r="H227" s="33"/>
      <c r="I227" s="33"/>
    </row>
    <row r="228" spans="1:9" x14ac:dyDescent="0.25">
      <c r="A228" s="29" t="str">
        <f t="shared" si="3"/>
        <v/>
      </c>
      <c r="B228" s="33"/>
      <c r="C228" s="33"/>
      <c r="D228" s="33"/>
      <c r="E228" s="33"/>
      <c r="F228" s="33"/>
      <c r="G228" s="33"/>
      <c r="H228" s="33"/>
      <c r="I228" s="33"/>
    </row>
    <row r="229" spans="1:9" x14ac:dyDescent="0.25">
      <c r="A229" s="29" t="str">
        <f t="shared" si="3"/>
        <v/>
      </c>
      <c r="B229" s="33"/>
      <c r="C229" s="33"/>
      <c r="D229" s="33"/>
      <c r="E229" s="33"/>
      <c r="F229" s="33"/>
      <c r="G229" s="33"/>
      <c r="H229" s="33"/>
      <c r="I229" s="33"/>
    </row>
    <row r="230" spans="1:9" x14ac:dyDescent="0.25">
      <c r="A230" s="29" t="str">
        <f t="shared" si="3"/>
        <v/>
      </c>
      <c r="B230" s="33"/>
      <c r="C230" s="33"/>
      <c r="D230" s="33"/>
      <c r="E230" s="33"/>
      <c r="F230" s="33"/>
      <c r="G230" s="33"/>
      <c r="H230" s="33"/>
      <c r="I230" s="33"/>
    </row>
    <row r="231" spans="1:9" x14ac:dyDescent="0.25">
      <c r="A231" s="29" t="str">
        <f t="shared" si="3"/>
        <v/>
      </c>
      <c r="B231" s="33"/>
      <c r="C231" s="33"/>
      <c r="D231" s="33"/>
      <c r="E231" s="33"/>
      <c r="F231" s="33"/>
      <c r="G231" s="33"/>
      <c r="H231" s="33"/>
      <c r="I231" s="33"/>
    </row>
    <row r="232" spans="1:9" x14ac:dyDescent="0.25">
      <c r="A232" s="29" t="str">
        <f t="shared" si="3"/>
        <v/>
      </c>
      <c r="B232" s="33"/>
      <c r="C232" s="33"/>
      <c r="D232" s="33"/>
      <c r="E232" s="33"/>
      <c r="F232" s="33"/>
      <c r="G232" s="33"/>
      <c r="H232" s="33"/>
      <c r="I232" s="33"/>
    </row>
    <row r="233" spans="1:9" x14ac:dyDescent="0.25">
      <c r="A233" s="29" t="str">
        <f t="shared" si="3"/>
        <v/>
      </c>
      <c r="B233" s="33"/>
      <c r="C233" s="33"/>
      <c r="D233" s="33"/>
      <c r="E233" s="33"/>
      <c r="F233" s="33"/>
      <c r="G233" s="33"/>
      <c r="H233" s="33"/>
      <c r="I233" s="33"/>
    </row>
    <row r="234" spans="1:9" x14ac:dyDescent="0.25">
      <c r="A234" s="29" t="str">
        <f t="shared" si="3"/>
        <v/>
      </c>
      <c r="B234" s="33"/>
      <c r="C234" s="33"/>
      <c r="D234" s="33"/>
      <c r="E234" s="33"/>
      <c r="F234" s="33"/>
      <c r="G234" s="33"/>
      <c r="H234" s="33"/>
      <c r="I234" s="33"/>
    </row>
    <row r="235" spans="1:9" x14ac:dyDescent="0.25">
      <c r="A235" s="29" t="str">
        <f t="shared" si="3"/>
        <v/>
      </c>
      <c r="B235" s="33"/>
      <c r="C235" s="33"/>
      <c r="D235" s="33"/>
      <c r="E235" s="33"/>
      <c r="F235" s="33"/>
      <c r="G235" s="33"/>
      <c r="H235" s="33"/>
      <c r="I235" s="33"/>
    </row>
    <row r="236" spans="1:9" x14ac:dyDescent="0.25">
      <c r="A236" s="29" t="str">
        <f t="shared" si="3"/>
        <v/>
      </c>
      <c r="B236" s="33"/>
      <c r="C236" s="33"/>
      <c r="D236" s="33"/>
      <c r="E236" s="33"/>
      <c r="F236" s="33"/>
      <c r="G236" s="33"/>
      <c r="H236" s="33"/>
      <c r="I236" s="33"/>
    </row>
    <row r="237" spans="1:9" x14ac:dyDescent="0.25">
      <c r="A237" s="29" t="str">
        <f t="shared" si="3"/>
        <v/>
      </c>
      <c r="B237" s="33"/>
      <c r="C237" s="33"/>
      <c r="D237" s="33"/>
      <c r="E237" s="33"/>
      <c r="F237" s="33"/>
      <c r="G237" s="33"/>
      <c r="H237" s="33"/>
      <c r="I237" s="33"/>
    </row>
    <row r="238" spans="1:9" x14ac:dyDescent="0.25">
      <c r="A238" s="29" t="str">
        <f t="shared" si="3"/>
        <v/>
      </c>
      <c r="B238" s="33"/>
      <c r="C238" s="33"/>
      <c r="D238" s="33"/>
      <c r="E238" s="33"/>
      <c r="F238" s="33"/>
      <c r="G238" s="33"/>
      <c r="H238" s="33"/>
      <c r="I238" s="33"/>
    </row>
    <row r="239" spans="1:9" x14ac:dyDescent="0.25">
      <c r="A239" s="29" t="str">
        <f t="shared" si="3"/>
        <v/>
      </c>
      <c r="B239" s="33"/>
      <c r="C239" s="33"/>
      <c r="D239" s="33"/>
      <c r="E239" s="33"/>
      <c r="F239" s="33"/>
      <c r="G239" s="33"/>
      <c r="H239" s="33"/>
      <c r="I239" s="33"/>
    </row>
    <row r="240" spans="1:9" x14ac:dyDescent="0.25">
      <c r="A240" s="29" t="str">
        <f t="shared" si="3"/>
        <v/>
      </c>
      <c r="B240" s="33"/>
      <c r="C240" s="33"/>
      <c r="D240" s="33"/>
      <c r="E240" s="33"/>
      <c r="F240" s="33"/>
      <c r="G240" s="33"/>
      <c r="H240" s="33"/>
      <c r="I240" s="33"/>
    </row>
    <row r="241" spans="1:9" x14ac:dyDescent="0.25">
      <c r="A241" s="29" t="str">
        <f t="shared" si="3"/>
        <v/>
      </c>
      <c r="B241" s="33"/>
      <c r="C241" s="33"/>
      <c r="D241" s="33"/>
      <c r="E241" s="33"/>
      <c r="F241" s="33"/>
      <c r="G241" s="33"/>
      <c r="H241" s="33"/>
      <c r="I241" s="33"/>
    </row>
    <row r="242" spans="1:9" x14ac:dyDescent="0.25">
      <c r="A242" s="29" t="str">
        <f t="shared" si="3"/>
        <v/>
      </c>
      <c r="B242" s="33"/>
      <c r="C242" s="33"/>
      <c r="D242" s="33"/>
      <c r="E242" s="33"/>
      <c r="F242" s="33"/>
      <c r="G242" s="33"/>
      <c r="H242" s="33"/>
      <c r="I242" s="33"/>
    </row>
    <row r="243" spans="1:9" x14ac:dyDescent="0.25">
      <c r="A243" s="29" t="str">
        <f t="shared" si="3"/>
        <v/>
      </c>
      <c r="B243" s="33"/>
      <c r="C243" s="33"/>
      <c r="D243" s="33"/>
      <c r="E243" s="33"/>
      <c r="F243" s="33"/>
      <c r="G243" s="33"/>
      <c r="H243" s="33"/>
      <c r="I243" s="33"/>
    </row>
    <row r="244" spans="1:9" x14ac:dyDescent="0.25">
      <c r="A244" s="29" t="str">
        <f t="shared" si="3"/>
        <v/>
      </c>
      <c r="B244" s="33"/>
      <c r="C244" s="33"/>
      <c r="D244" s="33"/>
      <c r="E244" s="33"/>
      <c r="F244" s="33"/>
      <c r="G244" s="33"/>
      <c r="H244" s="33"/>
      <c r="I244" s="33"/>
    </row>
    <row r="245" spans="1:9" x14ac:dyDescent="0.25">
      <c r="A245" s="29" t="str">
        <f t="shared" si="3"/>
        <v/>
      </c>
      <c r="B245" s="33"/>
      <c r="C245" s="33"/>
      <c r="D245" s="33"/>
      <c r="E245" s="33"/>
      <c r="F245" s="33"/>
      <c r="G245" s="33"/>
      <c r="H245" s="33"/>
      <c r="I245" s="33"/>
    </row>
    <row r="246" spans="1:9" x14ac:dyDescent="0.25">
      <c r="A246" s="29" t="str">
        <f t="shared" si="3"/>
        <v/>
      </c>
      <c r="B246" s="33"/>
      <c r="C246" s="33"/>
      <c r="D246" s="33"/>
      <c r="E246" s="33"/>
      <c r="F246" s="33"/>
      <c r="G246" s="33"/>
      <c r="H246" s="33"/>
      <c r="I246" s="33"/>
    </row>
    <row r="247" spans="1:9" x14ac:dyDescent="0.25">
      <c r="A247" s="29" t="str">
        <f t="shared" si="3"/>
        <v/>
      </c>
      <c r="B247" s="33"/>
      <c r="C247" s="33"/>
      <c r="D247" s="33"/>
      <c r="E247" s="33"/>
      <c r="F247" s="33"/>
      <c r="G247" s="33"/>
      <c r="H247" s="33"/>
      <c r="I247" s="33"/>
    </row>
    <row r="248" spans="1:9" x14ac:dyDescent="0.25">
      <c r="A248" s="29" t="str">
        <f t="shared" si="3"/>
        <v/>
      </c>
      <c r="B248" s="33"/>
      <c r="C248" s="33"/>
      <c r="D248" s="33"/>
      <c r="E248" s="33"/>
      <c r="F248" s="33"/>
      <c r="G248" s="33"/>
      <c r="H248" s="33"/>
      <c r="I248" s="33"/>
    </row>
    <row r="249" spans="1:9" x14ac:dyDescent="0.25">
      <c r="A249" s="29" t="str">
        <f t="shared" si="3"/>
        <v/>
      </c>
      <c r="B249" s="33"/>
      <c r="C249" s="33"/>
      <c r="D249" s="33"/>
      <c r="E249" s="33"/>
      <c r="F249" s="33"/>
      <c r="G249" s="33"/>
      <c r="H249" s="33"/>
      <c r="I249" s="33"/>
    </row>
    <row r="250" spans="1:9" x14ac:dyDescent="0.25">
      <c r="A250" s="29" t="str">
        <f t="shared" si="3"/>
        <v/>
      </c>
      <c r="B250" s="33"/>
      <c r="C250" s="33"/>
      <c r="D250" s="33"/>
      <c r="E250" s="33"/>
      <c r="F250" s="33"/>
      <c r="G250" s="33"/>
      <c r="H250" s="33"/>
      <c r="I250" s="33"/>
    </row>
    <row r="251" spans="1:9" x14ac:dyDescent="0.25">
      <c r="A251" s="29" t="str">
        <f t="shared" si="3"/>
        <v/>
      </c>
      <c r="B251" s="33"/>
      <c r="C251" s="33"/>
      <c r="D251" s="33"/>
      <c r="E251" s="33"/>
      <c r="F251" s="33"/>
      <c r="G251" s="33"/>
      <c r="H251" s="33"/>
      <c r="I251" s="33"/>
    </row>
    <row r="252" spans="1:9" x14ac:dyDescent="0.25">
      <c r="A252" s="29" t="str">
        <f t="shared" si="3"/>
        <v/>
      </c>
      <c r="B252" s="33"/>
      <c r="C252" s="33"/>
      <c r="D252" s="33"/>
      <c r="E252" s="33"/>
      <c r="F252" s="33"/>
      <c r="G252" s="33"/>
      <c r="H252" s="33"/>
      <c r="I252" s="33"/>
    </row>
    <row r="253" spans="1:9" x14ac:dyDescent="0.25">
      <c r="A253" s="29" t="str">
        <f t="shared" si="3"/>
        <v/>
      </c>
      <c r="B253" s="33"/>
      <c r="C253" s="33"/>
      <c r="D253" s="33"/>
      <c r="E253" s="33"/>
      <c r="F253" s="33"/>
      <c r="G253" s="33"/>
      <c r="H253" s="33"/>
      <c r="I253" s="33"/>
    </row>
  </sheetData>
  <sheetProtection sheet="1" formatColumns="0" formatRows="0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2"/>
  <dimension ref="A1:I253"/>
  <sheetViews>
    <sheetView workbookViewId="0">
      <pane ySplit="6" topLeftCell="A7" activePane="bottomLeft" state="frozen"/>
      <selection pane="bottomLeft" sqref="A1:A1048576"/>
    </sheetView>
  </sheetViews>
  <sheetFormatPr defaultColWidth="8.7109375" defaultRowHeight="15" x14ac:dyDescent="0.25"/>
  <cols>
    <col min="1" max="1" width="22.42578125" style="22" customWidth="1"/>
    <col min="2" max="2" width="19" style="23" customWidth="1"/>
    <col min="3" max="3" width="41" style="23" customWidth="1"/>
    <col min="4" max="9" width="13" style="23" customWidth="1"/>
    <col min="10" max="10" width="8.7109375" style="23" customWidth="1"/>
    <col min="11" max="16384" width="8.7109375" style="23"/>
  </cols>
  <sheetData>
    <row r="1" spans="1:9" x14ac:dyDescent="0.25">
      <c r="A1" s="87" t="s">
        <v>2642</v>
      </c>
      <c r="B1" s="124" t="s">
        <v>317</v>
      </c>
      <c r="C1" s="134" t="s">
        <v>2643</v>
      </c>
      <c r="D1" s="134" t="s">
        <v>2644</v>
      </c>
      <c r="E1" s="134" t="s">
        <v>2645</v>
      </c>
      <c r="F1" s="134" t="s">
        <v>2646</v>
      </c>
      <c r="G1" s="134" t="s">
        <v>2647</v>
      </c>
      <c r="H1" s="134" t="s">
        <v>2648</v>
      </c>
      <c r="I1" s="134" t="s">
        <v>2649</v>
      </c>
    </row>
    <row r="2" spans="1:9" x14ac:dyDescent="0.25">
      <c r="A2" s="29" t="str">
        <f t="shared" ref="A2:A65" si="0">_xlfn.CONCAT(B2,C2)</f>
        <v>JOBSATENGTC114FLQ03DA</v>
      </c>
      <c r="B2" s="134" t="s">
        <v>430</v>
      </c>
      <c r="C2" s="134" t="s">
        <v>2584</v>
      </c>
      <c r="D2" s="135">
        <v>1.0188900000000001</v>
      </c>
      <c r="E2" s="135">
        <v>-1.52014</v>
      </c>
      <c r="F2" s="135">
        <v>-1.17398</v>
      </c>
      <c r="G2" s="135">
        <v>-1.0208299999999999</v>
      </c>
      <c r="H2" s="135">
        <v>2.1948099999999999</v>
      </c>
      <c r="I2" s="135"/>
    </row>
    <row r="3" spans="1:9" x14ac:dyDescent="0.25">
      <c r="A3" s="29" t="str">
        <f t="shared" si="0"/>
        <v>JOBSATENGTC114FLQ05DA</v>
      </c>
      <c r="B3" s="134" t="s">
        <v>430</v>
      </c>
      <c r="C3" s="134" t="s">
        <v>2586</v>
      </c>
      <c r="D3" s="135">
        <v>0.93964000000000003</v>
      </c>
      <c r="E3" s="135">
        <v>-2.111689999999999</v>
      </c>
      <c r="F3" s="135">
        <v>-5.645E-2</v>
      </c>
      <c r="G3" s="135">
        <v>-1.2067699999999999</v>
      </c>
      <c r="H3" s="135">
        <v>1.26322</v>
      </c>
      <c r="I3" s="135"/>
    </row>
    <row r="4" spans="1:9" x14ac:dyDescent="0.25">
      <c r="A4" s="29" t="str">
        <f t="shared" si="0"/>
        <v>JOBSATENGTC114FLQ06DA</v>
      </c>
      <c r="B4" s="134" t="s">
        <v>430</v>
      </c>
      <c r="C4" s="134" t="s">
        <v>2588</v>
      </c>
      <c r="D4" s="135">
        <v>5</v>
      </c>
      <c r="E4" s="135">
        <v>-3.3116100000000008</v>
      </c>
      <c r="F4" s="135">
        <v>-5.0644299999999998</v>
      </c>
      <c r="G4" s="135">
        <v>-0.57415000000000005</v>
      </c>
      <c r="H4" s="135">
        <v>5.638580000000001</v>
      </c>
      <c r="I4" s="135"/>
    </row>
    <row r="5" spans="1:9" x14ac:dyDescent="0.25">
      <c r="A5" s="29" t="str">
        <f t="shared" si="0"/>
        <v>JOBSATENGTC114FLQ07DA</v>
      </c>
      <c r="B5" s="134" t="s">
        <v>430</v>
      </c>
      <c r="C5" s="134" t="s">
        <v>2590</v>
      </c>
      <c r="D5" s="135">
        <v>5</v>
      </c>
      <c r="E5" s="135">
        <v>-2.5768599999999999</v>
      </c>
      <c r="F5" s="135">
        <v>-5.5111699999999999</v>
      </c>
      <c r="G5" s="135">
        <v>-0.52237</v>
      </c>
      <c r="H5" s="135">
        <v>6.0335400000000012</v>
      </c>
      <c r="I5" s="135"/>
    </row>
    <row r="6" spans="1:9" x14ac:dyDescent="0.25">
      <c r="A6" s="29" t="str">
        <f t="shared" si="0"/>
        <v>JOBSATENGTC114FLQ08DA</v>
      </c>
      <c r="B6" s="134" t="s">
        <v>430</v>
      </c>
      <c r="C6" s="134" t="s">
        <v>2592</v>
      </c>
      <c r="D6" s="135">
        <v>0.79925000000000002</v>
      </c>
      <c r="E6" s="135">
        <v>-1.16049</v>
      </c>
      <c r="F6" s="135">
        <v>-0.46754000000000001</v>
      </c>
      <c r="G6" s="135">
        <v>-0.27018999999999999</v>
      </c>
      <c r="H6" s="135">
        <v>0.73773</v>
      </c>
      <c r="I6" s="135"/>
    </row>
    <row r="7" spans="1:9" x14ac:dyDescent="0.25">
      <c r="A7" s="29" t="str">
        <f t="shared" si="0"/>
        <v>JOBSATENGTC114FLQ10DA</v>
      </c>
      <c r="B7" s="134" t="s">
        <v>430</v>
      </c>
      <c r="C7" s="134" t="s">
        <v>2594</v>
      </c>
      <c r="D7" s="135">
        <v>1.16252</v>
      </c>
      <c r="E7" s="135">
        <v>-0.99614999999999998</v>
      </c>
      <c r="F7" s="135">
        <v>-2.0391699999999999</v>
      </c>
      <c r="G7" s="135">
        <v>-0.3735500000000001</v>
      </c>
      <c r="H7" s="135">
        <v>2.4127200000000002</v>
      </c>
      <c r="I7" s="135"/>
    </row>
    <row r="8" spans="1:9" x14ac:dyDescent="0.25">
      <c r="A8" s="29" t="str">
        <f t="shared" si="0"/>
        <v>TCENGFORMTC302FLQ01DA</v>
      </c>
      <c r="B8" s="134" t="s">
        <v>429</v>
      </c>
      <c r="C8" s="134" t="s">
        <v>2630</v>
      </c>
      <c r="D8" s="135">
        <v>1.65459</v>
      </c>
      <c r="E8" s="135">
        <v>-0.97826000000000002</v>
      </c>
      <c r="F8" s="135">
        <v>-2.701379999999999</v>
      </c>
      <c r="G8" s="135">
        <v>-0.19771</v>
      </c>
      <c r="H8" s="135">
        <v>0.70223000000000002</v>
      </c>
      <c r="I8" s="135">
        <v>2.19686</v>
      </c>
    </row>
    <row r="9" spans="1:9" x14ac:dyDescent="0.25">
      <c r="A9" s="29" t="str">
        <f t="shared" si="0"/>
        <v>TCENGFORMTC302FLQ02DA</v>
      </c>
      <c r="B9" s="134" t="s">
        <v>429</v>
      </c>
      <c r="C9" s="134" t="s">
        <v>2632</v>
      </c>
      <c r="D9" s="135">
        <v>1.8040400000000001</v>
      </c>
      <c r="E9" s="135">
        <v>-1.2155</v>
      </c>
      <c r="F9" s="135">
        <v>-3.2576900000000002</v>
      </c>
      <c r="G9" s="135">
        <v>-0.25122</v>
      </c>
      <c r="H9" s="135">
        <v>0.91364000000000012</v>
      </c>
      <c r="I9" s="135">
        <v>2.5952700000000002</v>
      </c>
    </row>
    <row r="10" spans="1:9" x14ac:dyDescent="0.25">
      <c r="A10" s="29" t="str">
        <f t="shared" si="0"/>
        <v>TCENGFORMTC302FLQ04DA</v>
      </c>
      <c r="B10" s="134" t="s">
        <v>429</v>
      </c>
      <c r="C10" s="134" t="s">
        <v>2634</v>
      </c>
      <c r="D10" s="135">
        <v>1.8767499999999999</v>
      </c>
      <c r="E10" s="135">
        <v>0.54800000000000004</v>
      </c>
      <c r="F10" s="135">
        <v>-2.1539299999999999</v>
      </c>
      <c r="G10" s="135">
        <v>-0.37368000000000001</v>
      </c>
      <c r="H10" s="135">
        <v>0.36099999999999999</v>
      </c>
      <c r="I10" s="135">
        <v>2.1666099999999999</v>
      </c>
    </row>
    <row r="11" spans="1:9" x14ac:dyDescent="0.25">
      <c r="A11" s="29" t="str">
        <f t="shared" si="0"/>
        <v>TCENGFORMTC302FLQ05DA</v>
      </c>
      <c r="B11" s="134" t="s">
        <v>429</v>
      </c>
      <c r="C11" s="134" t="s">
        <v>2636</v>
      </c>
      <c r="D11" s="135">
        <v>3.1505100000000001</v>
      </c>
      <c r="E11" s="135">
        <v>0.96786999999999979</v>
      </c>
      <c r="F11" s="135">
        <v>-3.7808199999999998</v>
      </c>
      <c r="G11" s="135">
        <v>-0.74580000000000002</v>
      </c>
      <c r="H11" s="135">
        <v>0.94672000000000001</v>
      </c>
      <c r="I11" s="135">
        <v>3.579899999999999</v>
      </c>
    </row>
    <row r="12" spans="1:9" x14ac:dyDescent="0.25">
      <c r="A12" s="29" t="str">
        <f t="shared" si="0"/>
        <v>TCENGFORMTC302FLQ06DA</v>
      </c>
      <c r="B12" s="134" t="s">
        <v>429</v>
      </c>
      <c r="C12" s="134" t="s">
        <v>2638</v>
      </c>
      <c r="D12" s="135">
        <v>2.352180000000001</v>
      </c>
      <c r="E12" s="135">
        <v>0.93262</v>
      </c>
      <c r="F12" s="135">
        <v>-2.5671200000000001</v>
      </c>
      <c r="G12" s="135">
        <v>-0.46910000000000002</v>
      </c>
      <c r="H12" s="135">
        <v>0.48888999999999999</v>
      </c>
      <c r="I12" s="135">
        <v>2.5473300000000001</v>
      </c>
    </row>
    <row r="13" spans="1:9" x14ac:dyDescent="0.25">
      <c r="A13" s="29" t="str">
        <f t="shared" si="0"/>
        <v>TCENGFORMTC302FLQ07DA</v>
      </c>
      <c r="B13" s="134" t="s">
        <v>429</v>
      </c>
      <c r="C13" s="134" t="s">
        <v>2640</v>
      </c>
      <c r="D13" s="135">
        <v>1.78409</v>
      </c>
      <c r="E13" s="135">
        <v>0.57079000000000013</v>
      </c>
      <c r="F13" s="135">
        <v>-2.2969200000000001</v>
      </c>
      <c r="G13" s="135">
        <v>-0.23919000000000001</v>
      </c>
      <c r="H13" s="135">
        <v>0.53635999999999995</v>
      </c>
      <c r="I13" s="135">
        <v>1.9997499999999999</v>
      </c>
    </row>
    <row r="14" spans="1:9" x14ac:dyDescent="0.25">
      <c r="A14" s="29" t="str">
        <f t="shared" si="0"/>
        <v>TCSELFATTTC115FLQ02DA</v>
      </c>
      <c r="B14" s="134" t="s">
        <v>428</v>
      </c>
      <c r="C14" s="134" t="s">
        <v>2596</v>
      </c>
      <c r="D14" s="135">
        <v>2.2483900000000001</v>
      </c>
      <c r="E14" s="135">
        <v>-3.5802200000000002</v>
      </c>
      <c r="F14" s="135">
        <v>-3.1626699999999999</v>
      </c>
      <c r="G14" s="135">
        <v>-0.48363</v>
      </c>
      <c r="H14" s="135">
        <v>3.6463000000000001</v>
      </c>
      <c r="I14" s="135"/>
    </row>
    <row r="15" spans="1:9" x14ac:dyDescent="0.25">
      <c r="A15" s="29" t="str">
        <f t="shared" si="0"/>
        <v>TCSELFATTTC115FLQ04DA</v>
      </c>
      <c r="B15" s="134" t="s">
        <v>428</v>
      </c>
      <c r="C15" s="134" t="s">
        <v>2598</v>
      </c>
      <c r="D15" s="135">
        <v>2.766020000000001</v>
      </c>
      <c r="E15" s="135">
        <v>-4.0229700000000008</v>
      </c>
      <c r="F15" s="135">
        <v>-4.0343299999999997</v>
      </c>
      <c r="G15" s="135">
        <v>-0.65978999999999999</v>
      </c>
      <c r="H15" s="135">
        <v>4.694119999999999</v>
      </c>
      <c r="I15" s="135"/>
    </row>
    <row r="16" spans="1:9" x14ac:dyDescent="0.25">
      <c r="A16" s="29" t="str">
        <f t="shared" si="0"/>
        <v>TCSELFATTTC115FLQ05DA</v>
      </c>
      <c r="B16" s="134" t="s">
        <v>428</v>
      </c>
      <c r="C16" s="134" t="s">
        <v>2600</v>
      </c>
      <c r="D16" s="135">
        <v>3.494870000000001</v>
      </c>
      <c r="E16" s="135">
        <v>-5.2650199999999998</v>
      </c>
      <c r="F16" s="135">
        <v>-5.0379599999999991</v>
      </c>
      <c r="G16" s="135">
        <v>-1.09212</v>
      </c>
      <c r="H16" s="135">
        <v>6.1300799999999986</v>
      </c>
      <c r="I16" s="135"/>
    </row>
    <row r="17" spans="1:9" x14ac:dyDescent="0.25">
      <c r="A17" s="29" t="str">
        <f t="shared" si="0"/>
        <v>TCSELFATTTC115FLQ06DA</v>
      </c>
      <c r="B17" s="134" t="s">
        <v>428</v>
      </c>
      <c r="C17" s="134" t="s">
        <v>2602</v>
      </c>
      <c r="D17" s="135">
        <v>4.2449300000000001</v>
      </c>
      <c r="E17" s="135">
        <v>-5.7797200000000002</v>
      </c>
      <c r="F17" s="135">
        <v>-5.9878099999999987</v>
      </c>
      <c r="G17" s="135">
        <v>-0.57093000000000005</v>
      </c>
      <c r="H17" s="135">
        <v>6.5587400000000002</v>
      </c>
      <c r="I17" s="135"/>
    </row>
    <row r="18" spans="1:9" x14ac:dyDescent="0.25">
      <c r="A18" s="29" t="str">
        <f t="shared" si="0"/>
        <v>TCSELFATTTC115FLQ07DA</v>
      </c>
      <c r="B18" s="134" t="s">
        <v>428</v>
      </c>
      <c r="C18" s="134" t="s">
        <v>2604</v>
      </c>
      <c r="D18" s="135">
        <v>4.6741500000000009</v>
      </c>
      <c r="E18" s="135">
        <v>-7.1304100000000004</v>
      </c>
      <c r="F18" s="135">
        <v>-6.5718199999999998</v>
      </c>
      <c r="G18" s="135">
        <v>-0.69720000000000004</v>
      </c>
      <c r="H18" s="135">
        <v>7.2690200000000003</v>
      </c>
      <c r="I18" s="135"/>
    </row>
    <row r="19" spans="1:9" x14ac:dyDescent="0.25">
      <c r="A19" s="29" t="str">
        <f t="shared" si="0"/>
        <v>TCSELFUSETC190FLQ01DA</v>
      </c>
      <c r="B19" s="134" t="s">
        <v>427</v>
      </c>
      <c r="C19" s="134" t="s">
        <v>2606</v>
      </c>
      <c r="D19" s="135">
        <v>3.58562</v>
      </c>
      <c r="E19" s="135">
        <v>-6.2728599999999997</v>
      </c>
      <c r="F19" s="135">
        <v>-3.3070499999999989</v>
      </c>
      <c r="G19" s="135">
        <v>-0.42159000000000008</v>
      </c>
      <c r="H19" s="135">
        <v>3.72864</v>
      </c>
      <c r="I19" s="135"/>
    </row>
    <row r="20" spans="1:9" x14ac:dyDescent="0.25">
      <c r="A20" s="29" t="str">
        <f t="shared" si="0"/>
        <v>TCSELFUSETC190FLQ02DA</v>
      </c>
      <c r="B20" s="134" t="s">
        <v>427</v>
      </c>
      <c r="C20" s="134" t="s">
        <v>2608</v>
      </c>
      <c r="D20" s="135">
        <v>1.6811199999999999</v>
      </c>
      <c r="E20" s="135">
        <v>-2.227139999999999</v>
      </c>
      <c r="F20" s="135">
        <v>-1.42716</v>
      </c>
      <c r="G20" s="135">
        <v>-6.6369999999999985E-2</v>
      </c>
      <c r="H20" s="135">
        <v>1.49353</v>
      </c>
      <c r="I20" s="135"/>
    </row>
    <row r="21" spans="1:9" x14ac:dyDescent="0.25">
      <c r="A21" s="29" t="str">
        <f t="shared" si="0"/>
        <v>TCSELFUSETC190FLQ03DA</v>
      </c>
      <c r="B21" s="134" t="s">
        <v>427</v>
      </c>
      <c r="C21" s="134" t="s">
        <v>2610</v>
      </c>
      <c r="D21" s="135">
        <v>2.6096900000000001</v>
      </c>
      <c r="E21" s="135">
        <v>-4.8161300000000011</v>
      </c>
      <c r="F21" s="135">
        <v>-2.6010499999999999</v>
      </c>
      <c r="G21" s="135">
        <v>-0.50038000000000005</v>
      </c>
      <c r="H21" s="135">
        <v>3.1014300000000001</v>
      </c>
      <c r="I21" s="135"/>
    </row>
    <row r="22" spans="1:9" x14ac:dyDescent="0.25">
      <c r="A22" s="29" t="str">
        <f t="shared" si="0"/>
        <v>TCSELFUSETC190FLQ05DA</v>
      </c>
      <c r="B22" s="134" t="s">
        <v>427</v>
      </c>
      <c r="C22" s="134" t="s">
        <v>2612</v>
      </c>
      <c r="D22" s="135">
        <v>4.6572799999999992</v>
      </c>
      <c r="E22" s="135">
        <v>-8.4829700000000017</v>
      </c>
      <c r="F22" s="135">
        <v>-4.2864699999999996</v>
      </c>
      <c r="G22" s="135">
        <v>-0.33515</v>
      </c>
      <c r="H22" s="135">
        <v>4.6216199999999992</v>
      </c>
      <c r="I22" s="135"/>
    </row>
    <row r="23" spans="1:9" x14ac:dyDescent="0.25">
      <c r="A23" s="29" t="str">
        <f t="shared" si="0"/>
        <v>TCSELFUSETC190FLQ07DA</v>
      </c>
      <c r="B23" s="134" t="s">
        <v>427</v>
      </c>
      <c r="C23" s="134" t="s">
        <v>2614</v>
      </c>
      <c r="D23" s="135">
        <v>3.76755</v>
      </c>
      <c r="E23" s="135">
        <v>-6.4772800000000004</v>
      </c>
      <c r="F23" s="135">
        <v>-3.53112</v>
      </c>
      <c r="G23" s="135">
        <v>-0.20679</v>
      </c>
      <c r="H23" s="135">
        <v>3.7379099999999998</v>
      </c>
      <c r="I23" s="135"/>
    </row>
    <row r="24" spans="1:9" x14ac:dyDescent="0.25">
      <c r="A24" s="29" t="str">
        <f t="shared" si="0"/>
        <v>TCSELFUSETC190FLQ08DA</v>
      </c>
      <c r="B24" s="134" t="s">
        <v>427</v>
      </c>
      <c r="C24" s="134" t="s">
        <v>2616</v>
      </c>
      <c r="D24" s="135">
        <v>1.75928</v>
      </c>
      <c r="E24" s="135">
        <v>-2.2381099999999998</v>
      </c>
      <c r="F24" s="135">
        <v>-1.64575</v>
      </c>
      <c r="G24" s="135">
        <v>-0.24188999999999999</v>
      </c>
      <c r="H24" s="135">
        <v>1.88764</v>
      </c>
      <c r="I24" s="135"/>
    </row>
    <row r="25" spans="1:9" x14ac:dyDescent="0.25">
      <c r="A25" s="29" t="str">
        <f t="shared" si="0"/>
        <v>TCUSEENGTC111FLQ01DA</v>
      </c>
      <c r="B25" s="134" t="s">
        <v>431</v>
      </c>
      <c r="C25" s="134" t="s">
        <v>2618</v>
      </c>
      <c r="D25" s="135">
        <v>0.68903999999999999</v>
      </c>
      <c r="E25" s="135">
        <v>0.41377000000000008</v>
      </c>
      <c r="F25" s="135">
        <v>-0.45911000000000002</v>
      </c>
      <c r="G25" s="135">
        <v>-0.12878000000000001</v>
      </c>
      <c r="H25" s="135">
        <v>0.17607</v>
      </c>
      <c r="I25" s="135">
        <v>0.41182000000000007</v>
      </c>
    </row>
    <row r="26" spans="1:9" x14ac:dyDescent="0.25">
      <c r="A26" s="29" t="str">
        <f t="shared" si="0"/>
        <v>TCUSEENGTC111FLQ02DA</v>
      </c>
      <c r="B26" s="134" t="s">
        <v>431</v>
      </c>
      <c r="C26" s="134" t="s">
        <v>2620</v>
      </c>
      <c r="D26" s="135">
        <v>0.60963000000000001</v>
      </c>
      <c r="E26" s="135">
        <v>0.29247000000000012</v>
      </c>
      <c r="F26" s="135">
        <v>-0.33046999999999999</v>
      </c>
      <c r="G26" s="135">
        <v>1.1003700000000001</v>
      </c>
      <c r="H26" s="135">
        <v>0.25951999999999997</v>
      </c>
      <c r="I26" s="135">
        <v>-1.02942</v>
      </c>
    </row>
    <row r="27" spans="1:9" x14ac:dyDescent="0.25">
      <c r="A27" s="29" t="str">
        <f t="shared" si="0"/>
        <v>TCUSEENGTC111FLQ04DA</v>
      </c>
      <c r="B27" s="134" t="s">
        <v>431</v>
      </c>
      <c r="C27" s="134" t="s">
        <v>2622</v>
      </c>
      <c r="D27" s="135">
        <v>0.93854000000000015</v>
      </c>
      <c r="E27" s="135">
        <v>0.60997000000000012</v>
      </c>
      <c r="F27" s="135">
        <v>-1.15222</v>
      </c>
      <c r="G27" s="135">
        <v>8.4870000000000001E-2</v>
      </c>
      <c r="H27" s="135">
        <v>0.41193999999999997</v>
      </c>
      <c r="I27" s="135">
        <v>0.65541000000000005</v>
      </c>
    </row>
    <row r="28" spans="1:9" x14ac:dyDescent="0.25">
      <c r="A28" s="29" t="str">
        <f t="shared" si="0"/>
        <v>TCUSEENGTC111FLQ05DA</v>
      </c>
      <c r="B28" s="134" t="s">
        <v>431</v>
      </c>
      <c r="C28" s="134" t="s">
        <v>2624</v>
      </c>
      <c r="D28" s="135">
        <v>0.54671000000000003</v>
      </c>
      <c r="E28" s="135">
        <v>0.19714000000000001</v>
      </c>
      <c r="F28" s="135">
        <v>-0.67781000000000002</v>
      </c>
      <c r="G28" s="135">
        <v>1.3417399999999999</v>
      </c>
      <c r="H28" s="135">
        <v>0.46718999999999999</v>
      </c>
      <c r="I28" s="135">
        <v>-1.1311199999999999</v>
      </c>
    </row>
    <row r="29" spans="1:9" x14ac:dyDescent="0.25">
      <c r="A29" s="29" t="str">
        <f t="shared" si="0"/>
        <v>TCUSEENGTC111FLQ06DA</v>
      </c>
      <c r="B29" s="134" t="s">
        <v>431</v>
      </c>
      <c r="C29" s="134" t="s">
        <v>2626</v>
      </c>
      <c r="D29" s="135">
        <v>2.4261499999999998</v>
      </c>
      <c r="E29" s="135">
        <v>1.5002800000000009</v>
      </c>
      <c r="F29" s="135">
        <v>-2.543229999999999</v>
      </c>
      <c r="G29" s="135">
        <v>-0.35625000000000001</v>
      </c>
      <c r="H29" s="135">
        <v>0.80260999999999982</v>
      </c>
      <c r="I29" s="135">
        <v>2.09687</v>
      </c>
    </row>
    <row r="30" spans="1:9" x14ac:dyDescent="0.25">
      <c r="A30" s="29" t="str">
        <f t="shared" si="0"/>
        <v>TCUSEENGTC111FLQ07DA</v>
      </c>
      <c r="B30" s="134" t="s">
        <v>431</v>
      </c>
      <c r="C30" s="134" t="s">
        <v>2628</v>
      </c>
      <c r="D30" s="135">
        <v>1.8582000000000001</v>
      </c>
      <c r="E30" s="135">
        <v>0.48720999999999992</v>
      </c>
      <c r="F30" s="135">
        <v>-2.4423400000000002</v>
      </c>
      <c r="G30" s="135">
        <v>-0.20591999999999999</v>
      </c>
      <c r="H30" s="135">
        <v>0.79393999999999998</v>
      </c>
      <c r="I30" s="135">
        <v>1.85432</v>
      </c>
    </row>
    <row r="31" spans="1:9" x14ac:dyDescent="0.25">
      <c r="A31" s="29" t="str">
        <f t="shared" si="0"/>
        <v/>
      </c>
      <c r="B31" s="33"/>
      <c r="C31" s="33"/>
      <c r="D31" s="33"/>
      <c r="E31" s="33"/>
      <c r="F31" s="33"/>
      <c r="G31" s="33"/>
      <c r="H31" s="33"/>
      <c r="I31" s="33"/>
    </row>
    <row r="32" spans="1:9" x14ac:dyDescent="0.25">
      <c r="A32" s="29" t="str">
        <f t="shared" si="0"/>
        <v/>
      </c>
      <c r="B32" s="33"/>
      <c r="C32" s="33"/>
      <c r="D32" s="33"/>
      <c r="E32" s="33"/>
      <c r="F32" s="33"/>
      <c r="G32" s="33"/>
      <c r="H32" s="33"/>
      <c r="I32" s="33"/>
    </row>
    <row r="33" spans="1:9" x14ac:dyDescent="0.25">
      <c r="A33" s="29" t="str">
        <f t="shared" si="0"/>
        <v/>
      </c>
      <c r="B33" s="33"/>
      <c r="C33" s="33"/>
      <c r="D33" s="33"/>
      <c r="E33" s="33"/>
      <c r="F33" s="33"/>
      <c r="G33" s="33"/>
      <c r="H33" s="33"/>
      <c r="I33" s="33"/>
    </row>
    <row r="34" spans="1:9" x14ac:dyDescent="0.25">
      <c r="A34" s="29" t="str">
        <f t="shared" si="0"/>
        <v/>
      </c>
      <c r="B34" s="33"/>
      <c r="C34" s="33"/>
      <c r="D34" s="33"/>
      <c r="E34" s="33"/>
      <c r="F34" s="33"/>
      <c r="G34" s="33"/>
      <c r="H34" s="33"/>
      <c r="I34" s="33"/>
    </row>
    <row r="35" spans="1:9" x14ac:dyDescent="0.25">
      <c r="A35" s="29" t="str">
        <f t="shared" si="0"/>
        <v/>
      </c>
      <c r="B35" s="33"/>
      <c r="C35" s="33"/>
      <c r="D35" s="33"/>
      <c r="E35" s="33"/>
      <c r="F35" s="33"/>
      <c r="G35" s="33"/>
      <c r="H35" s="33"/>
      <c r="I35" s="33"/>
    </row>
    <row r="36" spans="1:9" x14ac:dyDescent="0.25">
      <c r="A36" s="29" t="str">
        <f t="shared" si="0"/>
        <v/>
      </c>
      <c r="B36" s="33"/>
      <c r="C36" s="33"/>
      <c r="D36" s="33"/>
      <c r="E36" s="33"/>
      <c r="F36" s="33"/>
      <c r="G36" s="33"/>
      <c r="H36" s="33"/>
      <c r="I36" s="33"/>
    </row>
    <row r="37" spans="1:9" x14ac:dyDescent="0.25">
      <c r="A37" s="29" t="str">
        <f t="shared" si="0"/>
        <v/>
      </c>
      <c r="B37" s="33"/>
      <c r="C37" s="33"/>
      <c r="D37" s="33"/>
      <c r="E37" s="33"/>
      <c r="F37" s="33"/>
      <c r="G37" s="33"/>
      <c r="H37" s="33"/>
      <c r="I37" s="33"/>
    </row>
    <row r="38" spans="1:9" x14ac:dyDescent="0.25">
      <c r="A38" s="29" t="str">
        <f t="shared" si="0"/>
        <v/>
      </c>
      <c r="B38" s="33"/>
      <c r="C38" s="33"/>
      <c r="D38" s="33"/>
      <c r="E38" s="33"/>
      <c r="F38" s="33"/>
      <c r="G38" s="33"/>
      <c r="H38" s="33"/>
      <c r="I38" s="33"/>
    </row>
    <row r="39" spans="1:9" x14ac:dyDescent="0.25">
      <c r="A39" s="29" t="str">
        <f t="shared" si="0"/>
        <v/>
      </c>
      <c r="B39" s="33"/>
      <c r="C39" s="33"/>
      <c r="D39" s="33"/>
      <c r="E39" s="33"/>
      <c r="F39" s="33"/>
      <c r="G39" s="33"/>
      <c r="H39" s="33"/>
      <c r="I39" s="33"/>
    </row>
    <row r="40" spans="1:9" x14ac:dyDescent="0.25">
      <c r="A40" s="29" t="str">
        <f t="shared" si="0"/>
        <v/>
      </c>
      <c r="B40" s="33"/>
      <c r="C40" s="33"/>
      <c r="D40" s="33"/>
      <c r="E40" s="33"/>
      <c r="F40" s="33"/>
      <c r="G40" s="33"/>
      <c r="H40" s="33"/>
      <c r="I40" s="33"/>
    </row>
    <row r="41" spans="1:9" x14ac:dyDescent="0.25">
      <c r="A41" s="29" t="str">
        <f t="shared" si="0"/>
        <v/>
      </c>
      <c r="B41" s="33"/>
      <c r="C41" s="33"/>
      <c r="D41" s="33"/>
      <c r="E41" s="33"/>
      <c r="F41" s="33"/>
      <c r="G41" s="33"/>
      <c r="H41" s="33"/>
      <c r="I41" s="33"/>
    </row>
    <row r="42" spans="1:9" x14ac:dyDescent="0.25">
      <c r="A42" s="29" t="str">
        <f t="shared" si="0"/>
        <v/>
      </c>
      <c r="B42" s="33"/>
      <c r="C42" s="33"/>
      <c r="D42" s="33"/>
      <c r="E42" s="33"/>
      <c r="F42" s="33"/>
      <c r="G42" s="33"/>
      <c r="H42" s="33"/>
      <c r="I42" s="33"/>
    </row>
    <row r="43" spans="1:9" x14ac:dyDescent="0.25">
      <c r="A43" s="29" t="str">
        <f t="shared" si="0"/>
        <v/>
      </c>
      <c r="B43" s="33"/>
      <c r="C43" s="33"/>
      <c r="D43" s="33"/>
      <c r="E43" s="33"/>
      <c r="F43" s="33"/>
      <c r="G43" s="33"/>
      <c r="H43" s="33"/>
      <c r="I43" s="33"/>
    </row>
    <row r="44" spans="1:9" x14ac:dyDescent="0.25">
      <c r="A44" s="29" t="str">
        <f t="shared" si="0"/>
        <v/>
      </c>
      <c r="B44" s="33"/>
      <c r="C44" s="33"/>
      <c r="D44" s="33"/>
      <c r="E44" s="33"/>
      <c r="F44" s="33"/>
      <c r="G44" s="33"/>
      <c r="H44" s="33"/>
      <c r="I44" s="33"/>
    </row>
    <row r="45" spans="1:9" x14ac:dyDescent="0.25">
      <c r="A45" s="29" t="str">
        <f t="shared" si="0"/>
        <v/>
      </c>
      <c r="B45" s="33"/>
      <c r="C45" s="33"/>
      <c r="D45" s="33"/>
      <c r="E45" s="33"/>
      <c r="F45" s="33"/>
      <c r="G45" s="33"/>
      <c r="H45" s="33"/>
      <c r="I45" s="33"/>
    </row>
    <row r="46" spans="1:9" x14ac:dyDescent="0.25">
      <c r="A46" s="29" t="str">
        <f t="shared" si="0"/>
        <v/>
      </c>
      <c r="B46" s="33"/>
      <c r="C46" s="33"/>
      <c r="D46" s="33"/>
      <c r="E46" s="33"/>
      <c r="F46" s="33"/>
      <c r="G46" s="33"/>
      <c r="H46" s="33"/>
      <c r="I46" s="33"/>
    </row>
    <row r="47" spans="1:9" x14ac:dyDescent="0.25">
      <c r="A47" s="29" t="str">
        <f t="shared" si="0"/>
        <v/>
      </c>
      <c r="B47" s="33"/>
      <c r="C47" s="33"/>
      <c r="D47" s="33"/>
      <c r="E47" s="33"/>
      <c r="F47" s="33"/>
      <c r="G47" s="33"/>
      <c r="H47" s="33"/>
      <c r="I47" s="33"/>
    </row>
    <row r="48" spans="1:9" x14ac:dyDescent="0.25">
      <c r="A48" s="29" t="str">
        <f t="shared" si="0"/>
        <v/>
      </c>
      <c r="B48" s="33"/>
      <c r="C48" s="33"/>
      <c r="D48" s="33"/>
      <c r="E48" s="33"/>
      <c r="F48" s="33"/>
      <c r="G48" s="33"/>
      <c r="H48" s="33"/>
      <c r="I48" s="33"/>
    </row>
    <row r="49" spans="1:9" x14ac:dyDescent="0.25">
      <c r="A49" s="29" t="str">
        <f t="shared" si="0"/>
        <v/>
      </c>
      <c r="B49" s="33"/>
      <c r="C49" s="33"/>
      <c r="D49" s="33"/>
      <c r="E49" s="33"/>
      <c r="F49" s="33"/>
      <c r="G49" s="33"/>
      <c r="H49" s="33"/>
      <c r="I49" s="33"/>
    </row>
    <row r="50" spans="1:9" x14ac:dyDescent="0.25">
      <c r="A50" s="29" t="str">
        <f t="shared" si="0"/>
        <v/>
      </c>
      <c r="B50" s="33"/>
      <c r="C50" s="33"/>
      <c r="D50" s="33"/>
      <c r="E50" s="33"/>
      <c r="F50" s="33"/>
      <c r="G50" s="33"/>
      <c r="H50" s="33"/>
      <c r="I50" s="33"/>
    </row>
    <row r="51" spans="1:9" x14ac:dyDescent="0.25">
      <c r="A51" s="29" t="str">
        <f t="shared" si="0"/>
        <v/>
      </c>
      <c r="B51" s="33"/>
      <c r="C51" s="33"/>
      <c r="D51" s="33"/>
      <c r="E51" s="33"/>
      <c r="F51" s="33"/>
      <c r="G51" s="33"/>
      <c r="H51" s="33"/>
      <c r="I51" s="33"/>
    </row>
    <row r="52" spans="1:9" x14ac:dyDescent="0.25">
      <c r="A52" s="29" t="str">
        <f t="shared" si="0"/>
        <v/>
      </c>
      <c r="B52" s="33"/>
      <c r="C52" s="33"/>
      <c r="D52" s="33"/>
      <c r="E52" s="33"/>
      <c r="F52" s="33"/>
      <c r="G52" s="33"/>
      <c r="H52" s="33"/>
      <c r="I52" s="33"/>
    </row>
    <row r="53" spans="1:9" x14ac:dyDescent="0.25">
      <c r="A53" s="29" t="str">
        <f t="shared" si="0"/>
        <v/>
      </c>
      <c r="B53" s="33"/>
      <c r="C53" s="33"/>
      <c r="D53" s="33"/>
      <c r="E53" s="33"/>
      <c r="F53" s="33"/>
      <c r="G53" s="33"/>
      <c r="H53" s="33"/>
      <c r="I53" s="33"/>
    </row>
    <row r="54" spans="1:9" x14ac:dyDescent="0.25">
      <c r="A54" s="29" t="str">
        <f t="shared" si="0"/>
        <v/>
      </c>
      <c r="B54" s="33"/>
      <c r="C54" s="33"/>
      <c r="D54" s="33"/>
      <c r="E54" s="33"/>
      <c r="F54" s="33"/>
      <c r="G54" s="33"/>
      <c r="H54" s="33"/>
      <c r="I54" s="33"/>
    </row>
    <row r="55" spans="1:9" x14ac:dyDescent="0.25">
      <c r="A55" s="29" t="str">
        <f t="shared" si="0"/>
        <v/>
      </c>
      <c r="B55" s="33"/>
      <c r="C55" s="33"/>
      <c r="D55" s="33"/>
      <c r="E55" s="33"/>
      <c r="F55" s="33"/>
      <c r="G55" s="33"/>
      <c r="H55" s="33"/>
      <c r="I55" s="33"/>
    </row>
    <row r="56" spans="1:9" x14ac:dyDescent="0.25">
      <c r="A56" s="29" t="str">
        <f t="shared" si="0"/>
        <v/>
      </c>
      <c r="B56" s="33"/>
      <c r="C56" s="33"/>
      <c r="D56" s="33"/>
      <c r="E56" s="33"/>
      <c r="F56" s="33"/>
      <c r="G56" s="33"/>
      <c r="H56" s="33"/>
      <c r="I56" s="33"/>
    </row>
    <row r="57" spans="1:9" x14ac:dyDescent="0.25">
      <c r="A57" s="29" t="str">
        <f t="shared" si="0"/>
        <v/>
      </c>
      <c r="B57" s="33"/>
      <c r="C57" s="33"/>
      <c r="D57" s="33"/>
      <c r="E57" s="33"/>
      <c r="F57" s="33"/>
      <c r="G57" s="33"/>
      <c r="H57" s="33"/>
      <c r="I57" s="33"/>
    </row>
    <row r="58" spans="1:9" x14ac:dyDescent="0.25">
      <c r="A58" s="29" t="str">
        <f t="shared" si="0"/>
        <v/>
      </c>
      <c r="B58" s="33"/>
      <c r="C58" s="33"/>
      <c r="D58" s="33"/>
      <c r="E58" s="33"/>
      <c r="F58" s="33"/>
      <c r="G58" s="33"/>
      <c r="H58" s="33"/>
      <c r="I58" s="33"/>
    </row>
    <row r="59" spans="1:9" x14ac:dyDescent="0.25">
      <c r="A59" s="29" t="str">
        <f t="shared" si="0"/>
        <v/>
      </c>
      <c r="B59" s="33"/>
      <c r="C59" s="33"/>
      <c r="D59" s="33"/>
      <c r="E59" s="33"/>
      <c r="F59" s="33"/>
      <c r="G59" s="33"/>
      <c r="H59" s="33"/>
      <c r="I59" s="33"/>
    </row>
    <row r="60" spans="1:9" x14ac:dyDescent="0.25">
      <c r="A60" s="29" t="str">
        <f t="shared" si="0"/>
        <v/>
      </c>
      <c r="B60" s="33"/>
      <c r="C60" s="33"/>
      <c r="D60" s="33"/>
      <c r="E60" s="33"/>
      <c r="F60" s="33"/>
      <c r="G60" s="33"/>
      <c r="H60" s="33"/>
      <c r="I60" s="33"/>
    </row>
    <row r="61" spans="1:9" x14ac:dyDescent="0.25">
      <c r="A61" s="29" t="str">
        <f t="shared" si="0"/>
        <v/>
      </c>
      <c r="B61" s="33"/>
      <c r="C61" s="33"/>
      <c r="D61" s="33"/>
      <c r="E61" s="33"/>
      <c r="F61" s="33"/>
      <c r="G61" s="33"/>
      <c r="H61" s="33"/>
      <c r="I61" s="33"/>
    </row>
    <row r="62" spans="1:9" x14ac:dyDescent="0.25">
      <c r="A62" s="29" t="str">
        <f t="shared" si="0"/>
        <v/>
      </c>
      <c r="B62" s="33"/>
      <c r="C62" s="33"/>
      <c r="D62" s="33"/>
      <c r="E62" s="33"/>
      <c r="F62" s="33"/>
      <c r="G62" s="33"/>
      <c r="H62" s="33"/>
      <c r="I62" s="33"/>
    </row>
    <row r="63" spans="1:9" x14ac:dyDescent="0.25">
      <c r="A63" s="29" t="str">
        <f t="shared" si="0"/>
        <v/>
      </c>
      <c r="B63" s="33"/>
      <c r="C63" s="33"/>
      <c r="D63" s="33"/>
      <c r="E63" s="33"/>
      <c r="F63" s="33"/>
      <c r="G63" s="33"/>
      <c r="H63" s="33"/>
      <c r="I63" s="33"/>
    </row>
    <row r="64" spans="1:9" x14ac:dyDescent="0.25">
      <c r="A64" s="29" t="str">
        <f t="shared" si="0"/>
        <v/>
      </c>
      <c r="B64" s="33"/>
      <c r="C64" s="33"/>
      <c r="D64" s="33"/>
      <c r="E64" s="33"/>
      <c r="F64" s="33"/>
      <c r="G64" s="33"/>
      <c r="H64" s="33"/>
      <c r="I64" s="33"/>
    </row>
    <row r="65" spans="1:9" x14ac:dyDescent="0.25">
      <c r="A65" s="29" t="str">
        <f t="shared" si="0"/>
        <v/>
      </c>
      <c r="B65" s="33"/>
      <c r="C65" s="33"/>
      <c r="D65" s="33"/>
      <c r="E65" s="33"/>
      <c r="F65" s="33"/>
      <c r="G65" s="33"/>
      <c r="H65" s="33"/>
      <c r="I65" s="33"/>
    </row>
    <row r="66" spans="1:9" x14ac:dyDescent="0.25">
      <c r="A66" s="29" t="str">
        <f t="shared" ref="A66:A129" si="1">_xlfn.CONCAT(B66,C66)</f>
        <v/>
      </c>
      <c r="B66" s="33"/>
      <c r="C66" s="33"/>
      <c r="D66" s="33"/>
      <c r="E66" s="33"/>
      <c r="F66" s="33"/>
      <c r="G66" s="33"/>
      <c r="H66" s="33"/>
      <c r="I66" s="33"/>
    </row>
    <row r="67" spans="1:9" x14ac:dyDescent="0.25">
      <c r="A67" s="29" t="str">
        <f t="shared" si="1"/>
        <v/>
      </c>
      <c r="B67" s="33"/>
      <c r="C67" s="33"/>
      <c r="D67" s="33"/>
      <c r="E67" s="33"/>
      <c r="F67" s="33"/>
      <c r="G67" s="33"/>
      <c r="H67" s="33"/>
      <c r="I67" s="33"/>
    </row>
    <row r="68" spans="1:9" x14ac:dyDescent="0.25">
      <c r="A68" s="29" t="str">
        <f t="shared" si="1"/>
        <v/>
      </c>
      <c r="B68" s="33"/>
      <c r="C68" s="33"/>
      <c r="D68" s="33"/>
      <c r="E68" s="33"/>
      <c r="F68" s="33"/>
      <c r="G68" s="33"/>
      <c r="H68" s="33"/>
      <c r="I68" s="33"/>
    </row>
    <row r="69" spans="1:9" x14ac:dyDescent="0.25">
      <c r="A69" s="29" t="str">
        <f t="shared" si="1"/>
        <v/>
      </c>
      <c r="B69" s="33"/>
      <c r="C69" s="33"/>
      <c r="D69" s="33"/>
      <c r="E69" s="33"/>
      <c r="F69" s="33"/>
      <c r="G69" s="33"/>
      <c r="H69" s="33"/>
      <c r="I69" s="33"/>
    </row>
    <row r="70" spans="1:9" x14ac:dyDescent="0.25">
      <c r="A70" s="29" t="str">
        <f t="shared" si="1"/>
        <v/>
      </c>
      <c r="B70" s="33"/>
      <c r="C70" s="33"/>
      <c r="D70" s="33"/>
      <c r="E70" s="33"/>
      <c r="F70" s="33"/>
      <c r="G70" s="33"/>
      <c r="H70" s="33"/>
      <c r="I70" s="33"/>
    </row>
    <row r="71" spans="1:9" x14ac:dyDescent="0.25">
      <c r="A71" s="29" t="str">
        <f t="shared" si="1"/>
        <v/>
      </c>
      <c r="B71" s="33"/>
      <c r="C71" s="33"/>
      <c r="D71" s="33"/>
      <c r="E71" s="33"/>
      <c r="F71" s="33"/>
      <c r="G71" s="33"/>
      <c r="H71" s="33"/>
      <c r="I71" s="33"/>
    </row>
    <row r="72" spans="1:9" x14ac:dyDescent="0.25">
      <c r="A72" s="29" t="str">
        <f t="shared" si="1"/>
        <v/>
      </c>
      <c r="B72" s="33"/>
      <c r="C72" s="33"/>
      <c r="D72" s="33"/>
      <c r="E72" s="33"/>
      <c r="F72" s="33"/>
      <c r="G72" s="33"/>
      <c r="H72" s="33"/>
      <c r="I72" s="33"/>
    </row>
    <row r="73" spans="1:9" x14ac:dyDescent="0.25">
      <c r="A73" s="29" t="str">
        <f t="shared" si="1"/>
        <v/>
      </c>
      <c r="B73" s="33"/>
      <c r="C73" s="33"/>
      <c r="D73" s="33"/>
      <c r="E73" s="33"/>
      <c r="F73" s="33"/>
      <c r="G73" s="33"/>
      <c r="H73" s="33"/>
      <c r="I73" s="33"/>
    </row>
    <row r="74" spans="1:9" x14ac:dyDescent="0.25">
      <c r="A74" s="29" t="str">
        <f t="shared" si="1"/>
        <v/>
      </c>
      <c r="B74" s="33"/>
      <c r="C74" s="33"/>
      <c r="D74" s="33"/>
      <c r="E74" s="33"/>
      <c r="F74" s="33"/>
      <c r="G74" s="33"/>
      <c r="H74" s="33"/>
      <c r="I74" s="33"/>
    </row>
    <row r="75" spans="1:9" x14ac:dyDescent="0.25">
      <c r="A75" s="29" t="str">
        <f t="shared" si="1"/>
        <v/>
      </c>
      <c r="B75" s="33"/>
      <c r="C75" s="33"/>
      <c r="D75" s="33"/>
      <c r="E75" s="33"/>
      <c r="F75" s="33"/>
      <c r="G75" s="33"/>
      <c r="H75" s="33"/>
      <c r="I75" s="33"/>
    </row>
    <row r="76" spans="1:9" x14ac:dyDescent="0.25">
      <c r="A76" s="29" t="str">
        <f t="shared" si="1"/>
        <v/>
      </c>
      <c r="B76" s="33"/>
      <c r="C76" s="33"/>
      <c r="D76" s="33"/>
      <c r="E76" s="33"/>
      <c r="F76" s="33"/>
      <c r="G76" s="33"/>
      <c r="H76" s="33"/>
      <c r="I76" s="33"/>
    </row>
    <row r="77" spans="1:9" x14ac:dyDescent="0.25">
      <c r="A77" s="29" t="str">
        <f t="shared" si="1"/>
        <v/>
      </c>
      <c r="B77" s="33"/>
      <c r="C77" s="33"/>
      <c r="D77" s="33"/>
      <c r="E77" s="33"/>
      <c r="F77" s="33"/>
      <c r="G77" s="33"/>
      <c r="H77" s="33"/>
      <c r="I77" s="33"/>
    </row>
    <row r="78" spans="1:9" x14ac:dyDescent="0.25">
      <c r="A78" s="29" t="str">
        <f t="shared" si="1"/>
        <v/>
      </c>
      <c r="B78" s="33"/>
      <c r="C78" s="33"/>
      <c r="D78" s="33"/>
      <c r="E78" s="33"/>
      <c r="F78" s="33"/>
      <c r="G78" s="33"/>
      <c r="H78" s="33"/>
      <c r="I78" s="33"/>
    </row>
    <row r="79" spans="1:9" x14ac:dyDescent="0.25">
      <c r="A79" s="29" t="str">
        <f t="shared" si="1"/>
        <v/>
      </c>
      <c r="B79" s="33"/>
      <c r="C79" s="33"/>
      <c r="D79" s="33"/>
      <c r="E79" s="33"/>
      <c r="F79" s="33"/>
      <c r="G79" s="33"/>
      <c r="H79" s="33"/>
      <c r="I79" s="33"/>
    </row>
    <row r="80" spans="1:9" x14ac:dyDescent="0.25">
      <c r="A80" s="29" t="str">
        <f t="shared" si="1"/>
        <v/>
      </c>
      <c r="B80" s="33"/>
      <c r="C80" s="33"/>
      <c r="D80" s="33"/>
      <c r="E80" s="33"/>
      <c r="F80" s="33"/>
      <c r="G80" s="33"/>
      <c r="H80" s="33"/>
      <c r="I80" s="33"/>
    </row>
    <row r="81" spans="1:9" x14ac:dyDescent="0.25">
      <c r="A81" s="29" t="str">
        <f t="shared" si="1"/>
        <v/>
      </c>
      <c r="B81" s="33"/>
      <c r="C81" s="33"/>
      <c r="D81" s="33"/>
      <c r="E81" s="33"/>
      <c r="F81" s="33"/>
      <c r="G81" s="33"/>
      <c r="H81" s="33"/>
      <c r="I81" s="33"/>
    </row>
    <row r="82" spans="1:9" x14ac:dyDescent="0.25">
      <c r="A82" s="29" t="str">
        <f t="shared" si="1"/>
        <v/>
      </c>
      <c r="B82" s="33"/>
      <c r="C82" s="33"/>
      <c r="D82" s="33"/>
      <c r="E82" s="33"/>
      <c r="F82" s="33"/>
      <c r="G82" s="33"/>
      <c r="H82" s="33"/>
      <c r="I82" s="33"/>
    </row>
    <row r="83" spans="1:9" x14ac:dyDescent="0.25">
      <c r="A83" s="29" t="str">
        <f t="shared" si="1"/>
        <v/>
      </c>
      <c r="B83" s="33"/>
      <c r="C83" s="33"/>
      <c r="D83" s="33"/>
      <c r="E83" s="33"/>
      <c r="F83" s="33"/>
      <c r="G83" s="33"/>
      <c r="H83" s="33"/>
      <c r="I83" s="33"/>
    </row>
    <row r="84" spans="1:9" x14ac:dyDescent="0.25">
      <c r="A84" s="29" t="str">
        <f t="shared" si="1"/>
        <v/>
      </c>
      <c r="B84" s="33"/>
      <c r="C84" s="33"/>
      <c r="D84" s="33"/>
      <c r="E84" s="33"/>
      <c r="F84" s="33"/>
      <c r="G84" s="33"/>
      <c r="H84" s="33"/>
      <c r="I84" s="33"/>
    </row>
    <row r="85" spans="1:9" x14ac:dyDescent="0.25">
      <c r="A85" s="29" t="str">
        <f t="shared" si="1"/>
        <v/>
      </c>
      <c r="B85" s="33"/>
      <c r="C85" s="33"/>
      <c r="D85" s="33"/>
      <c r="E85" s="33"/>
      <c r="F85" s="33"/>
      <c r="G85" s="33"/>
      <c r="H85" s="33"/>
      <c r="I85" s="33"/>
    </row>
    <row r="86" spans="1:9" x14ac:dyDescent="0.25">
      <c r="A86" s="29" t="str">
        <f t="shared" si="1"/>
        <v/>
      </c>
      <c r="B86" s="33"/>
      <c r="C86" s="33"/>
      <c r="D86" s="33"/>
      <c r="E86" s="33"/>
      <c r="F86" s="33"/>
      <c r="G86" s="33"/>
      <c r="H86" s="33"/>
      <c r="I86" s="33"/>
    </row>
    <row r="87" spans="1:9" x14ac:dyDescent="0.25">
      <c r="A87" s="29" t="str">
        <f t="shared" si="1"/>
        <v/>
      </c>
      <c r="B87" s="33"/>
      <c r="C87" s="33"/>
      <c r="D87" s="33"/>
      <c r="E87" s="33"/>
      <c r="F87" s="33"/>
      <c r="G87" s="33"/>
      <c r="H87" s="33"/>
      <c r="I87" s="33"/>
    </row>
    <row r="88" spans="1:9" x14ac:dyDescent="0.25">
      <c r="A88" s="29" t="str">
        <f t="shared" si="1"/>
        <v/>
      </c>
      <c r="B88" s="33"/>
      <c r="C88" s="33"/>
      <c r="D88" s="33"/>
      <c r="E88" s="33"/>
      <c r="F88" s="33"/>
      <c r="G88" s="33"/>
      <c r="H88" s="33"/>
      <c r="I88" s="33"/>
    </row>
    <row r="89" spans="1:9" x14ac:dyDescent="0.25">
      <c r="A89" s="29" t="str">
        <f t="shared" si="1"/>
        <v/>
      </c>
      <c r="B89" s="33"/>
      <c r="C89" s="33"/>
      <c r="D89" s="33"/>
      <c r="E89" s="33"/>
      <c r="F89" s="33"/>
      <c r="G89" s="33"/>
      <c r="H89" s="33"/>
      <c r="I89" s="33"/>
    </row>
    <row r="90" spans="1:9" x14ac:dyDescent="0.25">
      <c r="A90" s="29" t="str">
        <f t="shared" si="1"/>
        <v/>
      </c>
      <c r="B90" s="33"/>
      <c r="C90" s="33"/>
      <c r="D90" s="33"/>
      <c r="E90" s="33"/>
      <c r="F90" s="33"/>
      <c r="G90" s="33"/>
      <c r="H90" s="33"/>
      <c r="I90" s="33"/>
    </row>
    <row r="91" spans="1:9" x14ac:dyDescent="0.25">
      <c r="A91" s="29" t="str">
        <f t="shared" si="1"/>
        <v/>
      </c>
      <c r="B91" s="33"/>
      <c r="C91" s="33"/>
      <c r="D91" s="33"/>
      <c r="E91" s="33"/>
      <c r="F91" s="33"/>
      <c r="G91" s="33"/>
      <c r="H91" s="33"/>
      <c r="I91" s="33"/>
    </row>
    <row r="92" spans="1:9" x14ac:dyDescent="0.25">
      <c r="A92" s="29" t="str">
        <f t="shared" si="1"/>
        <v/>
      </c>
      <c r="B92" s="33"/>
      <c r="C92" s="33"/>
      <c r="D92" s="33"/>
      <c r="E92" s="33"/>
      <c r="F92" s="33"/>
      <c r="G92" s="33"/>
      <c r="H92" s="33"/>
      <c r="I92" s="33"/>
    </row>
    <row r="93" spans="1:9" x14ac:dyDescent="0.25">
      <c r="A93" s="29" t="str">
        <f t="shared" si="1"/>
        <v/>
      </c>
      <c r="B93" s="33"/>
      <c r="C93" s="33"/>
      <c r="D93" s="33"/>
      <c r="E93" s="33"/>
      <c r="F93" s="33"/>
      <c r="G93" s="33"/>
      <c r="H93" s="33"/>
      <c r="I93" s="33"/>
    </row>
    <row r="94" spans="1:9" x14ac:dyDescent="0.25">
      <c r="A94" s="29" t="str">
        <f t="shared" si="1"/>
        <v/>
      </c>
      <c r="B94" s="33"/>
      <c r="C94" s="33"/>
      <c r="D94" s="33"/>
      <c r="E94" s="33"/>
      <c r="F94" s="33"/>
      <c r="G94" s="33"/>
      <c r="H94" s="33"/>
      <c r="I94" s="33"/>
    </row>
    <row r="95" spans="1:9" x14ac:dyDescent="0.25">
      <c r="A95" s="29" t="str">
        <f t="shared" si="1"/>
        <v/>
      </c>
      <c r="B95" s="33"/>
      <c r="C95" s="33"/>
      <c r="D95" s="33"/>
      <c r="E95" s="33"/>
      <c r="F95" s="33"/>
      <c r="G95" s="33"/>
      <c r="H95" s="33"/>
      <c r="I95" s="33"/>
    </row>
    <row r="96" spans="1:9" x14ac:dyDescent="0.25">
      <c r="A96" s="29" t="str">
        <f t="shared" si="1"/>
        <v/>
      </c>
      <c r="B96" s="33"/>
      <c r="C96" s="33"/>
      <c r="D96" s="33"/>
      <c r="E96" s="33"/>
      <c r="F96" s="33"/>
      <c r="G96" s="33"/>
      <c r="H96" s="33"/>
      <c r="I96" s="33"/>
    </row>
    <row r="97" spans="1:9" x14ac:dyDescent="0.25">
      <c r="A97" s="29" t="str">
        <f t="shared" si="1"/>
        <v/>
      </c>
      <c r="B97" s="33"/>
      <c r="C97" s="33"/>
      <c r="D97" s="33"/>
      <c r="E97" s="33"/>
      <c r="F97" s="33"/>
      <c r="G97" s="33"/>
      <c r="H97" s="33"/>
      <c r="I97" s="33"/>
    </row>
    <row r="98" spans="1:9" x14ac:dyDescent="0.25">
      <c r="A98" s="29" t="str">
        <f t="shared" si="1"/>
        <v/>
      </c>
      <c r="B98" s="33"/>
      <c r="C98" s="33"/>
      <c r="D98" s="33"/>
      <c r="E98" s="33"/>
      <c r="F98" s="33"/>
      <c r="G98" s="33"/>
      <c r="H98" s="33"/>
      <c r="I98" s="33"/>
    </row>
    <row r="99" spans="1:9" x14ac:dyDescent="0.25">
      <c r="A99" s="29" t="str">
        <f t="shared" si="1"/>
        <v/>
      </c>
      <c r="B99" s="33"/>
      <c r="C99" s="33"/>
      <c r="D99" s="33"/>
      <c r="E99" s="33"/>
      <c r="F99" s="33"/>
      <c r="G99" s="33"/>
      <c r="H99" s="33"/>
      <c r="I99" s="33"/>
    </row>
    <row r="100" spans="1:9" x14ac:dyDescent="0.25">
      <c r="A100" s="29" t="str">
        <f t="shared" si="1"/>
        <v/>
      </c>
      <c r="B100" s="33"/>
      <c r="C100" s="33"/>
      <c r="D100" s="33"/>
      <c r="E100" s="33"/>
      <c r="F100" s="33"/>
      <c r="G100" s="33"/>
      <c r="H100" s="33"/>
      <c r="I100" s="33"/>
    </row>
    <row r="101" spans="1:9" x14ac:dyDescent="0.25">
      <c r="A101" s="29" t="str">
        <f t="shared" si="1"/>
        <v/>
      </c>
      <c r="B101" s="33"/>
      <c r="C101" s="33"/>
      <c r="D101" s="33"/>
      <c r="E101" s="33"/>
      <c r="F101" s="33"/>
      <c r="G101" s="33"/>
      <c r="H101" s="33"/>
      <c r="I101" s="33"/>
    </row>
    <row r="102" spans="1:9" x14ac:dyDescent="0.25">
      <c r="A102" s="29" t="str">
        <f t="shared" si="1"/>
        <v/>
      </c>
      <c r="B102" s="33"/>
      <c r="C102" s="33"/>
      <c r="D102" s="33"/>
      <c r="E102" s="33"/>
      <c r="F102" s="33"/>
      <c r="G102" s="33"/>
      <c r="H102" s="33"/>
      <c r="I102" s="33"/>
    </row>
    <row r="103" spans="1:9" x14ac:dyDescent="0.25">
      <c r="A103" s="29" t="str">
        <f t="shared" si="1"/>
        <v/>
      </c>
      <c r="B103" s="33"/>
      <c r="C103" s="33"/>
      <c r="D103" s="33"/>
      <c r="E103" s="33"/>
      <c r="F103" s="33"/>
      <c r="G103" s="33"/>
      <c r="H103" s="33"/>
      <c r="I103" s="33"/>
    </row>
    <row r="104" spans="1:9" x14ac:dyDescent="0.25">
      <c r="A104" s="29" t="str">
        <f t="shared" si="1"/>
        <v/>
      </c>
      <c r="B104" s="33"/>
      <c r="C104" s="33"/>
      <c r="D104" s="33"/>
      <c r="E104" s="33"/>
      <c r="F104" s="33"/>
      <c r="G104" s="33"/>
      <c r="H104" s="33"/>
      <c r="I104" s="33"/>
    </row>
    <row r="105" spans="1:9" x14ac:dyDescent="0.25">
      <c r="A105" s="29" t="str">
        <f t="shared" si="1"/>
        <v/>
      </c>
      <c r="B105" s="33"/>
      <c r="C105" s="33"/>
      <c r="D105" s="33"/>
      <c r="E105" s="33"/>
      <c r="F105" s="33"/>
      <c r="G105" s="33"/>
      <c r="H105" s="33"/>
      <c r="I105" s="33"/>
    </row>
    <row r="106" spans="1:9" x14ac:dyDescent="0.25">
      <c r="A106" s="29" t="str">
        <f t="shared" si="1"/>
        <v/>
      </c>
      <c r="B106" s="33"/>
      <c r="C106" s="33"/>
      <c r="D106" s="33"/>
      <c r="E106" s="33"/>
      <c r="F106" s="33"/>
      <c r="G106" s="33"/>
      <c r="H106" s="33"/>
      <c r="I106" s="33"/>
    </row>
    <row r="107" spans="1:9" x14ac:dyDescent="0.25">
      <c r="A107" s="29" t="str">
        <f t="shared" si="1"/>
        <v/>
      </c>
      <c r="B107" s="33"/>
      <c r="C107" s="33"/>
      <c r="D107" s="33"/>
      <c r="E107" s="33"/>
      <c r="F107" s="33"/>
      <c r="G107" s="33"/>
      <c r="H107" s="33"/>
      <c r="I107" s="33"/>
    </row>
    <row r="108" spans="1:9" x14ac:dyDescent="0.25">
      <c r="A108" s="29" t="str">
        <f t="shared" si="1"/>
        <v/>
      </c>
      <c r="B108" s="33"/>
      <c r="C108" s="33"/>
      <c r="D108" s="33"/>
      <c r="E108" s="33"/>
      <c r="F108" s="33"/>
      <c r="G108" s="33"/>
      <c r="H108" s="33"/>
      <c r="I108" s="33"/>
    </row>
    <row r="109" spans="1:9" x14ac:dyDescent="0.25">
      <c r="A109" s="29" t="str">
        <f t="shared" si="1"/>
        <v/>
      </c>
      <c r="B109" s="33"/>
      <c r="C109" s="33"/>
      <c r="D109" s="33"/>
      <c r="E109" s="33"/>
      <c r="F109" s="33"/>
      <c r="G109" s="33"/>
      <c r="H109" s="33"/>
      <c r="I109" s="33"/>
    </row>
    <row r="110" spans="1:9" x14ac:dyDescent="0.25">
      <c r="A110" s="29" t="str">
        <f t="shared" si="1"/>
        <v/>
      </c>
      <c r="B110" s="33"/>
      <c r="C110" s="33"/>
      <c r="D110" s="33"/>
      <c r="E110" s="33"/>
      <c r="F110" s="33"/>
      <c r="G110" s="33"/>
      <c r="H110" s="33"/>
      <c r="I110" s="33"/>
    </row>
    <row r="111" spans="1:9" x14ac:dyDescent="0.25">
      <c r="A111" s="29" t="str">
        <f t="shared" si="1"/>
        <v/>
      </c>
      <c r="B111" s="33"/>
      <c r="C111" s="33"/>
      <c r="D111" s="33"/>
      <c r="E111" s="33"/>
      <c r="F111" s="33"/>
      <c r="G111" s="33"/>
      <c r="H111" s="33"/>
      <c r="I111" s="33"/>
    </row>
    <row r="112" spans="1:9" x14ac:dyDescent="0.25">
      <c r="A112" s="29" t="str">
        <f t="shared" si="1"/>
        <v/>
      </c>
      <c r="B112" s="33"/>
      <c r="C112" s="33"/>
      <c r="D112" s="33"/>
      <c r="E112" s="33"/>
      <c r="F112" s="33"/>
      <c r="G112" s="33"/>
      <c r="H112" s="33"/>
      <c r="I112" s="33"/>
    </row>
    <row r="113" spans="1:9" x14ac:dyDescent="0.25">
      <c r="A113" s="29" t="str">
        <f t="shared" si="1"/>
        <v/>
      </c>
      <c r="B113" s="33"/>
      <c r="C113" s="33"/>
      <c r="D113" s="33"/>
      <c r="E113" s="33"/>
      <c r="F113" s="33"/>
      <c r="G113" s="33"/>
      <c r="H113" s="33"/>
      <c r="I113" s="33"/>
    </row>
    <row r="114" spans="1:9" x14ac:dyDescent="0.25">
      <c r="A114" s="29" t="str">
        <f t="shared" si="1"/>
        <v/>
      </c>
      <c r="B114" s="33"/>
      <c r="C114" s="33"/>
      <c r="D114" s="33"/>
      <c r="E114" s="33"/>
      <c r="F114" s="33"/>
      <c r="G114" s="33"/>
      <c r="H114" s="33"/>
      <c r="I114" s="33"/>
    </row>
    <row r="115" spans="1:9" x14ac:dyDescent="0.25">
      <c r="A115" s="29" t="str">
        <f t="shared" si="1"/>
        <v/>
      </c>
      <c r="B115" s="33"/>
      <c r="C115" s="33"/>
      <c r="D115" s="33"/>
      <c r="E115" s="33"/>
      <c r="F115" s="33"/>
      <c r="G115" s="33"/>
      <c r="H115" s="33"/>
      <c r="I115" s="33"/>
    </row>
    <row r="116" spans="1:9" x14ac:dyDescent="0.25">
      <c r="A116" s="29" t="str">
        <f t="shared" si="1"/>
        <v/>
      </c>
      <c r="B116" s="33"/>
      <c r="C116" s="33"/>
      <c r="D116" s="33"/>
      <c r="E116" s="33"/>
      <c r="F116" s="33"/>
      <c r="G116" s="33"/>
      <c r="H116" s="33"/>
      <c r="I116" s="33"/>
    </row>
    <row r="117" spans="1:9" x14ac:dyDescent="0.25">
      <c r="A117" s="29" t="str">
        <f t="shared" si="1"/>
        <v/>
      </c>
      <c r="B117" s="33"/>
      <c r="C117" s="33"/>
      <c r="D117" s="33"/>
      <c r="E117" s="33"/>
      <c r="F117" s="33"/>
      <c r="G117" s="33"/>
      <c r="H117" s="33"/>
      <c r="I117" s="33"/>
    </row>
    <row r="118" spans="1:9" x14ac:dyDescent="0.25">
      <c r="A118" s="29" t="str">
        <f t="shared" si="1"/>
        <v/>
      </c>
      <c r="B118" s="33"/>
      <c r="C118" s="33"/>
      <c r="D118" s="33"/>
      <c r="E118" s="33"/>
      <c r="F118" s="33"/>
      <c r="G118" s="33"/>
      <c r="H118" s="33"/>
      <c r="I118" s="33"/>
    </row>
    <row r="119" spans="1:9" x14ac:dyDescent="0.25">
      <c r="A119" s="29" t="str">
        <f t="shared" si="1"/>
        <v/>
      </c>
      <c r="B119" s="33"/>
      <c r="C119" s="33"/>
      <c r="D119" s="33"/>
      <c r="E119" s="33"/>
      <c r="F119" s="33"/>
      <c r="G119" s="33"/>
      <c r="H119" s="33"/>
      <c r="I119" s="33"/>
    </row>
    <row r="120" spans="1:9" x14ac:dyDescent="0.25">
      <c r="A120" s="29" t="str">
        <f t="shared" si="1"/>
        <v/>
      </c>
      <c r="B120" s="33"/>
      <c r="C120" s="33"/>
      <c r="D120" s="33"/>
      <c r="E120" s="33"/>
      <c r="F120" s="33"/>
      <c r="G120" s="33"/>
      <c r="H120" s="33"/>
      <c r="I120" s="33"/>
    </row>
    <row r="121" spans="1:9" x14ac:dyDescent="0.25">
      <c r="A121" s="29" t="str">
        <f t="shared" si="1"/>
        <v/>
      </c>
      <c r="B121" s="33"/>
      <c r="C121" s="33"/>
      <c r="D121" s="33"/>
      <c r="E121" s="33"/>
      <c r="F121" s="33"/>
      <c r="G121" s="33"/>
      <c r="H121" s="33"/>
      <c r="I121" s="33"/>
    </row>
    <row r="122" spans="1:9" x14ac:dyDescent="0.25">
      <c r="A122" s="29" t="str">
        <f t="shared" si="1"/>
        <v/>
      </c>
      <c r="B122" s="33"/>
      <c r="C122" s="33"/>
      <c r="D122" s="33"/>
      <c r="E122" s="33"/>
      <c r="F122" s="33"/>
      <c r="G122" s="33"/>
      <c r="H122" s="33"/>
      <c r="I122" s="33"/>
    </row>
    <row r="123" spans="1:9" x14ac:dyDescent="0.25">
      <c r="A123" s="29" t="str">
        <f t="shared" si="1"/>
        <v/>
      </c>
      <c r="B123" s="33"/>
      <c r="C123" s="33"/>
      <c r="D123" s="33"/>
      <c r="E123" s="33"/>
      <c r="F123" s="33"/>
      <c r="G123" s="33"/>
      <c r="H123" s="33"/>
      <c r="I123" s="33"/>
    </row>
    <row r="124" spans="1:9" x14ac:dyDescent="0.25">
      <c r="A124" s="29" t="str">
        <f t="shared" si="1"/>
        <v/>
      </c>
      <c r="B124" s="33"/>
      <c r="C124" s="33"/>
      <c r="D124" s="33"/>
      <c r="E124" s="33"/>
      <c r="F124" s="33"/>
      <c r="G124" s="33"/>
      <c r="H124" s="33"/>
      <c r="I124" s="33"/>
    </row>
    <row r="125" spans="1:9" x14ac:dyDescent="0.25">
      <c r="A125" s="29" t="str">
        <f t="shared" si="1"/>
        <v/>
      </c>
      <c r="B125" s="33"/>
      <c r="C125" s="33"/>
      <c r="D125" s="33"/>
      <c r="E125" s="33"/>
      <c r="F125" s="33"/>
      <c r="G125" s="33"/>
      <c r="H125" s="33"/>
      <c r="I125" s="33"/>
    </row>
    <row r="126" spans="1:9" x14ac:dyDescent="0.25">
      <c r="A126" s="29" t="str">
        <f t="shared" si="1"/>
        <v/>
      </c>
      <c r="B126" s="33"/>
      <c r="C126" s="33"/>
      <c r="D126" s="33"/>
      <c r="E126" s="33"/>
      <c r="F126" s="33"/>
      <c r="G126" s="33"/>
      <c r="H126" s="33"/>
      <c r="I126" s="33"/>
    </row>
    <row r="127" spans="1:9" x14ac:dyDescent="0.25">
      <c r="A127" s="29" t="str">
        <f t="shared" si="1"/>
        <v/>
      </c>
      <c r="B127" s="33"/>
      <c r="C127" s="33"/>
      <c r="D127" s="33"/>
      <c r="E127" s="33"/>
      <c r="F127" s="33"/>
      <c r="G127" s="33"/>
      <c r="H127" s="33"/>
      <c r="I127" s="33"/>
    </row>
    <row r="128" spans="1:9" x14ac:dyDescent="0.25">
      <c r="A128" s="29" t="str">
        <f t="shared" si="1"/>
        <v/>
      </c>
      <c r="B128" s="33"/>
      <c r="C128" s="33"/>
      <c r="D128" s="33"/>
      <c r="E128" s="33"/>
      <c r="F128" s="33"/>
      <c r="G128" s="33"/>
      <c r="H128" s="33"/>
      <c r="I128" s="33"/>
    </row>
    <row r="129" spans="1:9" x14ac:dyDescent="0.25">
      <c r="A129" s="29" t="str">
        <f t="shared" si="1"/>
        <v/>
      </c>
      <c r="B129" s="33"/>
      <c r="C129" s="33"/>
      <c r="D129" s="33"/>
      <c r="E129" s="33"/>
      <c r="F129" s="33"/>
      <c r="G129" s="33"/>
      <c r="H129" s="33"/>
      <c r="I129" s="33"/>
    </row>
    <row r="130" spans="1:9" x14ac:dyDescent="0.25">
      <c r="A130" s="29" t="str">
        <f t="shared" ref="A130:A193" si="2">_xlfn.CONCAT(B130,C130)</f>
        <v/>
      </c>
      <c r="B130" s="33"/>
      <c r="C130" s="33"/>
      <c r="D130" s="33"/>
      <c r="E130" s="33"/>
      <c r="F130" s="33"/>
      <c r="G130" s="33"/>
      <c r="H130" s="33"/>
      <c r="I130" s="33"/>
    </row>
    <row r="131" spans="1:9" x14ac:dyDescent="0.25">
      <c r="A131" s="29" t="str">
        <f t="shared" si="2"/>
        <v/>
      </c>
      <c r="B131" s="33"/>
      <c r="C131" s="33"/>
      <c r="D131" s="33"/>
      <c r="E131" s="33"/>
      <c r="F131" s="33"/>
      <c r="G131" s="33"/>
      <c r="H131" s="33"/>
      <c r="I131" s="33"/>
    </row>
    <row r="132" spans="1:9" x14ac:dyDescent="0.25">
      <c r="A132" s="29" t="str">
        <f t="shared" si="2"/>
        <v/>
      </c>
      <c r="B132" s="33"/>
      <c r="C132" s="33"/>
      <c r="D132" s="33"/>
      <c r="E132" s="33"/>
      <c r="F132" s="33"/>
      <c r="G132" s="33"/>
      <c r="H132" s="33"/>
      <c r="I132" s="33"/>
    </row>
    <row r="133" spans="1:9" x14ac:dyDescent="0.25">
      <c r="A133" s="29" t="str">
        <f t="shared" si="2"/>
        <v/>
      </c>
      <c r="B133" s="33"/>
      <c r="C133" s="33"/>
      <c r="D133" s="33"/>
      <c r="E133" s="33"/>
      <c r="F133" s="33"/>
      <c r="G133" s="33"/>
      <c r="H133" s="33"/>
      <c r="I133" s="33"/>
    </row>
    <row r="134" spans="1:9" x14ac:dyDescent="0.25">
      <c r="A134" s="29" t="str">
        <f t="shared" si="2"/>
        <v/>
      </c>
      <c r="B134" s="33"/>
      <c r="C134" s="33"/>
      <c r="D134" s="33"/>
      <c r="E134" s="33"/>
      <c r="F134" s="33"/>
      <c r="G134" s="33"/>
      <c r="H134" s="33"/>
      <c r="I134" s="33"/>
    </row>
    <row r="135" spans="1:9" x14ac:dyDescent="0.25">
      <c r="A135" s="29" t="str">
        <f t="shared" si="2"/>
        <v/>
      </c>
      <c r="B135" s="33"/>
      <c r="C135" s="33"/>
      <c r="D135" s="33"/>
      <c r="E135" s="33"/>
      <c r="F135" s="33"/>
      <c r="G135" s="33"/>
      <c r="H135" s="33"/>
      <c r="I135" s="33"/>
    </row>
    <row r="136" spans="1:9" x14ac:dyDescent="0.25">
      <c r="A136" s="29" t="str">
        <f t="shared" si="2"/>
        <v/>
      </c>
      <c r="B136" s="33"/>
      <c r="C136" s="33"/>
      <c r="D136" s="33"/>
      <c r="E136" s="33"/>
      <c r="F136" s="33"/>
      <c r="G136" s="33"/>
      <c r="H136" s="33"/>
      <c r="I136" s="33"/>
    </row>
    <row r="137" spans="1:9" x14ac:dyDescent="0.25">
      <c r="A137" s="29" t="str">
        <f t="shared" si="2"/>
        <v/>
      </c>
      <c r="B137" s="33"/>
      <c r="C137" s="33"/>
      <c r="D137" s="33"/>
      <c r="E137" s="33"/>
      <c r="F137" s="33"/>
      <c r="G137" s="33"/>
      <c r="H137" s="33"/>
      <c r="I137" s="33"/>
    </row>
    <row r="138" spans="1:9" x14ac:dyDescent="0.25">
      <c r="A138" s="29" t="str">
        <f t="shared" si="2"/>
        <v/>
      </c>
      <c r="B138" s="33"/>
      <c r="C138" s="33"/>
      <c r="D138" s="33"/>
      <c r="E138" s="33"/>
      <c r="F138" s="33"/>
      <c r="G138" s="33"/>
      <c r="H138" s="33"/>
      <c r="I138" s="33"/>
    </row>
    <row r="139" spans="1:9" x14ac:dyDescent="0.25">
      <c r="A139" s="29" t="str">
        <f t="shared" si="2"/>
        <v/>
      </c>
      <c r="B139" s="33"/>
      <c r="C139" s="33"/>
      <c r="D139" s="33"/>
      <c r="E139" s="33"/>
      <c r="F139" s="33"/>
      <c r="G139" s="33"/>
      <c r="H139" s="33"/>
      <c r="I139" s="33"/>
    </row>
    <row r="140" spans="1:9" x14ac:dyDescent="0.25">
      <c r="A140" s="29" t="str">
        <f t="shared" si="2"/>
        <v/>
      </c>
      <c r="B140" s="33"/>
      <c r="C140" s="33"/>
      <c r="D140" s="33"/>
      <c r="E140" s="33"/>
      <c r="F140" s="33"/>
      <c r="G140" s="33"/>
      <c r="H140" s="33"/>
      <c r="I140" s="33"/>
    </row>
    <row r="141" spans="1:9" x14ac:dyDescent="0.25">
      <c r="A141" s="29" t="str">
        <f t="shared" si="2"/>
        <v/>
      </c>
      <c r="B141" s="33"/>
      <c r="C141" s="33"/>
      <c r="D141" s="33"/>
      <c r="E141" s="33"/>
      <c r="F141" s="33"/>
      <c r="G141" s="33"/>
      <c r="H141" s="33"/>
      <c r="I141" s="33"/>
    </row>
    <row r="142" spans="1:9" x14ac:dyDescent="0.25">
      <c r="A142" s="29" t="str">
        <f t="shared" si="2"/>
        <v/>
      </c>
      <c r="B142" s="33"/>
      <c r="C142" s="33"/>
      <c r="D142" s="33"/>
      <c r="E142" s="33"/>
      <c r="F142" s="33"/>
      <c r="G142" s="33"/>
      <c r="H142" s="33"/>
      <c r="I142" s="33"/>
    </row>
    <row r="143" spans="1:9" x14ac:dyDescent="0.25">
      <c r="A143" s="29" t="str">
        <f t="shared" si="2"/>
        <v/>
      </c>
      <c r="B143" s="33"/>
      <c r="C143" s="33"/>
      <c r="D143" s="33"/>
      <c r="E143" s="33"/>
      <c r="F143" s="33"/>
      <c r="G143" s="33"/>
      <c r="H143" s="33"/>
      <c r="I143" s="33"/>
    </row>
    <row r="144" spans="1:9" x14ac:dyDescent="0.25">
      <c r="A144" s="29" t="str">
        <f t="shared" si="2"/>
        <v/>
      </c>
      <c r="B144" s="33"/>
      <c r="C144" s="33"/>
      <c r="D144" s="33"/>
      <c r="E144" s="33"/>
      <c r="F144" s="33"/>
      <c r="G144" s="33"/>
      <c r="H144" s="33"/>
      <c r="I144" s="33"/>
    </row>
    <row r="145" spans="1:9" x14ac:dyDescent="0.25">
      <c r="A145" s="29" t="str">
        <f t="shared" si="2"/>
        <v/>
      </c>
      <c r="B145" s="33"/>
      <c r="C145" s="33"/>
      <c r="D145" s="33"/>
      <c r="E145" s="33"/>
      <c r="F145" s="33"/>
      <c r="G145" s="33"/>
      <c r="H145" s="33"/>
      <c r="I145" s="33"/>
    </row>
    <row r="146" spans="1:9" x14ac:dyDescent="0.25">
      <c r="A146" s="29" t="str">
        <f t="shared" si="2"/>
        <v/>
      </c>
      <c r="B146" s="33"/>
      <c r="C146" s="33"/>
      <c r="D146" s="33"/>
      <c r="E146" s="33"/>
      <c r="F146" s="33"/>
      <c r="G146" s="33"/>
      <c r="H146" s="33"/>
      <c r="I146" s="33"/>
    </row>
    <row r="147" spans="1:9" x14ac:dyDescent="0.25">
      <c r="A147" s="29" t="str">
        <f t="shared" si="2"/>
        <v/>
      </c>
      <c r="B147" s="33"/>
      <c r="C147" s="33"/>
      <c r="D147" s="33"/>
      <c r="E147" s="33"/>
      <c r="F147" s="33"/>
      <c r="G147" s="33"/>
      <c r="H147" s="33"/>
      <c r="I147" s="33"/>
    </row>
    <row r="148" spans="1:9" x14ac:dyDescent="0.25">
      <c r="A148" s="29" t="str">
        <f t="shared" si="2"/>
        <v/>
      </c>
      <c r="B148" s="33"/>
      <c r="C148" s="33"/>
      <c r="D148" s="33"/>
      <c r="E148" s="33"/>
      <c r="F148" s="33"/>
      <c r="G148" s="33"/>
      <c r="H148" s="33"/>
      <c r="I148" s="33"/>
    </row>
    <row r="149" spans="1:9" x14ac:dyDescent="0.25">
      <c r="A149" s="29" t="str">
        <f t="shared" si="2"/>
        <v/>
      </c>
      <c r="B149" s="33"/>
      <c r="C149" s="33"/>
      <c r="D149" s="33"/>
      <c r="E149" s="33"/>
      <c r="F149" s="33"/>
      <c r="G149" s="33"/>
      <c r="H149" s="33"/>
      <c r="I149" s="33"/>
    </row>
    <row r="150" spans="1:9" x14ac:dyDescent="0.25">
      <c r="A150" s="29" t="str">
        <f t="shared" si="2"/>
        <v/>
      </c>
      <c r="B150" s="33"/>
      <c r="C150" s="33"/>
      <c r="D150" s="33"/>
      <c r="E150" s="33"/>
      <c r="F150" s="33"/>
      <c r="G150" s="33"/>
      <c r="H150" s="33"/>
      <c r="I150" s="33"/>
    </row>
    <row r="151" spans="1:9" x14ac:dyDescent="0.25">
      <c r="A151" s="29" t="str">
        <f t="shared" si="2"/>
        <v/>
      </c>
      <c r="B151" s="33"/>
      <c r="C151" s="33"/>
      <c r="D151" s="33"/>
      <c r="E151" s="33"/>
      <c r="F151" s="33"/>
      <c r="G151" s="33"/>
      <c r="H151" s="33"/>
      <c r="I151" s="33"/>
    </row>
    <row r="152" spans="1:9" x14ac:dyDescent="0.25">
      <c r="A152" s="29" t="str">
        <f t="shared" si="2"/>
        <v/>
      </c>
      <c r="B152" s="33"/>
      <c r="C152" s="33"/>
      <c r="D152" s="33"/>
      <c r="E152" s="33"/>
      <c r="F152" s="33"/>
      <c r="G152" s="33"/>
      <c r="H152" s="33"/>
      <c r="I152" s="33"/>
    </row>
    <row r="153" spans="1:9" x14ac:dyDescent="0.25">
      <c r="A153" s="29" t="str">
        <f t="shared" si="2"/>
        <v/>
      </c>
      <c r="B153" s="33"/>
      <c r="C153" s="33"/>
      <c r="D153" s="33"/>
      <c r="E153" s="33"/>
      <c r="F153" s="33"/>
      <c r="G153" s="33"/>
      <c r="H153" s="33"/>
      <c r="I153" s="33"/>
    </row>
    <row r="154" spans="1:9" x14ac:dyDescent="0.25">
      <c r="A154" s="29" t="str">
        <f t="shared" si="2"/>
        <v/>
      </c>
      <c r="B154" s="33"/>
      <c r="C154" s="33"/>
      <c r="D154" s="33"/>
      <c r="E154" s="33"/>
      <c r="F154" s="33"/>
      <c r="G154" s="33"/>
      <c r="H154" s="33"/>
      <c r="I154" s="33"/>
    </row>
    <row r="155" spans="1:9" x14ac:dyDescent="0.25">
      <c r="A155" s="29" t="str">
        <f t="shared" si="2"/>
        <v/>
      </c>
      <c r="B155" s="33"/>
      <c r="C155" s="33"/>
      <c r="D155" s="33"/>
      <c r="E155" s="33"/>
      <c r="F155" s="33"/>
      <c r="G155" s="33"/>
      <c r="H155" s="33"/>
      <c r="I155" s="33"/>
    </row>
    <row r="156" spans="1:9" x14ac:dyDescent="0.25">
      <c r="A156" s="29" t="str">
        <f t="shared" si="2"/>
        <v/>
      </c>
      <c r="B156" s="33"/>
      <c r="C156" s="33"/>
      <c r="D156" s="33"/>
      <c r="E156" s="33"/>
      <c r="F156" s="33"/>
      <c r="G156" s="33"/>
      <c r="H156" s="33"/>
      <c r="I156" s="33"/>
    </row>
    <row r="157" spans="1:9" x14ac:dyDescent="0.25">
      <c r="A157" s="29" t="str">
        <f t="shared" si="2"/>
        <v/>
      </c>
      <c r="B157" s="33"/>
      <c r="C157" s="33"/>
      <c r="D157" s="33"/>
      <c r="E157" s="33"/>
      <c r="F157" s="33"/>
      <c r="G157" s="33"/>
      <c r="H157" s="33"/>
      <c r="I157" s="33"/>
    </row>
    <row r="158" spans="1:9" x14ac:dyDescent="0.25">
      <c r="A158" s="29" t="str">
        <f t="shared" si="2"/>
        <v/>
      </c>
      <c r="B158" s="33"/>
      <c r="C158" s="33"/>
      <c r="D158" s="33"/>
      <c r="E158" s="33"/>
      <c r="F158" s="33"/>
      <c r="G158" s="33"/>
      <c r="H158" s="33"/>
      <c r="I158" s="33"/>
    </row>
    <row r="159" spans="1:9" x14ac:dyDescent="0.25">
      <c r="A159" s="29" t="str">
        <f t="shared" si="2"/>
        <v/>
      </c>
      <c r="B159" s="33"/>
      <c r="C159" s="33"/>
      <c r="D159" s="33"/>
      <c r="E159" s="33"/>
      <c r="F159" s="33"/>
      <c r="G159" s="33"/>
      <c r="H159" s="33"/>
      <c r="I159" s="33"/>
    </row>
    <row r="160" spans="1:9" x14ac:dyDescent="0.25">
      <c r="A160" s="29" t="str">
        <f t="shared" si="2"/>
        <v/>
      </c>
      <c r="B160" s="33"/>
      <c r="C160" s="33"/>
      <c r="D160" s="33"/>
      <c r="E160" s="33"/>
      <c r="F160" s="33"/>
      <c r="G160" s="33"/>
      <c r="H160" s="33"/>
      <c r="I160" s="33"/>
    </row>
    <row r="161" spans="1:9" x14ac:dyDescent="0.25">
      <c r="A161" s="29" t="str">
        <f t="shared" si="2"/>
        <v/>
      </c>
      <c r="B161" s="33"/>
      <c r="C161" s="33"/>
      <c r="D161" s="33"/>
      <c r="E161" s="33"/>
      <c r="F161" s="33"/>
      <c r="G161" s="33"/>
      <c r="H161" s="33"/>
      <c r="I161" s="33"/>
    </row>
    <row r="162" spans="1:9" x14ac:dyDescent="0.25">
      <c r="A162" s="29" t="str">
        <f t="shared" si="2"/>
        <v/>
      </c>
      <c r="B162" s="33"/>
      <c r="C162" s="33"/>
      <c r="D162" s="33"/>
      <c r="E162" s="33"/>
      <c r="F162" s="33"/>
      <c r="G162" s="33"/>
      <c r="H162" s="33"/>
      <c r="I162" s="33"/>
    </row>
    <row r="163" spans="1:9" x14ac:dyDescent="0.25">
      <c r="A163" s="29" t="str">
        <f t="shared" si="2"/>
        <v/>
      </c>
      <c r="B163" s="33"/>
      <c r="C163" s="33"/>
      <c r="D163" s="33"/>
      <c r="E163" s="33"/>
      <c r="F163" s="33"/>
      <c r="G163" s="33"/>
      <c r="H163" s="33"/>
      <c r="I163" s="33"/>
    </row>
    <row r="164" spans="1:9" x14ac:dyDescent="0.25">
      <c r="A164" s="29" t="str">
        <f t="shared" si="2"/>
        <v/>
      </c>
      <c r="B164" s="33"/>
      <c r="C164" s="33"/>
      <c r="D164" s="33"/>
      <c r="E164" s="33"/>
      <c r="F164" s="33"/>
      <c r="G164" s="33"/>
      <c r="H164" s="33"/>
      <c r="I164" s="33"/>
    </row>
    <row r="165" spans="1:9" x14ac:dyDescent="0.25">
      <c r="A165" s="29" t="str">
        <f t="shared" si="2"/>
        <v/>
      </c>
      <c r="B165" s="33"/>
      <c r="C165" s="33"/>
      <c r="D165" s="33"/>
      <c r="E165" s="33"/>
      <c r="F165" s="33"/>
      <c r="G165" s="33"/>
      <c r="H165" s="33"/>
      <c r="I165" s="33"/>
    </row>
    <row r="166" spans="1:9" x14ac:dyDescent="0.25">
      <c r="A166" s="29" t="str">
        <f t="shared" si="2"/>
        <v/>
      </c>
      <c r="B166" s="33"/>
      <c r="C166" s="33"/>
      <c r="D166" s="33"/>
      <c r="E166" s="33"/>
      <c r="F166" s="33"/>
      <c r="G166" s="33"/>
      <c r="H166" s="33"/>
      <c r="I166" s="33"/>
    </row>
    <row r="167" spans="1:9" x14ac:dyDescent="0.25">
      <c r="A167" s="29" t="str">
        <f t="shared" si="2"/>
        <v/>
      </c>
      <c r="B167" s="33"/>
      <c r="C167" s="33"/>
      <c r="D167" s="33"/>
      <c r="E167" s="33"/>
      <c r="F167" s="33"/>
      <c r="G167" s="33"/>
      <c r="H167" s="33"/>
      <c r="I167" s="33"/>
    </row>
    <row r="168" spans="1:9" x14ac:dyDescent="0.25">
      <c r="A168" s="29" t="str">
        <f t="shared" si="2"/>
        <v/>
      </c>
      <c r="B168" s="33"/>
      <c r="C168" s="33"/>
      <c r="D168" s="33"/>
      <c r="E168" s="33"/>
      <c r="F168" s="33"/>
      <c r="G168" s="33"/>
      <c r="H168" s="33"/>
      <c r="I168" s="33"/>
    </row>
    <row r="169" spans="1:9" x14ac:dyDescent="0.25">
      <c r="A169" s="29" t="str">
        <f t="shared" si="2"/>
        <v/>
      </c>
      <c r="B169" s="33"/>
      <c r="C169" s="33"/>
      <c r="D169" s="33"/>
      <c r="E169" s="33"/>
      <c r="F169" s="33"/>
      <c r="G169" s="33"/>
      <c r="H169" s="33"/>
      <c r="I169" s="33"/>
    </row>
    <row r="170" spans="1:9" x14ac:dyDescent="0.25">
      <c r="A170" s="29" t="str">
        <f t="shared" si="2"/>
        <v/>
      </c>
      <c r="B170" s="33"/>
      <c r="C170" s="33"/>
      <c r="D170" s="33"/>
      <c r="E170" s="33"/>
      <c r="F170" s="33"/>
      <c r="G170" s="33"/>
      <c r="H170" s="33"/>
      <c r="I170" s="33"/>
    </row>
    <row r="171" spans="1:9" x14ac:dyDescent="0.25">
      <c r="A171" s="29" t="str">
        <f t="shared" si="2"/>
        <v/>
      </c>
      <c r="B171" s="33"/>
      <c r="C171" s="33"/>
      <c r="D171" s="33"/>
      <c r="E171" s="33"/>
      <c r="F171" s="33"/>
      <c r="G171" s="33"/>
      <c r="H171" s="33"/>
      <c r="I171" s="33"/>
    </row>
    <row r="172" spans="1:9" x14ac:dyDescent="0.25">
      <c r="A172" s="29" t="str">
        <f t="shared" si="2"/>
        <v/>
      </c>
      <c r="B172" s="33"/>
      <c r="C172" s="33"/>
      <c r="D172" s="33"/>
      <c r="E172" s="33"/>
      <c r="F172" s="33"/>
      <c r="G172" s="33"/>
      <c r="H172" s="33"/>
      <c r="I172" s="33"/>
    </row>
    <row r="173" spans="1:9" x14ac:dyDescent="0.25">
      <c r="A173" s="29" t="str">
        <f t="shared" si="2"/>
        <v/>
      </c>
      <c r="B173" s="33"/>
      <c r="C173" s="33"/>
      <c r="D173" s="33"/>
      <c r="E173" s="33"/>
      <c r="F173" s="33"/>
      <c r="G173" s="33"/>
      <c r="H173" s="33"/>
      <c r="I173" s="33"/>
    </row>
    <row r="174" spans="1:9" x14ac:dyDescent="0.25">
      <c r="A174" s="29" t="str">
        <f t="shared" si="2"/>
        <v/>
      </c>
      <c r="B174" s="33"/>
      <c r="C174" s="33"/>
      <c r="D174" s="33"/>
      <c r="E174" s="33"/>
      <c r="F174" s="33"/>
      <c r="G174" s="33"/>
      <c r="H174" s="33"/>
      <c r="I174" s="33"/>
    </row>
    <row r="175" spans="1:9" x14ac:dyDescent="0.25">
      <c r="A175" s="29" t="str">
        <f t="shared" si="2"/>
        <v/>
      </c>
      <c r="B175" s="33"/>
      <c r="C175" s="33"/>
      <c r="D175" s="33"/>
      <c r="E175" s="33"/>
      <c r="F175" s="33"/>
      <c r="G175" s="33"/>
      <c r="H175" s="33"/>
      <c r="I175" s="33"/>
    </row>
    <row r="176" spans="1:9" x14ac:dyDescent="0.25">
      <c r="A176" s="29" t="str">
        <f t="shared" si="2"/>
        <v/>
      </c>
      <c r="B176" s="33"/>
      <c r="C176" s="33"/>
      <c r="D176" s="33"/>
      <c r="E176" s="33"/>
      <c r="F176" s="33"/>
      <c r="G176" s="33"/>
      <c r="H176" s="33"/>
      <c r="I176" s="33"/>
    </row>
    <row r="177" spans="1:9" x14ac:dyDescent="0.25">
      <c r="A177" s="29" t="str">
        <f t="shared" si="2"/>
        <v/>
      </c>
      <c r="B177" s="33"/>
      <c r="C177" s="33"/>
      <c r="D177" s="33"/>
      <c r="E177" s="33"/>
      <c r="F177" s="33"/>
      <c r="G177" s="33"/>
      <c r="H177" s="33"/>
      <c r="I177" s="33"/>
    </row>
    <row r="178" spans="1:9" x14ac:dyDescent="0.25">
      <c r="A178" s="29" t="str">
        <f t="shared" si="2"/>
        <v/>
      </c>
      <c r="B178" s="33"/>
      <c r="C178" s="33"/>
      <c r="D178" s="33"/>
      <c r="E178" s="33"/>
      <c r="F178" s="33"/>
      <c r="G178" s="33"/>
      <c r="H178" s="33"/>
      <c r="I178" s="33"/>
    </row>
    <row r="179" spans="1:9" x14ac:dyDescent="0.25">
      <c r="A179" s="29" t="str">
        <f t="shared" si="2"/>
        <v/>
      </c>
      <c r="B179" s="33"/>
      <c r="C179" s="33"/>
      <c r="D179" s="33"/>
      <c r="E179" s="33"/>
      <c r="F179" s="33"/>
      <c r="G179" s="33"/>
      <c r="H179" s="33"/>
      <c r="I179" s="33"/>
    </row>
    <row r="180" spans="1:9" x14ac:dyDescent="0.25">
      <c r="A180" s="29" t="str">
        <f t="shared" si="2"/>
        <v/>
      </c>
      <c r="B180" s="33"/>
      <c r="C180" s="33"/>
      <c r="D180" s="33"/>
      <c r="E180" s="33"/>
      <c r="F180" s="33"/>
      <c r="G180" s="33"/>
      <c r="H180" s="33"/>
      <c r="I180" s="33"/>
    </row>
    <row r="181" spans="1:9" x14ac:dyDescent="0.25">
      <c r="A181" s="29" t="str">
        <f t="shared" si="2"/>
        <v/>
      </c>
      <c r="B181" s="33"/>
      <c r="C181" s="33"/>
      <c r="D181" s="33"/>
      <c r="E181" s="33"/>
      <c r="F181" s="33"/>
      <c r="G181" s="33"/>
      <c r="H181" s="33"/>
      <c r="I181" s="33"/>
    </row>
    <row r="182" spans="1:9" x14ac:dyDescent="0.25">
      <c r="A182" s="29" t="str">
        <f t="shared" si="2"/>
        <v/>
      </c>
      <c r="B182" s="33"/>
      <c r="C182" s="33"/>
      <c r="D182" s="33"/>
      <c r="E182" s="33"/>
      <c r="F182" s="33"/>
      <c r="G182" s="33"/>
      <c r="H182" s="33"/>
      <c r="I182" s="33"/>
    </row>
    <row r="183" spans="1:9" x14ac:dyDescent="0.25">
      <c r="A183" s="29" t="str">
        <f t="shared" si="2"/>
        <v/>
      </c>
      <c r="B183" s="33"/>
      <c r="C183" s="33"/>
      <c r="D183" s="33"/>
      <c r="E183" s="33"/>
      <c r="F183" s="33"/>
      <c r="G183" s="33"/>
      <c r="H183" s="33"/>
      <c r="I183" s="33"/>
    </row>
    <row r="184" spans="1:9" x14ac:dyDescent="0.25">
      <c r="A184" s="29" t="str">
        <f t="shared" si="2"/>
        <v/>
      </c>
      <c r="B184" s="33"/>
      <c r="C184" s="33"/>
      <c r="D184" s="33"/>
      <c r="E184" s="33"/>
      <c r="F184" s="33"/>
      <c r="G184" s="33"/>
      <c r="H184" s="33"/>
      <c r="I184" s="33"/>
    </row>
    <row r="185" spans="1:9" x14ac:dyDescent="0.25">
      <c r="A185" s="29" t="str">
        <f t="shared" si="2"/>
        <v/>
      </c>
      <c r="B185" s="33"/>
      <c r="C185" s="33"/>
      <c r="D185" s="33"/>
      <c r="E185" s="33"/>
      <c r="F185" s="33"/>
      <c r="G185" s="33"/>
      <c r="H185" s="33"/>
      <c r="I185" s="33"/>
    </row>
    <row r="186" spans="1:9" x14ac:dyDescent="0.25">
      <c r="A186" s="29" t="str">
        <f t="shared" si="2"/>
        <v/>
      </c>
      <c r="B186" s="33"/>
      <c r="C186" s="33"/>
      <c r="D186" s="33"/>
      <c r="E186" s="33"/>
      <c r="F186" s="33"/>
      <c r="G186" s="33"/>
      <c r="H186" s="33"/>
      <c r="I186" s="33"/>
    </row>
    <row r="187" spans="1:9" x14ac:dyDescent="0.25">
      <c r="A187" s="29" t="str">
        <f t="shared" si="2"/>
        <v/>
      </c>
      <c r="B187" s="33"/>
      <c r="C187" s="33"/>
      <c r="D187" s="33"/>
      <c r="E187" s="33"/>
      <c r="F187" s="33"/>
      <c r="G187" s="33"/>
      <c r="H187" s="33"/>
      <c r="I187" s="33"/>
    </row>
    <row r="188" spans="1:9" x14ac:dyDescent="0.25">
      <c r="A188" s="29" t="str">
        <f t="shared" si="2"/>
        <v/>
      </c>
      <c r="B188" s="33"/>
      <c r="C188" s="33"/>
      <c r="D188" s="33"/>
      <c r="E188" s="33"/>
      <c r="F188" s="33"/>
      <c r="G188" s="33"/>
      <c r="H188" s="33"/>
      <c r="I188" s="33"/>
    </row>
    <row r="189" spans="1:9" x14ac:dyDescent="0.25">
      <c r="A189" s="29" t="str">
        <f t="shared" si="2"/>
        <v/>
      </c>
      <c r="B189" s="33"/>
      <c r="C189" s="33"/>
      <c r="D189" s="33"/>
      <c r="E189" s="33"/>
      <c r="F189" s="33"/>
      <c r="G189" s="33"/>
      <c r="H189" s="33"/>
      <c r="I189" s="33"/>
    </row>
    <row r="190" spans="1:9" x14ac:dyDescent="0.25">
      <c r="A190" s="29" t="str">
        <f t="shared" si="2"/>
        <v/>
      </c>
      <c r="B190" s="33"/>
      <c r="C190" s="33"/>
      <c r="D190" s="33"/>
      <c r="E190" s="33"/>
      <c r="F190" s="33"/>
      <c r="G190" s="33"/>
      <c r="H190" s="33"/>
      <c r="I190" s="33"/>
    </row>
    <row r="191" spans="1:9" x14ac:dyDescent="0.25">
      <c r="A191" s="29" t="str">
        <f t="shared" si="2"/>
        <v/>
      </c>
      <c r="B191" s="33"/>
      <c r="C191" s="33"/>
      <c r="D191" s="33"/>
      <c r="E191" s="33"/>
      <c r="F191" s="33"/>
      <c r="G191" s="33"/>
      <c r="H191" s="33"/>
      <c r="I191" s="33"/>
    </row>
    <row r="192" spans="1:9" x14ac:dyDescent="0.25">
      <c r="A192" s="29" t="str">
        <f t="shared" si="2"/>
        <v/>
      </c>
      <c r="B192" s="33"/>
      <c r="C192" s="33"/>
      <c r="D192" s="33"/>
      <c r="E192" s="33"/>
      <c r="F192" s="33"/>
      <c r="G192" s="33"/>
      <c r="H192" s="33"/>
      <c r="I192" s="33"/>
    </row>
    <row r="193" spans="1:9" x14ac:dyDescent="0.25">
      <c r="A193" s="29" t="str">
        <f t="shared" si="2"/>
        <v/>
      </c>
      <c r="B193" s="33"/>
      <c r="C193" s="33"/>
      <c r="D193" s="33"/>
      <c r="E193" s="33"/>
      <c r="F193" s="33"/>
      <c r="G193" s="33"/>
      <c r="H193" s="33"/>
      <c r="I193" s="33"/>
    </row>
    <row r="194" spans="1:9" x14ac:dyDescent="0.25">
      <c r="A194" s="29" t="str">
        <f t="shared" ref="A194:A253" si="3">_xlfn.CONCAT(B194,C194)</f>
        <v/>
      </c>
      <c r="B194" s="33"/>
      <c r="C194" s="33"/>
      <c r="D194" s="33"/>
      <c r="E194" s="33"/>
      <c r="F194" s="33"/>
      <c r="G194" s="33"/>
      <c r="H194" s="33"/>
      <c r="I194" s="33"/>
    </row>
    <row r="195" spans="1:9" x14ac:dyDescent="0.25">
      <c r="A195" s="29" t="str">
        <f t="shared" si="3"/>
        <v/>
      </c>
      <c r="B195" s="33"/>
      <c r="C195" s="33"/>
      <c r="D195" s="33"/>
      <c r="E195" s="33"/>
      <c r="F195" s="33"/>
      <c r="G195" s="33"/>
      <c r="H195" s="33"/>
      <c r="I195" s="33"/>
    </row>
    <row r="196" spans="1:9" x14ac:dyDescent="0.25">
      <c r="A196" s="29" t="str">
        <f t="shared" si="3"/>
        <v/>
      </c>
      <c r="B196" s="33"/>
      <c r="C196" s="33"/>
      <c r="D196" s="33"/>
      <c r="E196" s="33"/>
      <c r="F196" s="33"/>
      <c r="G196" s="33"/>
      <c r="H196" s="33"/>
      <c r="I196" s="33"/>
    </row>
    <row r="197" spans="1:9" x14ac:dyDescent="0.25">
      <c r="A197" s="29" t="str">
        <f t="shared" si="3"/>
        <v/>
      </c>
      <c r="B197" s="33"/>
      <c r="C197" s="33"/>
      <c r="D197" s="33"/>
      <c r="E197" s="33"/>
      <c r="F197" s="33"/>
      <c r="G197" s="33"/>
      <c r="H197" s="33"/>
      <c r="I197" s="33"/>
    </row>
    <row r="198" spans="1:9" x14ac:dyDescent="0.25">
      <c r="A198" s="29" t="str">
        <f t="shared" si="3"/>
        <v/>
      </c>
      <c r="B198" s="33"/>
      <c r="C198" s="33"/>
      <c r="D198" s="33"/>
      <c r="E198" s="33"/>
      <c r="F198" s="33"/>
      <c r="G198" s="33"/>
      <c r="H198" s="33"/>
      <c r="I198" s="33"/>
    </row>
    <row r="199" spans="1:9" x14ac:dyDescent="0.25">
      <c r="A199" s="29" t="str">
        <f t="shared" si="3"/>
        <v/>
      </c>
      <c r="B199" s="33"/>
      <c r="C199" s="33"/>
      <c r="D199" s="33"/>
      <c r="E199" s="33"/>
      <c r="F199" s="33"/>
      <c r="G199" s="33"/>
      <c r="H199" s="33"/>
      <c r="I199" s="33"/>
    </row>
    <row r="200" spans="1:9" x14ac:dyDescent="0.25">
      <c r="A200" s="29" t="str">
        <f t="shared" si="3"/>
        <v/>
      </c>
      <c r="B200" s="33"/>
      <c r="C200" s="33"/>
      <c r="D200" s="33"/>
      <c r="E200" s="33"/>
      <c r="F200" s="33"/>
      <c r="G200" s="33"/>
      <c r="H200" s="33"/>
      <c r="I200" s="33"/>
    </row>
    <row r="201" spans="1:9" x14ac:dyDescent="0.25">
      <c r="A201" s="29" t="str">
        <f t="shared" si="3"/>
        <v/>
      </c>
      <c r="B201" s="33"/>
      <c r="C201" s="33"/>
      <c r="D201" s="33"/>
      <c r="E201" s="33"/>
      <c r="F201" s="33"/>
      <c r="G201" s="33"/>
      <c r="H201" s="33"/>
      <c r="I201" s="33"/>
    </row>
    <row r="202" spans="1:9" x14ac:dyDescent="0.25">
      <c r="A202" s="29" t="str">
        <f t="shared" si="3"/>
        <v/>
      </c>
      <c r="B202" s="33"/>
      <c r="C202" s="33"/>
      <c r="D202" s="33"/>
      <c r="E202" s="33"/>
      <c r="F202" s="33"/>
      <c r="G202" s="33"/>
      <c r="H202" s="33"/>
      <c r="I202" s="33"/>
    </row>
    <row r="203" spans="1:9" x14ac:dyDescent="0.25">
      <c r="A203" s="29" t="str">
        <f t="shared" si="3"/>
        <v/>
      </c>
      <c r="B203" s="33"/>
      <c r="C203" s="33"/>
      <c r="D203" s="33"/>
      <c r="E203" s="33"/>
      <c r="F203" s="33"/>
      <c r="G203" s="33"/>
      <c r="H203" s="33"/>
      <c r="I203" s="33"/>
    </row>
    <row r="204" spans="1:9" x14ac:dyDescent="0.25">
      <c r="A204" s="29" t="str">
        <f t="shared" si="3"/>
        <v/>
      </c>
      <c r="B204" s="33"/>
      <c r="C204" s="33"/>
      <c r="D204" s="33"/>
      <c r="E204" s="33"/>
      <c r="F204" s="33"/>
      <c r="G204" s="33"/>
      <c r="H204" s="33"/>
      <c r="I204" s="33"/>
    </row>
    <row r="205" spans="1:9" x14ac:dyDescent="0.25">
      <c r="A205" s="29" t="str">
        <f t="shared" si="3"/>
        <v/>
      </c>
      <c r="B205" s="33"/>
      <c r="C205" s="33"/>
      <c r="D205" s="33"/>
      <c r="E205" s="33"/>
      <c r="F205" s="33"/>
      <c r="G205" s="33"/>
      <c r="H205" s="33"/>
      <c r="I205" s="33"/>
    </row>
    <row r="206" spans="1:9" x14ac:dyDescent="0.25">
      <c r="A206" s="29" t="str">
        <f t="shared" si="3"/>
        <v/>
      </c>
      <c r="B206" s="33"/>
      <c r="C206" s="33"/>
      <c r="D206" s="33"/>
      <c r="E206" s="33"/>
      <c r="F206" s="33"/>
      <c r="G206" s="33"/>
      <c r="H206" s="33"/>
      <c r="I206" s="33"/>
    </row>
    <row r="207" spans="1:9" x14ac:dyDescent="0.25">
      <c r="A207" s="29" t="str">
        <f t="shared" si="3"/>
        <v/>
      </c>
      <c r="B207" s="33"/>
      <c r="C207" s="33"/>
      <c r="D207" s="33"/>
      <c r="E207" s="33"/>
      <c r="F207" s="33"/>
      <c r="G207" s="33"/>
      <c r="H207" s="33"/>
      <c r="I207" s="33"/>
    </row>
    <row r="208" spans="1:9" x14ac:dyDescent="0.25">
      <c r="A208" s="29" t="str">
        <f t="shared" si="3"/>
        <v/>
      </c>
      <c r="B208" s="33"/>
      <c r="C208" s="33"/>
      <c r="D208" s="33"/>
      <c r="E208" s="33"/>
      <c r="F208" s="33"/>
      <c r="G208" s="33"/>
      <c r="H208" s="33"/>
      <c r="I208" s="33"/>
    </row>
    <row r="209" spans="1:9" x14ac:dyDescent="0.25">
      <c r="A209" s="29" t="str">
        <f t="shared" si="3"/>
        <v/>
      </c>
      <c r="B209" s="33"/>
      <c r="C209" s="33"/>
      <c r="D209" s="33"/>
      <c r="E209" s="33"/>
      <c r="F209" s="33"/>
      <c r="G209" s="33"/>
      <c r="H209" s="33"/>
      <c r="I209" s="33"/>
    </row>
    <row r="210" spans="1:9" x14ac:dyDescent="0.25">
      <c r="A210" s="29" t="str">
        <f t="shared" si="3"/>
        <v/>
      </c>
      <c r="B210" s="33"/>
      <c r="C210" s="33"/>
      <c r="D210" s="33"/>
      <c r="E210" s="33"/>
      <c r="F210" s="33"/>
      <c r="G210" s="33"/>
      <c r="H210" s="33"/>
      <c r="I210" s="33"/>
    </row>
    <row r="211" spans="1:9" x14ac:dyDescent="0.25">
      <c r="A211" s="29" t="str">
        <f t="shared" si="3"/>
        <v/>
      </c>
      <c r="B211" s="33"/>
      <c r="C211" s="33"/>
      <c r="D211" s="33"/>
      <c r="E211" s="33"/>
      <c r="F211" s="33"/>
      <c r="G211" s="33"/>
      <c r="H211" s="33"/>
      <c r="I211" s="33"/>
    </row>
    <row r="212" spans="1:9" x14ac:dyDescent="0.25">
      <c r="A212" s="29" t="str">
        <f t="shared" si="3"/>
        <v/>
      </c>
      <c r="B212" s="33"/>
      <c r="C212" s="33"/>
      <c r="D212" s="33"/>
      <c r="E212" s="33"/>
      <c r="F212" s="33"/>
      <c r="G212" s="33"/>
      <c r="H212" s="33"/>
      <c r="I212" s="33"/>
    </row>
    <row r="213" spans="1:9" x14ac:dyDescent="0.25">
      <c r="A213" s="29" t="str">
        <f t="shared" si="3"/>
        <v/>
      </c>
      <c r="B213" s="33"/>
      <c r="C213" s="33"/>
      <c r="D213" s="33"/>
      <c r="E213" s="33"/>
      <c r="F213" s="33"/>
      <c r="G213" s="33"/>
      <c r="H213" s="33"/>
      <c r="I213" s="33"/>
    </row>
    <row r="214" spans="1:9" x14ac:dyDescent="0.25">
      <c r="A214" s="29" t="str">
        <f t="shared" si="3"/>
        <v/>
      </c>
      <c r="B214" s="33"/>
      <c r="C214" s="33"/>
      <c r="D214" s="33"/>
      <c r="E214" s="33"/>
      <c r="F214" s="33"/>
      <c r="G214" s="33"/>
      <c r="H214" s="33"/>
      <c r="I214" s="33"/>
    </row>
    <row r="215" spans="1:9" x14ac:dyDescent="0.25">
      <c r="A215" s="29" t="str">
        <f t="shared" si="3"/>
        <v/>
      </c>
      <c r="B215" s="33"/>
      <c r="C215" s="33"/>
      <c r="D215" s="33"/>
      <c r="E215" s="33"/>
      <c r="F215" s="33"/>
      <c r="G215" s="33"/>
      <c r="H215" s="33"/>
      <c r="I215" s="33"/>
    </row>
    <row r="216" spans="1:9" x14ac:dyDescent="0.25">
      <c r="A216" s="29" t="str">
        <f t="shared" si="3"/>
        <v/>
      </c>
      <c r="B216" s="33"/>
      <c r="C216" s="33"/>
      <c r="D216" s="33"/>
      <c r="E216" s="33"/>
      <c r="F216" s="33"/>
      <c r="G216" s="33"/>
      <c r="H216" s="33"/>
      <c r="I216" s="33"/>
    </row>
    <row r="217" spans="1:9" x14ac:dyDescent="0.25">
      <c r="A217" s="29" t="str">
        <f t="shared" si="3"/>
        <v/>
      </c>
      <c r="B217" s="33"/>
      <c r="C217" s="33"/>
      <c r="D217" s="33"/>
      <c r="E217" s="33"/>
      <c r="F217" s="33"/>
      <c r="G217" s="33"/>
      <c r="H217" s="33"/>
      <c r="I217" s="33"/>
    </row>
    <row r="218" spans="1:9" x14ac:dyDescent="0.25">
      <c r="A218" s="29" t="str">
        <f t="shared" si="3"/>
        <v/>
      </c>
      <c r="B218" s="33"/>
      <c r="C218" s="33"/>
      <c r="D218" s="33"/>
      <c r="E218" s="33"/>
      <c r="F218" s="33"/>
      <c r="G218" s="33"/>
      <c r="H218" s="33"/>
      <c r="I218" s="33"/>
    </row>
    <row r="219" spans="1:9" x14ac:dyDescent="0.25">
      <c r="A219" s="29" t="str">
        <f t="shared" si="3"/>
        <v/>
      </c>
      <c r="B219" s="33"/>
      <c r="C219" s="33"/>
      <c r="D219" s="33"/>
      <c r="E219" s="33"/>
      <c r="F219" s="33"/>
      <c r="G219" s="33"/>
      <c r="H219" s="33"/>
      <c r="I219" s="33"/>
    </row>
    <row r="220" spans="1:9" x14ac:dyDescent="0.25">
      <c r="A220" s="29" t="str">
        <f t="shared" si="3"/>
        <v/>
      </c>
      <c r="B220" s="33"/>
      <c r="C220" s="33"/>
      <c r="D220" s="33"/>
      <c r="E220" s="33"/>
      <c r="F220" s="33"/>
      <c r="G220" s="33"/>
      <c r="H220" s="33"/>
      <c r="I220" s="33"/>
    </row>
    <row r="221" spans="1:9" x14ac:dyDescent="0.25">
      <c r="A221" s="29" t="str">
        <f t="shared" si="3"/>
        <v/>
      </c>
      <c r="B221" s="33"/>
      <c r="C221" s="33"/>
      <c r="D221" s="33"/>
      <c r="E221" s="33"/>
      <c r="F221" s="33"/>
      <c r="G221" s="33"/>
      <c r="H221" s="33"/>
      <c r="I221" s="33"/>
    </row>
    <row r="222" spans="1:9" x14ac:dyDescent="0.25">
      <c r="A222" s="29" t="str">
        <f t="shared" si="3"/>
        <v/>
      </c>
      <c r="B222" s="33"/>
      <c r="C222" s="33"/>
      <c r="D222" s="33"/>
      <c r="E222" s="33"/>
      <c r="F222" s="33"/>
      <c r="G222" s="33"/>
      <c r="H222" s="33"/>
      <c r="I222" s="33"/>
    </row>
    <row r="223" spans="1:9" x14ac:dyDescent="0.25">
      <c r="A223" s="29" t="str">
        <f t="shared" si="3"/>
        <v/>
      </c>
      <c r="B223" s="33"/>
      <c r="C223" s="33"/>
      <c r="D223" s="33"/>
      <c r="E223" s="33"/>
      <c r="F223" s="33"/>
      <c r="G223" s="33"/>
      <c r="H223" s="33"/>
      <c r="I223" s="33"/>
    </row>
    <row r="224" spans="1:9" x14ac:dyDescent="0.25">
      <c r="A224" s="29" t="str">
        <f t="shared" si="3"/>
        <v/>
      </c>
      <c r="B224" s="33"/>
      <c r="C224" s="33"/>
      <c r="D224" s="33"/>
      <c r="E224" s="33"/>
      <c r="F224" s="33"/>
      <c r="G224" s="33"/>
      <c r="H224" s="33"/>
      <c r="I224" s="33"/>
    </row>
    <row r="225" spans="1:9" x14ac:dyDescent="0.25">
      <c r="A225" s="29" t="str">
        <f t="shared" si="3"/>
        <v/>
      </c>
      <c r="B225" s="33"/>
      <c r="C225" s="33"/>
      <c r="D225" s="33"/>
      <c r="E225" s="33"/>
      <c r="F225" s="33"/>
      <c r="G225" s="33"/>
      <c r="H225" s="33"/>
      <c r="I225" s="33"/>
    </row>
    <row r="226" spans="1:9" x14ac:dyDescent="0.25">
      <c r="A226" s="29" t="str">
        <f t="shared" si="3"/>
        <v/>
      </c>
      <c r="B226" s="33"/>
      <c r="C226" s="33"/>
      <c r="D226" s="33"/>
      <c r="E226" s="33"/>
      <c r="F226" s="33"/>
      <c r="G226" s="33"/>
      <c r="H226" s="33"/>
      <c r="I226" s="33"/>
    </row>
    <row r="227" spans="1:9" x14ac:dyDescent="0.25">
      <c r="A227" s="29" t="str">
        <f t="shared" si="3"/>
        <v/>
      </c>
      <c r="B227" s="33"/>
      <c r="C227" s="33"/>
      <c r="D227" s="33"/>
      <c r="E227" s="33"/>
      <c r="F227" s="33"/>
      <c r="G227" s="33"/>
      <c r="H227" s="33"/>
      <c r="I227" s="33"/>
    </row>
    <row r="228" spans="1:9" x14ac:dyDescent="0.25">
      <c r="A228" s="29" t="str">
        <f t="shared" si="3"/>
        <v/>
      </c>
      <c r="B228" s="33"/>
      <c r="C228" s="33"/>
      <c r="D228" s="33"/>
      <c r="E228" s="33"/>
      <c r="F228" s="33"/>
      <c r="G228" s="33"/>
      <c r="H228" s="33"/>
      <c r="I228" s="33"/>
    </row>
    <row r="229" spans="1:9" x14ac:dyDescent="0.25">
      <c r="A229" s="29" t="str">
        <f t="shared" si="3"/>
        <v/>
      </c>
      <c r="B229" s="33"/>
      <c r="C229" s="33"/>
      <c r="D229" s="33"/>
      <c r="E229" s="33"/>
      <c r="F229" s="33"/>
      <c r="G229" s="33"/>
      <c r="H229" s="33"/>
      <c r="I229" s="33"/>
    </row>
    <row r="230" spans="1:9" x14ac:dyDescent="0.25">
      <c r="A230" s="29" t="str">
        <f t="shared" si="3"/>
        <v/>
      </c>
      <c r="B230" s="33"/>
      <c r="C230" s="33"/>
      <c r="D230" s="33"/>
      <c r="E230" s="33"/>
      <c r="F230" s="33"/>
      <c r="G230" s="33"/>
      <c r="H230" s="33"/>
      <c r="I230" s="33"/>
    </row>
    <row r="231" spans="1:9" x14ac:dyDescent="0.25">
      <c r="A231" s="29" t="str">
        <f t="shared" si="3"/>
        <v/>
      </c>
      <c r="B231" s="33"/>
      <c r="C231" s="33"/>
      <c r="D231" s="33"/>
      <c r="E231" s="33"/>
      <c r="F231" s="33"/>
      <c r="G231" s="33"/>
      <c r="H231" s="33"/>
      <c r="I231" s="33"/>
    </row>
    <row r="232" spans="1:9" x14ac:dyDescent="0.25">
      <c r="A232" s="29" t="str">
        <f t="shared" si="3"/>
        <v/>
      </c>
      <c r="B232" s="33"/>
      <c r="C232" s="33"/>
      <c r="D232" s="33"/>
      <c r="E232" s="33"/>
      <c r="F232" s="33"/>
      <c r="G232" s="33"/>
      <c r="H232" s="33"/>
      <c r="I232" s="33"/>
    </row>
    <row r="233" spans="1:9" x14ac:dyDescent="0.25">
      <c r="A233" s="29" t="str">
        <f t="shared" si="3"/>
        <v/>
      </c>
      <c r="B233" s="33"/>
      <c r="C233" s="33"/>
      <c r="D233" s="33"/>
      <c r="E233" s="33"/>
      <c r="F233" s="33"/>
      <c r="G233" s="33"/>
      <c r="H233" s="33"/>
      <c r="I233" s="33"/>
    </row>
    <row r="234" spans="1:9" x14ac:dyDescent="0.25">
      <c r="A234" s="29" t="str">
        <f t="shared" si="3"/>
        <v/>
      </c>
      <c r="B234" s="33"/>
      <c r="C234" s="33"/>
      <c r="D234" s="33"/>
      <c r="E234" s="33"/>
      <c r="F234" s="33"/>
      <c r="G234" s="33"/>
      <c r="H234" s="33"/>
      <c r="I234" s="33"/>
    </row>
    <row r="235" spans="1:9" x14ac:dyDescent="0.25">
      <c r="A235" s="29" t="str">
        <f t="shared" si="3"/>
        <v/>
      </c>
      <c r="B235" s="33"/>
      <c r="C235" s="33"/>
      <c r="D235" s="33"/>
      <c r="E235" s="33"/>
      <c r="F235" s="33"/>
      <c r="G235" s="33"/>
      <c r="H235" s="33"/>
      <c r="I235" s="33"/>
    </row>
    <row r="236" spans="1:9" x14ac:dyDescent="0.25">
      <c r="A236" s="29" t="str">
        <f t="shared" si="3"/>
        <v/>
      </c>
      <c r="B236" s="33"/>
      <c r="C236" s="33"/>
      <c r="D236" s="33"/>
      <c r="E236" s="33"/>
      <c r="F236" s="33"/>
      <c r="G236" s="33"/>
      <c r="H236" s="33"/>
      <c r="I236" s="33"/>
    </row>
    <row r="237" spans="1:9" x14ac:dyDescent="0.25">
      <c r="A237" s="29" t="str">
        <f t="shared" si="3"/>
        <v/>
      </c>
      <c r="B237" s="33"/>
      <c r="C237" s="33"/>
      <c r="D237" s="33"/>
      <c r="E237" s="33"/>
      <c r="F237" s="33"/>
      <c r="G237" s="33"/>
      <c r="H237" s="33"/>
      <c r="I237" s="33"/>
    </row>
    <row r="238" spans="1:9" x14ac:dyDescent="0.25">
      <c r="A238" s="29" t="str">
        <f t="shared" si="3"/>
        <v/>
      </c>
      <c r="B238" s="33"/>
      <c r="C238" s="33"/>
      <c r="D238" s="33"/>
      <c r="E238" s="33"/>
      <c r="F238" s="33"/>
      <c r="G238" s="33"/>
      <c r="H238" s="33"/>
      <c r="I238" s="33"/>
    </row>
    <row r="239" spans="1:9" x14ac:dyDescent="0.25">
      <c r="A239" s="29" t="str">
        <f t="shared" si="3"/>
        <v/>
      </c>
      <c r="B239" s="33"/>
      <c r="C239" s="33"/>
      <c r="D239" s="33"/>
      <c r="E239" s="33"/>
      <c r="F239" s="33"/>
      <c r="G239" s="33"/>
      <c r="H239" s="33"/>
      <c r="I239" s="33"/>
    </row>
    <row r="240" spans="1:9" x14ac:dyDescent="0.25">
      <c r="A240" s="29" t="str">
        <f t="shared" si="3"/>
        <v/>
      </c>
      <c r="B240" s="33"/>
      <c r="C240" s="33"/>
      <c r="D240" s="33"/>
      <c r="E240" s="33"/>
      <c r="F240" s="33"/>
      <c r="G240" s="33"/>
      <c r="H240" s="33"/>
      <c r="I240" s="33"/>
    </row>
    <row r="241" spans="1:9" x14ac:dyDescent="0.25">
      <c r="A241" s="29" t="str">
        <f t="shared" si="3"/>
        <v/>
      </c>
      <c r="B241" s="33"/>
      <c r="C241" s="33"/>
      <c r="D241" s="33"/>
      <c r="E241" s="33"/>
      <c r="F241" s="33"/>
      <c r="G241" s="33"/>
      <c r="H241" s="33"/>
      <c r="I241" s="33"/>
    </row>
    <row r="242" spans="1:9" x14ac:dyDescent="0.25">
      <c r="A242" s="29" t="str">
        <f t="shared" si="3"/>
        <v/>
      </c>
      <c r="B242" s="33"/>
      <c r="C242" s="33"/>
      <c r="D242" s="33"/>
      <c r="E242" s="33"/>
      <c r="F242" s="33"/>
      <c r="G242" s="33"/>
      <c r="H242" s="33"/>
      <c r="I242" s="33"/>
    </row>
    <row r="243" spans="1:9" x14ac:dyDescent="0.25">
      <c r="A243" s="29" t="str">
        <f t="shared" si="3"/>
        <v/>
      </c>
      <c r="B243" s="33"/>
      <c r="C243" s="33"/>
      <c r="D243" s="33"/>
      <c r="E243" s="33"/>
      <c r="F243" s="33"/>
      <c r="G243" s="33"/>
      <c r="H243" s="33"/>
      <c r="I243" s="33"/>
    </row>
    <row r="244" spans="1:9" x14ac:dyDescent="0.25">
      <c r="A244" s="29" t="str">
        <f t="shared" si="3"/>
        <v/>
      </c>
      <c r="B244" s="33"/>
      <c r="C244" s="33"/>
      <c r="D244" s="33"/>
      <c r="E244" s="33"/>
      <c r="F244" s="33"/>
      <c r="G244" s="33"/>
      <c r="H244" s="33"/>
      <c r="I244" s="33"/>
    </row>
    <row r="245" spans="1:9" x14ac:dyDescent="0.25">
      <c r="A245" s="29" t="str">
        <f t="shared" si="3"/>
        <v/>
      </c>
      <c r="B245" s="33"/>
      <c r="C245" s="33"/>
      <c r="D245" s="33"/>
      <c r="E245" s="33"/>
      <c r="F245" s="33"/>
      <c r="G245" s="33"/>
      <c r="H245" s="33"/>
      <c r="I245" s="33"/>
    </row>
    <row r="246" spans="1:9" x14ac:dyDescent="0.25">
      <c r="A246" s="29" t="str">
        <f t="shared" si="3"/>
        <v/>
      </c>
      <c r="B246" s="33"/>
      <c r="C246" s="33"/>
      <c r="D246" s="33"/>
      <c r="E246" s="33"/>
      <c r="F246" s="33"/>
      <c r="G246" s="33"/>
      <c r="H246" s="33"/>
      <c r="I246" s="33"/>
    </row>
    <row r="247" spans="1:9" x14ac:dyDescent="0.25">
      <c r="A247" s="29" t="str">
        <f t="shared" si="3"/>
        <v/>
      </c>
      <c r="B247" s="33"/>
      <c r="C247" s="33"/>
      <c r="D247" s="33"/>
      <c r="E247" s="33"/>
      <c r="F247" s="33"/>
      <c r="G247" s="33"/>
      <c r="H247" s="33"/>
      <c r="I247" s="33"/>
    </row>
    <row r="248" spans="1:9" x14ac:dyDescent="0.25">
      <c r="A248" s="29" t="str">
        <f t="shared" si="3"/>
        <v/>
      </c>
      <c r="B248" s="33"/>
      <c r="C248" s="33"/>
      <c r="D248" s="33"/>
      <c r="E248" s="33"/>
      <c r="F248" s="33"/>
      <c r="G248" s="33"/>
      <c r="H248" s="33"/>
      <c r="I248" s="33"/>
    </row>
    <row r="249" spans="1:9" x14ac:dyDescent="0.25">
      <c r="A249" s="29" t="str">
        <f t="shared" si="3"/>
        <v/>
      </c>
      <c r="B249" s="33"/>
      <c r="C249" s="33"/>
      <c r="D249" s="33"/>
      <c r="E249" s="33"/>
      <c r="F249" s="33"/>
      <c r="G249" s="33"/>
      <c r="H249" s="33"/>
      <c r="I249" s="33"/>
    </row>
    <row r="250" spans="1:9" x14ac:dyDescent="0.25">
      <c r="A250" s="29" t="str">
        <f t="shared" si="3"/>
        <v/>
      </c>
      <c r="B250" s="33"/>
      <c r="C250" s="33"/>
      <c r="D250" s="33"/>
      <c r="E250" s="33"/>
      <c r="F250" s="33"/>
      <c r="G250" s="33"/>
      <c r="H250" s="33"/>
      <c r="I250" s="33"/>
    </row>
    <row r="251" spans="1:9" x14ac:dyDescent="0.25">
      <c r="A251" s="29" t="str">
        <f t="shared" si="3"/>
        <v/>
      </c>
      <c r="B251" s="33"/>
      <c r="C251" s="33"/>
      <c r="D251" s="33"/>
      <c r="E251" s="33"/>
      <c r="F251" s="33"/>
      <c r="G251" s="33"/>
      <c r="H251" s="33"/>
      <c r="I251" s="33"/>
    </row>
    <row r="252" spans="1:9" x14ac:dyDescent="0.25">
      <c r="A252" s="29" t="str">
        <f t="shared" si="3"/>
        <v/>
      </c>
      <c r="B252" s="33"/>
      <c r="C252" s="33"/>
      <c r="D252" s="33"/>
      <c r="E252" s="33"/>
      <c r="F252" s="33"/>
      <c r="G252" s="33"/>
      <c r="H252" s="33"/>
      <c r="I252" s="33"/>
    </row>
    <row r="253" spans="1:9" x14ac:dyDescent="0.25">
      <c r="A253" s="29" t="str">
        <f t="shared" si="3"/>
        <v/>
      </c>
      <c r="B253" s="33"/>
      <c r="C253" s="33"/>
      <c r="D253" s="33"/>
      <c r="E253" s="33"/>
      <c r="F253" s="33"/>
      <c r="G253" s="33"/>
      <c r="H253" s="33"/>
      <c r="I253" s="33"/>
    </row>
  </sheetData>
  <sheetProtection sheet="1" formatColumns="0" formatRows="0"/>
  <conditionalFormatting sqref="D2:D30">
    <cfRule type="cellIs" dxfId="0" priority="1" operator="equal">
      <formula>5</formula>
    </cfRule>
  </conditionalFormatting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95"/>
  <dimension ref="A1:K145"/>
  <sheetViews>
    <sheetView topLeftCell="A38" workbookViewId="0">
      <selection activeCell="G76" sqref="G76"/>
    </sheetView>
  </sheetViews>
  <sheetFormatPr defaultColWidth="9.140625" defaultRowHeight="15" x14ac:dyDescent="0.25"/>
  <cols>
    <col min="1" max="1" width="21.140625" style="17" customWidth="1"/>
    <col min="2" max="2" width="8.7109375" style="17" bestFit="1" customWidth="1"/>
    <col min="3" max="3" width="43.7109375" style="17" customWidth="1"/>
    <col min="4" max="4" width="18.140625" style="17" customWidth="1"/>
    <col min="5" max="6" width="16.140625" style="17" customWidth="1"/>
    <col min="7" max="7" width="34.140625" style="17" customWidth="1"/>
    <col min="8" max="8" width="9.140625" style="17" customWidth="1"/>
    <col min="9" max="10" width="10.7109375" style="17" customWidth="1"/>
    <col min="11" max="16384" width="9.140625" style="17"/>
  </cols>
  <sheetData>
    <row r="1" spans="1:11" x14ac:dyDescent="0.25">
      <c r="A1" s="125" t="s">
        <v>2882</v>
      </c>
      <c r="B1" s="126" t="s">
        <v>2883</v>
      </c>
      <c r="C1" s="125" t="s">
        <v>2884</v>
      </c>
      <c r="D1" s="125" t="s">
        <v>2885</v>
      </c>
      <c r="E1" s="125" t="s">
        <v>2886</v>
      </c>
      <c r="F1" s="125" t="s">
        <v>2887</v>
      </c>
      <c r="G1" s="125" t="s">
        <v>2888</v>
      </c>
      <c r="H1" s="125" t="s">
        <v>2889</v>
      </c>
      <c r="I1" s="137" t="s">
        <v>2886</v>
      </c>
      <c r="J1" s="137"/>
      <c r="K1" s="137" t="s">
        <v>2890</v>
      </c>
    </row>
    <row r="2" spans="1:11" x14ac:dyDescent="0.25">
      <c r="A2" s="127" t="s">
        <v>2891</v>
      </c>
      <c r="B2" s="128" t="s">
        <v>2892</v>
      </c>
      <c r="C2" s="128" t="s">
        <v>2893</v>
      </c>
      <c r="D2" s="128" t="s">
        <v>2894</v>
      </c>
      <c r="E2" s="128" t="s">
        <v>697</v>
      </c>
      <c r="F2" s="17" t="str">
        <f>VLOOKUP(E2,FakeCodeKey!$B$2:$C$144,2,0)</f>
        <v>lt-BA</v>
      </c>
      <c r="G2" s="128" t="s">
        <v>2895</v>
      </c>
      <c r="H2" s="128">
        <v>0</v>
      </c>
      <c r="I2" s="17" t="str">
        <f>VLOOKUP(C2,CNTlabel!$B:$C,2,FALSE)</f>
        <v>ARE</v>
      </c>
      <c r="J2" s="17" t="str">
        <f>I2</f>
        <v>ARE</v>
      </c>
      <c r="K2" s="17">
        <f>GroupLabels!H2</f>
        <v>0</v>
      </c>
    </row>
    <row r="3" spans="1:11" x14ac:dyDescent="0.25">
      <c r="A3" s="127" t="s">
        <v>2891</v>
      </c>
      <c r="B3" s="110" t="s">
        <v>2896</v>
      </c>
      <c r="C3" s="110" t="s">
        <v>2897</v>
      </c>
      <c r="D3" s="128" t="s">
        <v>2894</v>
      </c>
      <c r="E3" s="110" t="s">
        <v>2702</v>
      </c>
      <c r="F3" s="17" t="str">
        <f>VLOOKUP(E3,FakeCodeKey!$B$2:$C$144,2,0)</f>
        <v>lt-SA</v>
      </c>
      <c r="G3" s="110" t="s">
        <v>2898</v>
      </c>
      <c r="H3" s="128">
        <v>0</v>
      </c>
      <c r="I3" s="137" t="s">
        <v>2701</v>
      </c>
      <c r="J3" s="17" t="str">
        <f t="shared" ref="J3:J66" si="0">I3</f>
        <v>EGY</v>
      </c>
      <c r="K3" s="17">
        <f>GroupLabels!H3</f>
        <v>0</v>
      </c>
    </row>
    <row r="4" spans="1:11" x14ac:dyDescent="0.25">
      <c r="A4" s="127" t="s">
        <v>2891</v>
      </c>
      <c r="B4" s="128" t="s">
        <v>2899</v>
      </c>
      <c r="C4" s="128" t="s">
        <v>2900</v>
      </c>
      <c r="D4" s="128" t="s">
        <v>2894</v>
      </c>
      <c r="E4" s="128" t="s">
        <v>617</v>
      </c>
      <c r="F4" s="17" t="str">
        <f>VLOOKUP(E4,FakeCodeKey!$B$2:$C$144,2,0)</f>
        <v>lt-FB</v>
      </c>
      <c r="G4" s="110" t="s">
        <v>2901</v>
      </c>
      <c r="H4" s="128">
        <v>1</v>
      </c>
      <c r="I4" s="17" t="e">
        <f>VLOOKUP(C4,CNTlabel!$B:$C,2,FALSE)</f>
        <v>#N/A</v>
      </c>
      <c r="J4" s="17" t="e">
        <f t="shared" si="0"/>
        <v>#N/A</v>
      </c>
      <c r="K4" s="17">
        <f>GroupLabels!H4</f>
        <v>1</v>
      </c>
    </row>
    <row r="5" spans="1:11" x14ac:dyDescent="0.25">
      <c r="A5" s="127" t="s">
        <v>2891</v>
      </c>
      <c r="B5" s="128" t="s">
        <v>2902</v>
      </c>
      <c r="C5" s="128" t="s">
        <v>1791</v>
      </c>
      <c r="D5" s="128" t="s">
        <v>2894</v>
      </c>
      <c r="E5" s="128" t="s">
        <v>623</v>
      </c>
      <c r="F5" s="17" t="str">
        <f>VLOOKUP(E5,FakeCodeKey!$B$2:$C$144,2,0)</f>
        <v>lt-HB</v>
      </c>
      <c r="G5" s="128" t="s">
        <v>2903</v>
      </c>
      <c r="H5" s="128">
        <v>0</v>
      </c>
      <c r="I5" s="17" t="str">
        <f>VLOOKUP(C5,CNTlabel!$B:$C,2,FALSE)</f>
        <v>JOR</v>
      </c>
      <c r="J5" s="17" t="str">
        <f t="shared" si="0"/>
        <v>JOR</v>
      </c>
      <c r="K5" s="17">
        <f>GroupLabels!H5</f>
        <v>0</v>
      </c>
    </row>
    <row r="6" spans="1:11" x14ac:dyDescent="0.25">
      <c r="A6" s="127" t="s">
        <v>2891</v>
      </c>
      <c r="B6" s="128" t="s">
        <v>2904</v>
      </c>
      <c r="C6" s="128" t="s">
        <v>2905</v>
      </c>
      <c r="D6" s="128" t="s">
        <v>2894</v>
      </c>
      <c r="E6" s="128" t="s">
        <v>660</v>
      </c>
      <c r="F6" s="17" t="str">
        <f>VLOOKUP(E6,FakeCodeKey!$B$2:$C$144,2,0)</f>
        <v>lt-RB</v>
      </c>
      <c r="G6" s="128" t="s">
        <v>2906</v>
      </c>
      <c r="H6" s="128">
        <v>0</v>
      </c>
      <c r="I6" s="17" t="str">
        <f>VLOOKUP(C6,CNTlabel!$B:$C,2,FALSE)</f>
        <v>MAR</v>
      </c>
      <c r="J6" s="17" t="str">
        <f t="shared" si="0"/>
        <v>MAR</v>
      </c>
      <c r="K6" s="17">
        <f>GroupLabels!H6</f>
        <v>0</v>
      </c>
    </row>
    <row r="7" spans="1:11" x14ac:dyDescent="0.25">
      <c r="A7" s="127" t="s">
        <v>2891</v>
      </c>
      <c r="B7" s="128" t="s">
        <v>2907</v>
      </c>
      <c r="C7" s="128" t="s">
        <v>2908</v>
      </c>
      <c r="D7" s="128" t="s">
        <v>2894</v>
      </c>
      <c r="E7" s="128" t="s">
        <v>665</v>
      </c>
      <c r="F7" s="17" t="str">
        <f>VLOOKUP(E7,FakeCodeKey!$B$2:$C$144,2,0)</f>
        <v>lt-EC</v>
      </c>
      <c r="G7" s="110" t="s">
        <v>2909</v>
      </c>
      <c r="H7" s="128">
        <v>0</v>
      </c>
      <c r="I7" s="137" t="s">
        <v>883</v>
      </c>
      <c r="J7" s="17" t="str">
        <f t="shared" si="0"/>
        <v>PSE</v>
      </c>
      <c r="K7" s="17">
        <f>GroupLabels!H7</f>
        <v>0</v>
      </c>
    </row>
    <row r="8" spans="1:11" x14ac:dyDescent="0.25">
      <c r="A8" s="127" t="s">
        <v>2891</v>
      </c>
      <c r="B8" s="128" t="s">
        <v>2910</v>
      </c>
      <c r="C8" s="128" t="s">
        <v>2911</v>
      </c>
      <c r="D8" s="128" t="s">
        <v>2894</v>
      </c>
      <c r="E8" s="128" t="s">
        <v>672</v>
      </c>
      <c r="F8" s="17" t="str">
        <f>VLOOKUP(E8,FakeCodeKey!$B$2:$C$144,2,0)</f>
        <v>lt-FC</v>
      </c>
      <c r="G8" s="128" t="s">
        <v>2912</v>
      </c>
      <c r="H8" s="128">
        <v>0</v>
      </c>
      <c r="I8" s="17" t="str">
        <f>VLOOKUP(C8,CNTlabel!$B:$C,2,FALSE)</f>
        <v>QAT</v>
      </c>
      <c r="J8" s="17" t="str">
        <f t="shared" si="0"/>
        <v>QAT</v>
      </c>
      <c r="K8" s="17">
        <f>GroupLabels!H8</f>
        <v>0</v>
      </c>
    </row>
    <row r="9" spans="1:11" x14ac:dyDescent="0.25">
      <c r="A9" s="127" t="s">
        <v>2891</v>
      </c>
      <c r="B9" s="128" t="s">
        <v>2913</v>
      </c>
      <c r="C9" s="128" t="s">
        <v>2914</v>
      </c>
      <c r="D9" s="128" t="s">
        <v>2894</v>
      </c>
      <c r="E9" s="128" t="s">
        <v>677</v>
      </c>
      <c r="F9" s="17" t="str">
        <f>VLOOKUP(E9,FakeCodeKey!$B$2:$C$144,2,0)</f>
        <v>lt-LC</v>
      </c>
      <c r="G9" s="110" t="s">
        <v>2915</v>
      </c>
      <c r="H9" s="128">
        <v>0</v>
      </c>
      <c r="I9" s="17" t="str">
        <f>VLOOKUP(C9,CNTlabel!$B:$C,2,FALSE)</f>
        <v>SAU</v>
      </c>
      <c r="J9" s="17" t="str">
        <f t="shared" si="0"/>
        <v>SAU</v>
      </c>
      <c r="K9" s="17">
        <f>GroupLabels!H9</f>
        <v>0</v>
      </c>
    </row>
    <row r="10" spans="1:11" x14ac:dyDescent="0.25">
      <c r="A10" s="127" t="s">
        <v>2916</v>
      </c>
      <c r="B10" s="128" t="s">
        <v>2917</v>
      </c>
      <c r="C10" s="128" t="s">
        <v>2918</v>
      </c>
      <c r="D10" s="128" t="s">
        <v>2919</v>
      </c>
      <c r="E10" s="128" t="s">
        <v>604</v>
      </c>
      <c r="F10" s="17" t="str">
        <f>VLOOKUP(E10,FakeCodeKey!$B$2:$C$144,2,0)</f>
        <v>sg-XA</v>
      </c>
      <c r="G10" s="110" t="s">
        <v>2920</v>
      </c>
      <c r="H10" s="128">
        <v>0</v>
      </c>
      <c r="I10" s="17" t="str">
        <f>VLOOKUP(C10,CNTlabel!$B:$C,2,FALSE)</f>
        <v>GEO</v>
      </c>
      <c r="J10" s="17" t="str">
        <f t="shared" si="0"/>
        <v>GEO</v>
      </c>
      <c r="K10" s="17">
        <f>GroupLabels!H10</f>
        <v>0</v>
      </c>
    </row>
    <row r="11" spans="1:11" x14ac:dyDescent="0.25">
      <c r="A11" s="127" t="s">
        <v>2916</v>
      </c>
      <c r="B11" s="128" t="s">
        <v>2921</v>
      </c>
      <c r="C11" s="128" t="s">
        <v>2922</v>
      </c>
      <c r="D11" s="128" t="s">
        <v>2919</v>
      </c>
      <c r="E11" s="128" t="s">
        <v>572</v>
      </c>
      <c r="F11" s="17" t="str">
        <f>VLOOKUP(E11,FakeCodeKey!$B$2:$C$144,2,0)</f>
        <v>sg-EA</v>
      </c>
      <c r="G11" s="128" t="s">
        <v>2923</v>
      </c>
      <c r="H11" s="128">
        <v>0</v>
      </c>
      <c r="I11" s="17" t="str">
        <f>VLOOKUP(C11,CNTlabel!$B:$C,2,FALSE)</f>
        <v>AZE</v>
      </c>
      <c r="J11" s="17" t="str">
        <f t="shared" si="0"/>
        <v>AZE</v>
      </c>
      <c r="K11" s="17">
        <f>GroupLabels!H11</f>
        <v>0</v>
      </c>
    </row>
    <row r="12" spans="1:11" x14ac:dyDescent="0.25">
      <c r="A12" s="127" t="s">
        <v>2924</v>
      </c>
      <c r="B12" s="128" t="s">
        <v>2925</v>
      </c>
      <c r="C12" s="128" t="s">
        <v>2926</v>
      </c>
      <c r="D12" s="128" t="s">
        <v>2927</v>
      </c>
      <c r="E12" s="128" t="s">
        <v>580</v>
      </c>
      <c r="F12" s="17" t="str">
        <f>VLOOKUP(E12,FakeCodeKey!$B$2:$C$144,2,0)</f>
        <v>ag-FA</v>
      </c>
      <c r="G12" s="128" t="s">
        <v>2928</v>
      </c>
      <c r="H12" s="128">
        <v>0</v>
      </c>
      <c r="I12" s="17" t="str">
        <f>VLOOKUP(C12,CNTlabel!$B:$C,2,FALSE)</f>
        <v>BGR</v>
      </c>
      <c r="J12" s="17" t="str">
        <f t="shared" si="0"/>
        <v>BGR</v>
      </c>
      <c r="K12" s="17">
        <f>GroupLabels!H12</f>
        <v>0</v>
      </c>
    </row>
    <row r="13" spans="1:11" x14ac:dyDescent="0.25">
      <c r="A13" s="127" t="s">
        <v>2929</v>
      </c>
      <c r="B13" s="128" t="s">
        <v>2930</v>
      </c>
      <c r="C13" s="128" t="s">
        <v>1786</v>
      </c>
      <c r="D13" s="128" t="s">
        <v>2931</v>
      </c>
      <c r="E13" s="128" t="s">
        <v>685</v>
      </c>
      <c r="F13" s="17" t="str">
        <f>VLOOKUP(E13,FakeCodeKey!$B$2:$C$144,2,0)</f>
        <v>hv-TA</v>
      </c>
      <c r="G13" s="128" t="s">
        <v>2932</v>
      </c>
      <c r="H13" s="128">
        <v>1</v>
      </c>
      <c r="I13" s="17" t="str">
        <f>VLOOKUP(C13,CNTlabel!$B:$C,2,FALSE)</f>
        <v>ESP</v>
      </c>
      <c r="J13" s="17" t="str">
        <f t="shared" si="0"/>
        <v>ESP</v>
      </c>
      <c r="K13" s="17">
        <f>GroupLabels!H13</f>
        <v>1</v>
      </c>
    </row>
    <row r="14" spans="1:11" x14ac:dyDescent="0.25">
      <c r="A14" s="127" t="s">
        <v>2929</v>
      </c>
      <c r="B14" s="128" t="s">
        <v>2930</v>
      </c>
      <c r="C14" s="128" t="s">
        <v>1786</v>
      </c>
      <c r="D14" s="128" t="s">
        <v>2931</v>
      </c>
      <c r="E14" s="110" t="s">
        <v>688</v>
      </c>
      <c r="F14" s="17" t="str">
        <f>VLOOKUP(E14,FakeCodeKey!$B$2:$C$144,2,0)</f>
        <v>hv-TA</v>
      </c>
      <c r="G14" s="110" t="s">
        <v>2933</v>
      </c>
      <c r="H14" s="128">
        <v>1</v>
      </c>
      <c r="I14" s="17" t="str">
        <f>VLOOKUP(C14,CNTlabel!$B:$C,2,FALSE)</f>
        <v>ESP</v>
      </c>
      <c r="J14" s="17" t="str">
        <f t="shared" si="0"/>
        <v>ESP</v>
      </c>
      <c r="K14" s="17">
        <f>GroupLabels!H14</f>
        <v>1</v>
      </c>
    </row>
    <row r="15" spans="1:11" x14ac:dyDescent="0.25">
      <c r="A15" s="127" t="s">
        <v>2934</v>
      </c>
      <c r="B15" s="128" t="s">
        <v>2935</v>
      </c>
      <c r="C15" s="128" t="s">
        <v>2936</v>
      </c>
      <c r="D15" s="128" t="s">
        <v>2937</v>
      </c>
      <c r="E15" s="128" t="s">
        <v>631</v>
      </c>
      <c r="F15" s="17" t="str">
        <f>VLOOKUP(E15,FakeCodeKey!$B$2:$C$144,2,0)</f>
        <v>gc-TH</v>
      </c>
      <c r="G15" s="110" t="s">
        <v>756</v>
      </c>
      <c r="H15" s="128">
        <v>0</v>
      </c>
      <c r="I15" s="137" t="s">
        <v>712</v>
      </c>
      <c r="J15" s="17" t="str">
        <f t="shared" si="0"/>
        <v>QKI</v>
      </c>
      <c r="K15" s="17">
        <f>GroupLabels!H15</f>
        <v>0</v>
      </c>
    </row>
    <row r="16" spans="1:11" x14ac:dyDescent="0.25">
      <c r="A16" s="127" t="s">
        <v>2938</v>
      </c>
      <c r="B16" s="128" t="s">
        <v>2939</v>
      </c>
      <c r="C16" s="128" t="s">
        <v>1795</v>
      </c>
      <c r="D16" s="128" t="s">
        <v>2940</v>
      </c>
      <c r="E16" s="128" t="s">
        <v>659</v>
      </c>
      <c r="F16" s="17" t="str">
        <f>VLOOKUP(E16,FakeCodeKey!$B$2:$C$144,2,0)</f>
        <v>tp-WB</v>
      </c>
      <c r="G16" s="128" t="s">
        <v>2941</v>
      </c>
      <c r="H16" s="128">
        <v>0</v>
      </c>
      <c r="I16" s="17" t="str">
        <f>VLOOKUP(C16,CNTlabel!$B:$C,2,FALSE)</f>
        <v>MNE</v>
      </c>
      <c r="J16" s="17" t="str">
        <f t="shared" si="0"/>
        <v>MNE</v>
      </c>
      <c r="K16" s="17">
        <f>GroupLabels!H16</f>
        <v>0</v>
      </c>
    </row>
    <row r="17" spans="1:11" x14ac:dyDescent="0.25">
      <c r="A17" s="127" t="s">
        <v>2942</v>
      </c>
      <c r="B17" s="128" t="s">
        <v>2943</v>
      </c>
      <c r="C17" s="128" t="s">
        <v>2944</v>
      </c>
      <c r="D17" s="128" t="s">
        <v>2945</v>
      </c>
      <c r="E17" s="128" t="s">
        <v>591</v>
      </c>
      <c r="F17" s="17" t="str">
        <f>VLOOKUP(E17,FakeCodeKey!$B$2:$C$144,2,0)</f>
        <v>yk-NA</v>
      </c>
      <c r="G17" s="128" t="s">
        <v>2946</v>
      </c>
      <c r="H17" s="128">
        <v>1</v>
      </c>
      <c r="I17" s="137" t="s">
        <v>720</v>
      </c>
      <c r="J17" s="17" t="str">
        <f t="shared" si="0"/>
        <v>CZE</v>
      </c>
      <c r="K17" s="17">
        <f>GroupLabels!H17</f>
        <v>1</v>
      </c>
    </row>
    <row r="18" spans="1:11" x14ac:dyDescent="0.25">
      <c r="A18" s="127" t="s">
        <v>2947</v>
      </c>
      <c r="B18" s="128" t="s">
        <v>2948</v>
      </c>
      <c r="C18" s="128" t="s">
        <v>2949</v>
      </c>
      <c r="D18" s="128" t="s">
        <v>2950</v>
      </c>
      <c r="E18" s="128" t="s">
        <v>699</v>
      </c>
      <c r="F18" s="17" t="str">
        <f>VLOOKUP(E18,FakeCodeKey!$B$2:$C$144,2,0)</f>
        <v>ns-JC</v>
      </c>
      <c r="G18" s="128" t="s">
        <v>2951</v>
      </c>
      <c r="H18" s="128">
        <v>1</v>
      </c>
      <c r="I18" s="17" t="str">
        <f>VLOOKUP(C18,CNTlabel!$B:$C,2,FALSE)</f>
        <v>GBR</v>
      </c>
      <c r="J18" s="137" t="s">
        <v>2952</v>
      </c>
      <c r="K18" s="17">
        <f>GroupLabels!H18</f>
        <v>1</v>
      </c>
    </row>
    <row r="19" spans="1:11" x14ac:dyDescent="0.25">
      <c r="A19" s="127" t="s">
        <v>2953</v>
      </c>
      <c r="B19" s="128" t="s">
        <v>2954</v>
      </c>
      <c r="C19" s="128" t="s">
        <v>1780</v>
      </c>
      <c r="D19" s="128" t="s">
        <v>2955</v>
      </c>
      <c r="E19" s="128" t="s">
        <v>592</v>
      </c>
      <c r="F19" s="17" t="str">
        <f>VLOOKUP(E19,FakeCodeKey!$B$2:$C$144,2,0)</f>
        <v>ir-PA</v>
      </c>
      <c r="G19" s="128" t="s">
        <v>765</v>
      </c>
      <c r="H19" s="128">
        <v>1</v>
      </c>
      <c r="I19" s="17" t="str">
        <f>VLOOKUP(C19,CNTlabel!$B:$C,2,FALSE)</f>
        <v>DNK</v>
      </c>
      <c r="J19" s="17" t="str">
        <f t="shared" si="0"/>
        <v>DNK</v>
      </c>
      <c r="K19" s="17">
        <f>GroupLabels!H19</f>
        <v>1</v>
      </c>
    </row>
    <row r="20" spans="1:11" x14ac:dyDescent="0.25">
      <c r="A20" s="127" t="s">
        <v>2956</v>
      </c>
      <c r="B20" s="128" t="s">
        <v>2957</v>
      </c>
      <c r="C20" s="128" t="s">
        <v>2958</v>
      </c>
      <c r="D20" s="128" t="s">
        <v>2959</v>
      </c>
      <c r="E20" s="128" t="s">
        <v>571</v>
      </c>
      <c r="F20" s="17" t="str">
        <f>VLOOKUP(E20,FakeCodeKey!$B$2:$C$144,2,0)</f>
        <v>ny-DA</v>
      </c>
      <c r="G20" s="128" t="s">
        <v>2960</v>
      </c>
      <c r="H20" s="128">
        <v>1</v>
      </c>
      <c r="I20" s="17" t="str">
        <f>VLOOKUP(C20,CNTlabel!$B:$C,2,FALSE)</f>
        <v>AUT</v>
      </c>
      <c r="J20" s="17" t="str">
        <f t="shared" si="0"/>
        <v>AUT</v>
      </c>
      <c r="K20" s="17">
        <f>GroupLabels!H20</f>
        <v>1</v>
      </c>
    </row>
    <row r="21" spans="1:11" x14ac:dyDescent="0.25">
      <c r="A21" s="127" t="s">
        <v>2956</v>
      </c>
      <c r="B21" s="128" t="s">
        <v>2961</v>
      </c>
      <c r="C21" s="128" t="s">
        <v>2962</v>
      </c>
      <c r="D21" s="128" t="s">
        <v>2959</v>
      </c>
      <c r="E21" s="128" t="s">
        <v>576</v>
      </c>
      <c r="F21" s="17" t="str">
        <f>VLOOKUP(E21,FakeCodeKey!$B$2:$C$144,2,0)</f>
        <v>ny-HC</v>
      </c>
      <c r="G21" s="110" t="s">
        <v>3478</v>
      </c>
      <c r="H21" s="128">
        <v>1</v>
      </c>
      <c r="I21" s="17" t="str">
        <f>VLOOKUP(C21,CNTlabel!$B:$C,2,FALSE)</f>
        <v>BEL</v>
      </c>
      <c r="J21" s="137" t="s">
        <v>862</v>
      </c>
      <c r="K21" s="17">
        <f>GroupLabels!H21</f>
        <v>1</v>
      </c>
    </row>
    <row r="22" spans="1:11" x14ac:dyDescent="0.25">
      <c r="A22" s="127" t="s">
        <v>2956</v>
      </c>
      <c r="B22" s="128" t="s">
        <v>2963</v>
      </c>
      <c r="C22" s="128" t="s">
        <v>1787</v>
      </c>
      <c r="D22" s="128" t="s">
        <v>2959</v>
      </c>
      <c r="E22" s="128" t="s">
        <v>691</v>
      </c>
      <c r="F22" s="17" t="str">
        <f>VLOOKUP(E22,FakeCodeKey!$B$2:$C$144,2,0)</f>
        <v>ny-JA</v>
      </c>
      <c r="G22" s="128" t="s">
        <v>2964</v>
      </c>
      <c r="H22" s="128">
        <v>1</v>
      </c>
      <c r="I22" s="17" t="str">
        <f>VLOOKUP(C22,CNTlabel!$B:$C,2,FALSE)</f>
        <v>CHE</v>
      </c>
      <c r="J22" s="17" t="str">
        <f t="shared" si="0"/>
        <v>CHE</v>
      </c>
      <c r="K22" s="17">
        <f>GroupLabels!H22</f>
        <v>1</v>
      </c>
    </row>
    <row r="23" spans="1:11" x14ac:dyDescent="0.25">
      <c r="A23" s="127" t="s">
        <v>2956</v>
      </c>
      <c r="B23" s="128" t="s">
        <v>2965</v>
      </c>
      <c r="C23" s="128" t="s">
        <v>1789</v>
      </c>
      <c r="D23" s="128" t="s">
        <v>2959</v>
      </c>
      <c r="E23" s="128" t="s">
        <v>607</v>
      </c>
      <c r="F23" s="17" t="str">
        <f>VLOOKUP(E23,FakeCodeKey!$B$2:$C$144,2,0)</f>
        <v>ny-OA</v>
      </c>
      <c r="G23" s="128" t="s">
        <v>767</v>
      </c>
      <c r="H23" s="128">
        <v>1</v>
      </c>
      <c r="I23" s="17" t="str">
        <f>VLOOKUP(C23,CNTlabel!$B:$C,2,FALSE)</f>
        <v>DEU</v>
      </c>
      <c r="J23" s="17" t="str">
        <f t="shared" si="0"/>
        <v>DEU</v>
      </c>
      <c r="K23" s="17">
        <f>GroupLabels!H23</f>
        <v>1</v>
      </c>
    </row>
    <row r="24" spans="1:11" x14ac:dyDescent="0.25">
      <c r="A24" s="127" t="s">
        <v>2956</v>
      </c>
      <c r="B24" s="128" t="s">
        <v>2966</v>
      </c>
      <c r="C24" s="128" t="s">
        <v>1804</v>
      </c>
      <c r="D24" s="128" t="s">
        <v>2959</v>
      </c>
      <c r="E24" s="128" t="s">
        <v>620</v>
      </c>
      <c r="F24" s="17" t="str">
        <f>VLOOKUP(E24,FakeCodeKey!$B$2:$C$144,2,0)</f>
        <v>ny-GB</v>
      </c>
      <c r="G24" s="128" t="s">
        <v>2967</v>
      </c>
      <c r="H24" s="128">
        <v>1</v>
      </c>
      <c r="I24" s="17" t="str">
        <f>VLOOKUP(C24,CNTlabel!$B:$C,2,FALSE)</f>
        <v>ITA</v>
      </c>
      <c r="J24" s="17" t="str">
        <f t="shared" si="0"/>
        <v>ITA</v>
      </c>
      <c r="K24" s="17">
        <f>GroupLabels!H24</f>
        <v>1</v>
      </c>
    </row>
    <row r="25" spans="1:11" x14ac:dyDescent="0.25">
      <c r="A25" s="127" t="s">
        <v>2956</v>
      </c>
      <c r="B25" s="128" t="s">
        <v>2968</v>
      </c>
      <c r="C25" s="128" t="s">
        <v>1793</v>
      </c>
      <c r="D25" s="128" t="s">
        <v>2959</v>
      </c>
      <c r="E25" s="128" t="s">
        <v>643</v>
      </c>
      <c r="F25" s="17" t="str">
        <f>VLOOKUP(E25,FakeCodeKey!$B$2:$C$144,2,0)</f>
        <v>ny-OB</v>
      </c>
      <c r="G25" s="128" t="s">
        <v>2969</v>
      </c>
      <c r="H25" s="128">
        <v>1</v>
      </c>
      <c r="I25" s="17" t="str">
        <f>VLOOKUP(C25,CNTlabel!$B:$C,2,FALSE)</f>
        <v>LUX</v>
      </c>
      <c r="J25" s="17" t="str">
        <f t="shared" si="0"/>
        <v>LUX</v>
      </c>
      <c r="K25" s="17">
        <f>GroupLabels!H25</f>
        <v>1</v>
      </c>
    </row>
    <row r="26" spans="1:11" x14ac:dyDescent="0.25">
      <c r="A26" s="127" t="s">
        <v>2970</v>
      </c>
      <c r="B26" s="128" t="s">
        <v>2971</v>
      </c>
      <c r="C26" s="128" t="s">
        <v>2972</v>
      </c>
      <c r="D26" s="128" t="s">
        <v>2973</v>
      </c>
      <c r="E26" s="128" t="s">
        <v>590</v>
      </c>
      <c r="F26" s="17" t="str">
        <f>VLOOKUP(E26,FakeCodeKey!$B$2:$C$144,2,0)</f>
        <v>xp-IC</v>
      </c>
      <c r="G26" s="110" t="s">
        <v>2974</v>
      </c>
      <c r="H26" s="128">
        <v>0</v>
      </c>
      <c r="I26" s="17" t="e">
        <f>VLOOKUP(C26,CNTlabel!$B:$C,2,FALSE)</f>
        <v>#N/A</v>
      </c>
      <c r="J26" s="17" t="e">
        <f t="shared" si="0"/>
        <v>#N/A</v>
      </c>
      <c r="K26" s="17">
        <f>GroupLabels!H26</f>
        <v>0</v>
      </c>
    </row>
    <row r="27" spans="1:11" x14ac:dyDescent="0.25">
      <c r="A27" s="127" t="s">
        <v>2970</v>
      </c>
      <c r="B27" s="128" t="s">
        <v>2975</v>
      </c>
      <c r="C27" s="128" t="s">
        <v>1790</v>
      </c>
      <c r="D27" s="128" t="s">
        <v>2973</v>
      </c>
      <c r="E27" s="128" t="s">
        <v>608</v>
      </c>
      <c r="F27" s="17" t="str">
        <f>VLOOKUP(E27,FakeCodeKey!$B$2:$C$144,2,0)</f>
        <v>xp-YA</v>
      </c>
      <c r="G27" s="128" t="s">
        <v>2976</v>
      </c>
      <c r="H27" s="128">
        <v>1</v>
      </c>
      <c r="I27" s="17" t="str">
        <f>VLOOKUP(C27,CNTlabel!$B:$C,2,FALSE)</f>
        <v>GRC</v>
      </c>
      <c r="J27" s="17" t="str">
        <f t="shared" si="0"/>
        <v>GRC</v>
      </c>
      <c r="K27" s="17">
        <f>GroupLabels!H27</f>
        <v>1</v>
      </c>
    </row>
    <row r="28" spans="1:11" x14ac:dyDescent="0.25">
      <c r="A28" s="127" t="s">
        <v>2977</v>
      </c>
      <c r="B28" s="128" t="s">
        <v>2892</v>
      </c>
      <c r="C28" s="128" t="s">
        <v>2893</v>
      </c>
      <c r="D28" s="128" t="s">
        <v>2978</v>
      </c>
      <c r="E28" s="128" t="s">
        <v>698</v>
      </c>
      <c r="F28" s="17" t="str">
        <f>VLOOKUP(E28,FakeCodeKey!$B$2:$C$144,2,0)</f>
        <v>ta-BA</v>
      </c>
      <c r="G28" s="128" t="s">
        <v>2979</v>
      </c>
      <c r="H28" s="128">
        <v>0</v>
      </c>
      <c r="I28" s="17" t="str">
        <f>VLOOKUP(C28,CNTlabel!$B:$C,2,FALSE)</f>
        <v>ARE</v>
      </c>
      <c r="J28" s="17" t="str">
        <f t="shared" si="0"/>
        <v>ARE</v>
      </c>
      <c r="K28" s="17">
        <f>GroupLabels!H28</f>
        <v>0</v>
      </c>
    </row>
    <row r="29" spans="1:11" x14ac:dyDescent="0.25">
      <c r="A29" s="127" t="s">
        <v>2977</v>
      </c>
      <c r="B29" s="128" t="s">
        <v>2980</v>
      </c>
      <c r="C29" s="128" t="s">
        <v>2981</v>
      </c>
      <c r="D29" s="128" t="s">
        <v>2978</v>
      </c>
      <c r="E29" s="128" t="s">
        <v>570</v>
      </c>
      <c r="F29" s="17" t="str">
        <f>VLOOKUP(E29,FakeCodeKey!$B$2:$C$144,2,0)</f>
        <v>ta-PW</v>
      </c>
      <c r="G29" s="128" t="s">
        <v>2982</v>
      </c>
      <c r="H29" s="128">
        <v>1</v>
      </c>
      <c r="I29" s="17" t="str">
        <f>VLOOKUP(C29,CNTlabel!$B:$C,2,FALSE)</f>
        <v>AUS</v>
      </c>
      <c r="J29" s="17" t="str">
        <f t="shared" si="0"/>
        <v>AUS</v>
      </c>
      <c r="K29" s="17">
        <f>GroupLabels!H29</f>
        <v>1</v>
      </c>
    </row>
    <row r="30" spans="1:11" x14ac:dyDescent="0.25">
      <c r="A30" s="127" t="s">
        <v>2977</v>
      </c>
      <c r="B30" s="128" t="s">
        <v>2983</v>
      </c>
      <c r="C30" s="110" t="s">
        <v>2984</v>
      </c>
      <c r="D30" s="128" t="s">
        <v>2978</v>
      </c>
      <c r="E30" s="128" t="s">
        <v>578</v>
      </c>
      <c r="F30" s="17" t="str">
        <f>VLOOKUP(E30,FakeCodeKey!$B$2:$C$144,2,0)</f>
        <v>ta-HA</v>
      </c>
      <c r="G30" s="110" t="s">
        <v>2985</v>
      </c>
      <c r="H30" s="128">
        <v>0</v>
      </c>
      <c r="I30" s="137" t="s">
        <v>863</v>
      </c>
      <c r="J30" s="17" t="str">
        <f t="shared" si="0"/>
        <v>BRN</v>
      </c>
      <c r="K30" s="17">
        <f>GroupLabels!H30</f>
        <v>0</v>
      </c>
    </row>
    <row r="31" spans="1:11" x14ac:dyDescent="0.25">
      <c r="A31" s="127" t="s">
        <v>2977</v>
      </c>
      <c r="B31" s="128" t="s">
        <v>2986</v>
      </c>
      <c r="C31" s="128" t="s">
        <v>2987</v>
      </c>
      <c r="D31" s="128" t="s">
        <v>2978</v>
      </c>
      <c r="E31" s="128" t="s">
        <v>583</v>
      </c>
      <c r="F31" s="17" t="str">
        <f>VLOOKUP(E31,FakeCodeKey!$B$2:$C$144,2,0)</f>
        <v>ta-IA</v>
      </c>
      <c r="G31" s="128" t="s">
        <v>769</v>
      </c>
      <c r="H31" s="128">
        <v>1</v>
      </c>
      <c r="I31" s="17" t="str">
        <f>VLOOKUP(C31,CNTlabel!$B:$C,2,FALSE)</f>
        <v>CAN</v>
      </c>
      <c r="J31" s="17" t="str">
        <f t="shared" si="0"/>
        <v>CAN</v>
      </c>
      <c r="K31" s="17">
        <f>GroupLabels!H31</f>
        <v>1</v>
      </c>
    </row>
    <row r="32" spans="1:11" x14ac:dyDescent="0.25">
      <c r="A32" s="127" t="s">
        <v>2977</v>
      </c>
      <c r="B32" s="128" t="s">
        <v>2971</v>
      </c>
      <c r="C32" s="128" t="s">
        <v>2972</v>
      </c>
      <c r="D32" s="128" t="s">
        <v>2978</v>
      </c>
      <c r="E32" s="128" t="s">
        <v>589</v>
      </c>
      <c r="F32" s="17" t="str">
        <f>VLOOKUP(E32,FakeCodeKey!$B$2:$C$144,2,0)</f>
        <v>ta-IC</v>
      </c>
      <c r="G32" s="110" t="s">
        <v>2988</v>
      </c>
      <c r="H32" s="128">
        <v>0</v>
      </c>
      <c r="I32" s="17" t="e">
        <f>VLOOKUP(C32,CNTlabel!$B:$C,2,FALSE)</f>
        <v>#N/A</v>
      </c>
      <c r="J32" s="17" t="e">
        <f t="shared" si="0"/>
        <v>#N/A</v>
      </c>
      <c r="K32" s="17">
        <f>GroupLabels!H32</f>
        <v>0</v>
      </c>
    </row>
    <row r="33" spans="1:11" x14ac:dyDescent="0.25">
      <c r="A33" s="127" t="s">
        <v>2977</v>
      </c>
      <c r="B33" s="128" t="s">
        <v>2948</v>
      </c>
      <c r="C33" s="128" t="s">
        <v>2949</v>
      </c>
      <c r="D33" s="128" t="s">
        <v>2978</v>
      </c>
      <c r="E33" s="110" t="s">
        <v>701</v>
      </c>
      <c r="F33" s="17" t="str">
        <f>VLOOKUP(E33,FakeCodeKey!$B$2:$C$144,2,0)</f>
        <v>ta-YD</v>
      </c>
      <c r="G33" s="110" t="s">
        <v>2989</v>
      </c>
      <c r="H33" s="128">
        <v>1</v>
      </c>
      <c r="I33" s="17" t="str">
        <f>VLOOKUP(C33,CNTlabel!$B:$C,2,FALSE)</f>
        <v>GBR</v>
      </c>
      <c r="J33" s="137" t="s">
        <v>893</v>
      </c>
      <c r="K33" s="17">
        <f>GroupLabels!H33</f>
        <v>1</v>
      </c>
    </row>
    <row r="34" spans="1:11" x14ac:dyDescent="0.25">
      <c r="A34" s="127" t="s">
        <v>2977</v>
      </c>
      <c r="B34" s="128" t="s">
        <v>2948</v>
      </c>
      <c r="C34" s="128" t="s">
        <v>2949</v>
      </c>
      <c r="D34" s="128" t="s">
        <v>2978</v>
      </c>
      <c r="E34" s="110" t="s">
        <v>700</v>
      </c>
      <c r="F34" s="17" t="str">
        <f>VLOOKUP(E34,FakeCodeKey!$B$2:$C$144,2,0)</f>
        <v>ta-JC</v>
      </c>
      <c r="G34" s="110" t="s">
        <v>2990</v>
      </c>
      <c r="H34" s="128">
        <v>1</v>
      </c>
      <c r="I34" s="17" t="str">
        <f>VLOOKUP(C34,CNTlabel!$B:$C,2,FALSE)</f>
        <v>GBR</v>
      </c>
      <c r="J34" s="137" t="s">
        <v>2952</v>
      </c>
      <c r="K34" s="17">
        <f>GroupLabels!H34</f>
        <v>1</v>
      </c>
    </row>
    <row r="35" spans="1:11" x14ac:dyDescent="0.25">
      <c r="A35" s="127" t="s">
        <v>2977</v>
      </c>
      <c r="B35" s="128" t="s">
        <v>2991</v>
      </c>
      <c r="C35" s="128" t="s">
        <v>2992</v>
      </c>
      <c r="D35" s="128" t="s">
        <v>2978</v>
      </c>
      <c r="E35" s="128" t="s">
        <v>611</v>
      </c>
      <c r="F35" s="17" t="str">
        <f>VLOOKUP(E35,FakeCodeKey!$B$2:$C$144,2,0)</f>
        <v>ta-ZA</v>
      </c>
      <c r="G35" s="110" t="s">
        <v>2993</v>
      </c>
      <c r="H35" s="128">
        <v>0</v>
      </c>
      <c r="I35" s="137" t="s">
        <v>871</v>
      </c>
      <c r="J35" s="17" t="str">
        <f t="shared" si="0"/>
        <v>HKG</v>
      </c>
      <c r="K35" s="17">
        <f>GroupLabels!H35</f>
        <v>0</v>
      </c>
    </row>
    <row r="36" spans="1:11" x14ac:dyDescent="0.25">
      <c r="A36" s="127" t="s">
        <v>2977</v>
      </c>
      <c r="B36" s="128" t="s">
        <v>2994</v>
      </c>
      <c r="C36" s="128" t="s">
        <v>1775</v>
      </c>
      <c r="D36" s="128" t="s">
        <v>2978</v>
      </c>
      <c r="E36" s="128" t="s">
        <v>615</v>
      </c>
      <c r="F36" s="17" t="str">
        <f>VLOOKUP(E36,FakeCodeKey!$B$2:$C$144,2,0)</f>
        <v>ta-DB</v>
      </c>
      <c r="G36" s="128" t="s">
        <v>2995</v>
      </c>
      <c r="H36" s="128">
        <v>1</v>
      </c>
      <c r="I36" s="17" t="str">
        <f>VLOOKUP(C36,CNTlabel!$B:$C,2,FALSE)</f>
        <v>IRL</v>
      </c>
      <c r="J36" s="17" t="str">
        <f t="shared" si="0"/>
        <v>IRL</v>
      </c>
      <c r="K36" s="17">
        <f>GroupLabels!H36</f>
        <v>1</v>
      </c>
    </row>
    <row r="37" spans="1:11" x14ac:dyDescent="0.25">
      <c r="A37" s="127" t="s">
        <v>2977</v>
      </c>
      <c r="B37" s="128" t="s">
        <v>2996</v>
      </c>
      <c r="C37" s="128" t="s">
        <v>2997</v>
      </c>
      <c r="D37" s="128" t="s">
        <v>2978</v>
      </c>
      <c r="E37" s="128" t="s">
        <v>2998</v>
      </c>
      <c r="F37" s="17" t="e">
        <f>VLOOKUP(E37,FakeCodeKey!$B$2:$C$144,2,0)</f>
        <v>#N/A</v>
      </c>
      <c r="G37" s="110" t="s">
        <v>754</v>
      </c>
      <c r="H37" s="128">
        <v>0</v>
      </c>
      <c r="I37" s="137" t="s">
        <v>712</v>
      </c>
      <c r="J37" s="17" t="str">
        <f t="shared" si="0"/>
        <v>QKI</v>
      </c>
      <c r="K37" s="17">
        <f>GroupLabels!H37</f>
        <v>0</v>
      </c>
    </row>
    <row r="38" spans="1:11" x14ac:dyDescent="0.25">
      <c r="A38" s="127" t="s">
        <v>2977</v>
      </c>
      <c r="B38" s="128" t="s">
        <v>2996</v>
      </c>
      <c r="C38" s="128" t="s">
        <v>2997</v>
      </c>
      <c r="D38" s="128" t="s">
        <v>2978</v>
      </c>
      <c r="E38" s="110" t="s">
        <v>630</v>
      </c>
      <c r="F38" s="17" t="str">
        <f>VLOOKUP(E38,FakeCodeKey!$B$2:$C$144,2,0)</f>
        <v>ta-TH</v>
      </c>
      <c r="G38" s="110" t="s">
        <v>754</v>
      </c>
      <c r="H38" s="128">
        <v>0</v>
      </c>
      <c r="I38" s="137" t="s">
        <v>712</v>
      </c>
      <c r="J38" s="17" t="str">
        <f t="shared" si="0"/>
        <v>QKI</v>
      </c>
      <c r="K38" s="17">
        <f>GroupLabels!H38</f>
        <v>0</v>
      </c>
    </row>
    <row r="39" spans="1:11" x14ac:dyDescent="0.25">
      <c r="A39" s="127" t="s">
        <v>2977</v>
      </c>
      <c r="B39" s="128" t="s">
        <v>2999</v>
      </c>
      <c r="C39" s="128" t="s">
        <v>3000</v>
      </c>
      <c r="D39" s="128" t="s">
        <v>2978</v>
      </c>
      <c r="E39" s="128" t="s">
        <v>626</v>
      </c>
      <c r="F39" s="17" t="str">
        <f>VLOOKUP(E39,FakeCodeKey!$B$2:$C$144,2,0)</f>
        <v>ta-SK</v>
      </c>
      <c r="G39" s="128" t="s">
        <v>940</v>
      </c>
      <c r="H39" s="128">
        <v>0</v>
      </c>
      <c r="I39" s="17" t="str">
        <f>VLOOKUP(C39,CNTlabel!$B:$C,2,FALSE)</f>
        <v>KEN</v>
      </c>
      <c r="J39" s="17" t="str">
        <f t="shared" si="0"/>
        <v>KEN</v>
      </c>
      <c r="K39" s="17">
        <f>GroupLabels!H39</f>
        <v>0</v>
      </c>
    </row>
    <row r="40" spans="1:11" x14ac:dyDescent="0.25">
      <c r="A40" s="127" t="s">
        <v>2977</v>
      </c>
      <c r="B40" s="128" t="s">
        <v>3001</v>
      </c>
      <c r="C40" s="128" t="s">
        <v>3002</v>
      </c>
      <c r="D40" s="128" t="s">
        <v>2978</v>
      </c>
      <c r="E40" s="128" t="s">
        <v>636</v>
      </c>
      <c r="F40" s="17" t="str">
        <f>VLOOKUP(E40,FakeCodeKey!$B$2:$C$144,2,0)</f>
        <v>ta-MB</v>
      </c>
      <c r="G40" s="110" t="s">
        <v>3003</v>
      </c>
      <c r="H40" s="128">
        <v>0</v>
      </c>
      <c r="I40" s="17" t="e">
        <f>VLOOKUP(C40,CNTlabel!$B:$C,2,FALSE)</f>
        <v>#N/A</v>
      </c>
      <c r="J40" s="17" t="e">
        <f t="shared" si="0"/>
        <v>#N/A</v>
      </c>
      <c r="K40" s="17">
        <f>GroupLabels!H40</f>
        <v>0</v>
      </c>
    </row>
    <row r="41" spans="1:11" x14ac:dyDescent="0.25">
      <c r="A41" s="127" t="s">
        <v>2977</v>
      </c>
      <c r="B41" s="128" t="s">
        <v>2968</v>
      </c>
      <c r="C41" s="128" t="s">
        <v>1793</v>
      </c>
      <c r="D41" s="128" t="s">
        <v>2978</v>
      </c>
      <c r="E41" s="128" t="s">
        <v>641</v>
      </c>
      <c r="F41" s="17" t="str">
        <f>VLOOKUP(E41,FakeCodeKey!$B$2:$C$144,2,0)</f>
        <v>ta-OB</v>
      </c>
      <c r="G41" s="128" t="s">
        <v>3004</v>
      </c>
      <c r="H41" s="128">
        <v>1</v>
      </c>
      <c r="I41" s="17" t="str">
        <f>VLOOKUP(C41,CNTlabel!$B:$C,2,FALSE)</f>
        <v>LUX</v>
      </c>
      <c r="J41" s="17" t="str">
        <f t="shared" si="0"/>
        <v>LUX</v>
      </c>
      <c r="K41" s="17">
        <f>GroupLabels!H41</f>
        <v>1</v>
      </c>
    </row>
    <row r="42" spans="1:11" x14ac:dyDescent="0.25">
      <c r="A42" s="127" t="s">
        <v>2977</v>
      </c>
      <c r="B42" s="128" t="s">
        <v>3005</v>
      </c>
      <c r="C42" s="128" t="s">
        <v>3006</v>
      </c>
      <c r="D42" s="128" t="s">
        <v>2978</v>
      </c>
      <c r="E42" s="128" t="s">
        <v>644</v>
      </c>
      <c r="F42" s="17" t="str">
        <f>VLOOKUP(E42,FakeCodeKey!$B$2:$C$144,2,0)</f>
        <v>ta-QB</v>
      </c>
      <c r="G42" s="110" t="s">
        <v>3007</v>
      </c>
      <c r="H42" s="128">
        <v>0</v>
      </c>
      <c r="I42" s="137" t="s">
        <v>875</v>
      </c>
      <c r="J42" s="17" t="str">
        <f t="shared" si="0"/>
        <v>MAC</v>
      </c>
      <c r="K42" s="17">
        <f>GroupLabels!H42</f>
        <v>0</v>
      </c>
    </row>
    <row r="43" spans="1:11" x14ac:dyDescent="0.25">
      <c r="A43" s="127" t="s">
        <v>2977</v>
      </c>
      <c r="B43" s="128" t="s">
        <v>3008</v>
      </c>
      <c r="C43" s="128" t="s">
        <v>1771</v>
      </c>
      <c r="D43" s="128" t="s">
        <v>2978</v>
      </c>
      <c r="E43" s="128" t="s">
        <v>651</v>
      </c>
      <c r="F43" s="17" t="str">
        <f>VLOOKUP(E43,FakeCodeKey!$B$2:$C$144,2,0)</f>
        <v>ta-VB</v>
      </c>
      <c r="G43" s="128" t="s">
        <v>3009</v>
      </c>
      <c r="H43" s="128">
        <v>0</v>
      </c>
      <c r="I43" s="17" t="str">
        <f>VLOOKUP(C43,CNTlabel!$B:$C,2,FALSE)</f>
        <v>MLT</v>
      </c>
      <c r="J43" s="17" t="str">
        <f t="shared" si="0"/>
        <v>MLT</v>
      </c>
      <c r="K43" s="17">
        <f>GroupLabels!H43</f>
        <v>0</v>
      </c>
    </row>
    <row r="44" spans="1:11" x14ac:dyDescent="0.25">
      <c r="A44" s="127" t="s">
        <v>2977</v>
      </c>
      <c r="B44" s="128" t="s">
        <v>3010</v>
      </c>
      <c r="C44" s="128" t="s">
        <v>3011</v>
      </c>
      <c r="D44" s="128" t="s">
        <v>2978</v>
      </c>
      <c r="E44" s="128" t="s">
        <v>652</v>
      </c>
      <c r="F44" s="17" t="str">
        <f>VLOOKUP(E44,FakeCodeKey!$B$2:$C$144,2,0)</f>
        <v>ta-EK</v>
      </c>
      <c r="G44" s="128" t="s">
        <v>757</v>
      </c>
      <c r="H44" s="128">
        <v>0</v>
      </c>
      <c r="I44" s="17" t="str">
        <f>VLOOKUP(C44,CNTlabel!$B:$C,2,FALSE)</f>
        <v>MUS</v>
      </c>
      <c r="J44" s="17" t="str">
        <f t="shared" si="0"/>
        <v>MUS</v>
      </c>
      <c r="K44" s="17">
        <f>GroupLabels!H44</f>
        <v>0</v>
      </c>
    </row>
    <row r="45" spans="1:11" x14ac:dyDescent="0.25">
      <c r="A45" s="127" t="s">
        <v>2977</v>
      </c>
      <c r="B45" s="128" t="s">
        <v>3012</v>
      </c>
      <c r="C45" s="128" t="s">
        <v>1803</v>
      </c>
      <c r="D45" s="128" t="s">
        <v>2978</v>
      </c>
      <c r="E45" s="128" t="s">
        <v>649</v>
      </c>
      <c r="F45" s="17" t="str">
        <f>VLOOKUP(E45,FakeCodeKey!$B$2:$C$144,2,0)</f>
        <v>ta-YB</v>
      </c>
      <c r="G45" s="128" t="s">
        <v>3013</v>
      </c>
      <c r="H45" s="128">
        <v>0</v>
      </c>
      <c r="I45" s="17" t="str">
        <f>VLOOKUP(C45,CNTlabel!$B:$C,2,FALSE)</f>
        <v>MYS</v>
      </c>
      <c r="J45" s="17" t="str">
        <f t="shared" si="0"/>
        <v>MYS</v>
      </c>
      <c r="K45" s="17">
        <f>GroupLabels!H45</f>
        <v>0</v>
      </c>
    </row>
    <row r="46" spans="1:11" x14ac:dyDescent="0.25">
      <c r="A46" s="127" t="s">
        <v>2977</v>
      </c>
      <c r="B46" s="128" t="s">
        <v>3014</v>
      </c>
      <c r="C46" s="128" t="s">
        <v>3015</v>
      </c>
      <c r="D46" s="128" t="s">
        <v>2978</v>
      </c>
      <c r="E46" s="128" t="s">
        <v>662</v>
      </c>
      <c r="F46" s="17" t="str">
        <f>VLOOKUP(E46,FakeCodeKey!$B$2:$C$144,2,0)</f>
        <v>ta-TI</v>
      </c>
      <c r="G46" s="128" t="s">
        <v>3016</v>
      </c>
      <c r="H46" s="128">
        <v>1</v>
      </c>
      <c r="I46" s="17" t="str">
        <f>VLOOKUP(C46,CNTlabel!$B:$C,2,FALSE)</f>
        <v>NZL</v>
      </c>
      <c r="J46" s="17" t="str">
        <f t="shared" si="0"/>
        <v>NZL</v>
      </c>
      <c r="K46" s="17">
        <f>GroupLabels!H46</f>
        <v>1</v>
      </c>
    </row>
    <row r="47" spans="1:11" x14ac:dyDescent="0.25">
      <c r="A47" s="127" t="s">
        <v>2977</v>
      </c>
      <c r="B47" s="128" t="s">
        <v>3017</v>
      </c>
      <c r="C47" s="128" t="s">
        <v>1805</v>
      </c>
      <c r="D47" s="128" t="s">
        <v>2978</v>
      </c>
      <c r="E47" s="128" t="s">
        <v>669</v>
      </c>
      <c r="F47" s="17" t="str">
        <f>VLOOKUP(E47,FakeCodeKey!$B$2:$C$144,2,0)</f>
        <v>ta-BC</v>
      </c>
      <c r="G47" s="128" t="s">
        <v>3018</v>
      </c>
      <c r="H47" s="128">
        <v>0</v>
      </c>
      <c r="I47" s="17" t="str">
        <f>VLOOKUP(C47,CNTlabel!$B:$C,2,FALSE)</f>
        <v>PHL</v>
      </c>
      <c r="J47" s="17" t="str">
        <f t="shared" si="0"/>
        <v>PHL</v>
      </c>
      <c r="K47" s="17">
        <f>GroupLabels!H47</f>
        <v>0</v>
      </c>
    </row>
    <row r="48" spans="1:11" x14ac:dyDescent="0.25">
      <c r="A48" s="127" t="s">
        <v>2977</v>
      </c>
      <c r="B48" s="128" t="s">
        <v>2907</v>
      </c>
      <c r="C48" s="128" t="s">
        <v>2908</v>
      </c>
      <c r="D48" s="128" t="s">
        <v>2978</v>
      </c>
      <c r="E48" s="128" t="s">
        <v>666</v>
      </c>
      <c r="F48" s="17" t="str">
        <f>VLOOKUP(E48,FakeCodeKey!$B$2:$C$144,2,0)</f>
        <v>ta-EC</v>
      </c>
      <c r="G48" s="110" t="s">
        <v>3019</v>
      </c>
      <c r="H48" s="128">
        <v>0</v>
      </c>
      <c r="I48" s="137" t="s">
        <v>883</v>
      </c>
      <c r="J48" s="17" t="str">
        <f t="shared" si="0"/>
        <v>PSE</v>
      </c>
      <c r="K48" s="17">
        <f>GroupLabels!H48</f>
        <v>0</v>
      </c>
    </row>
    <row r="49" spans="1:11" x14ac:dyDescent="0.25">
      <c r="A49" s="127" t="s">
        <v>2977</v>
      </c>
      <c r="B49" s="128" t="s">
        <v>2910</v>
      </c>
      <c r="C49" s="128" t="s">
        <v>2911</v>
      </c>
      <c r="D49" s="128" t="s">
        <v>2978</v>
      </c>
      <c r="E49" s="128" t="s">
        <v>673</v>
      </c>
      <c r="F49" s="17" t="str">
        <f>VLOOKUP(E49,FakeCodeKey!$B$2:$C$144,2,0)</f>
        <v>ta-FC</v>
      </c>
      <c r="G49" s="128" t="s">
        <v>3020</v>
      </c>
      <c r="H49" s="128">
        <v>0</v>
      </c>
      <c r="I49" s="17" t="str">
        <f>VLOOKUP(C49,CNTlabel!$B:$C,2,FALSE)</f>
        <v>QAT</v>
      </c>
      <c r="J49" s="17" t="str">
        <f t="shared" si="0"/>
        <v>QAT</v>
      </c>
      <c r="K49" s="17">
        <f>GroupLabels!H49</f>
        <v>0</v>
      </c>
    </row>
    <row r="50" spans="1:11" x14ac:dyDescent="0.25">
      <c r="A50" s="127" t="s">
        <v>2977</v>
      </c>
      <c r="B50" s="128" t="s">
        <v>3021</v>
      </c>
      <c r="C50" s="128" t="s">
        <v>3022</v>
      </c>
      <c r="D50" s="128" t="s">
        <v>2978</v>
      </c>
      <c r="E50" s="128" t="s">
        <v>676</v>
      </c>
      <c r="F50" s="17" t="str">
        <f>VLOOKUP(E50,FakeCodeKey!$B$2:$C$144,2,0)</f>
        <v>ta-UY</v>
      </c>
      <c r="G50" s="128" t="s">
        <v>758</v>
      </c>
      <c r="H50" s="128">
        <v>0</v>
      </c>
      <c r="I50" s="17" t="str">
        <f>VLOOKUP(C50,CNTlabel!$B:$C,2,FALSE)</f>
        <v>RWA</v>
      </c>
      <c r="J50" s="17" t="str">
        <f t="shared" si="0"/>
        <v>RWA</v>
      </c>
      <c r="K50" s="17">
        <f>GroupLabels!H50</f>
        <v>0</v>
      </c>
    </row>
    <row r="51" spans="1:11" x14ac:dyDescent="0.25">
      <c r="A51" s="127" t="s">
        <v>2977</v>
      </c>
      <c r="B51" s="128" t="s">
        <v>2913</v>
      </c>
      <c r="C51" s="128" t="s">
        <v>2914</v>
      </c>
      <c r="D51" s="128" t="s">
        <v>2978</v>
      </c>
      <c r="E51" s="128" t="s">
        <v>678</v>
      </c>
      <c r="F51" s="17" t="str">
        <f>VLOOKUP(E51,FakeCodeKey!$B$2:$C$144,2,0)</f>
        <v>ta-LC</v>
      </c>
      <c r="G51" s="110" t="s">
        <v>3023</v>
      </c>
      <c r="H51" s="128">
        <v>0</v>
      </c>
      <c r="I51" s="17" t="str">
        <f>VLOOKUP(C51,CNTlabel!$B:$C,2,FALSE)</f>
        <v>SAU</v>
      </c>
      <c r="J51" s="17" t="str">
        <f t="shared" si="0"/>
        <v>SAU</v>
      </c>
      <c r="K51" s="17">
        <f>GroupLabels!H51</f>
        <v>0</v>
      </c>
    </row>
    <row r="52" spans="1:11" x14ac:dyDescent="0.25">
      <c r="A52" s="127" t="s">
        <v>2977</v>
      </c>
      <c r="B52" s="128" t="s">
        <v>3024</v>
      </c>
      <c r="C52" s="128" t="s">
        <v>1773</v>
      </c>
      <c r="D52" s="128" t="s">
        <v>2978</v>
      </c>
      <c r="E52" s="128" t="s">
        <v>680</v>
      </c>
      <c r="F52" s="17" t="str">
        <f>VLOOKUP(E52,FakeCodeKey!$B$2:$C$144,2,0)</f>
        <v>ta-MC</v>
      </c>
      <c r="G52" s="128" t="s">
        <v>3025</v>
      </c>
      <c r="H52" s="128">
        <v>0</v>
      </c>
      <c r="I52" s="17" t="str">
        <f>VLOOKUP(C52,CNTlabel!$B:$C,2,FALSE)</f>
        <v>SGP</v>
      </c>
      <c r="J52" s="17" t="str">
        <f t="shared" si="0"/>
        <v>SGP</v>
      </c>
      <c r="K52" s="17">
        <f>GroupLabels!H52</f>
        <v>0</v>
      </c>
    </row>
    <row r="53" spans="1:11" x14ac:dyDescent="0.25">
      <c r="A53" s="127" t="s">
        <v>2977</v>
      </c>
      <c r="B53" s="128" t="s">
        <v>3026</v>
      </c>
      <c r="C53" s="128" t="s">
        <v>3027</v>
      </c>
      <c r="D53" s="128" t="s">
        <v>2978</v>
      </c>
      <c r="E53" s="128" t="s">
        <v>702</v>
      </c>
      <c r="F53" s="17" t="str">
        <f>VLOOKUP(E53,FakeCodeKey!$B$2:$C$144,2,0)</f>
        <v>ta-DH</v>
      </c>
      <c r="G53" s="128" t="s">
        <v>764</v>
      </c>
      <c r="H53" s="128">
        <v>1</v>
      </c>
      <c r="I53" s="17" t="str">
        <f>VLOOKUP(C53,CNTlabel!$B:$C,2,FALSE)</f>
        <v>USA</v>
      </c>
      <c r="J53" s="17" t="str">
        <f t="shared" si="0"/>
        <v>USA</v>
      </c>
      <c r="K53" s="17">
        <f>GroupLabels!H53</f>
        <v>1</v>
      </c>
    </row>
    <row r="54" spans="1:11" x14ac:dyDescent="0.25">
      <c r="A54" s="127" t="s">
        <v>2977</v>
      </c>
      <c r="B54" s="128" t="s">
        <v>3028</v>
      </c>
      <c r="C54" s="128" t="s">
        <v>3029</v>
      </c>
      <c r="D54" s="128" t="s">
        <v>2978</v>
      </c>
      <c r="E54" s="128" t="s">
        <v>708</v>
      </c>
      <c r="F54" s="17" t="str">
        <f>VLOOKUP(E54,FakeCodeKey!$B$2:$C$144,2,0)</f>
        <v>ta-EN</v>
      </c>
      <c r="G54" s="128" t="s">
        <v>759</v>
      </c>
      <c r="H54" s="128">
        <v>0</v>
      </c>
      <c r="I54" s="17" t="str">
        <f>VLOOKUP(C54,CNTlabel!$B:$C,2,FALSE)</f>
        <v>ZMB</v>
      </c>
      <c r="J54" s="17" t="str">
        <f t="shared" si="0"/>
        <v>ZMB</v>
      </c>
      <c r="K54" s="17">
        <f>GroupLabels!H54</f>
        <v>0</v>
      </c>
    </row>
    <row r="55" spans="1:11" x14ac:dyDescent="0.25">
      <c r="A55" s="127" t="s">
        <v>3030</v>
      </c>
      <c r="B55" s="128" t="s">
        <v>3031</v>
      </c>
      <c r="C55" s="128" t="s">
        <v>3032</v>
      </c>
      <c r="D55" s="128" t="s">
        <v>3033</v>
      </c>
      <c r="E55" s="128" t="s">
        <v>568</v>
      </c>
      <c r="F55" s="17" t="str">
        <f>VLOOKUP(E55,FakeCodeKey!$B$2:$C$144,2,0)</f>
        <v>fp-IM</v>
      </c>
      <c r="G55" s="128" t="s">
        <v>3034</v>
      </c>
      <c r="H55" s="128">
        <v>0</v>
      </c>
      <c r="I55" s="17" t="str">
        <f>VLOOKUP(C55,CNTlabel!$B:$C,2,FALSE)</f>
        <v>ARG</v>
      </c>
      <c r="J55" s="17" t="str">
        <f t="shared" si="0"/>
        <v>ARG</v>
      </c>
      <c r="K55" s="17">
        <f>GroupLabels!H55</f>
        <v>0</v>
      </c>
    </row>
    <row r="56" spans="1:11" x14ac:dyDescent="0.25">
      <c r="A56" s="127" t="s">
        <v>3030</v>
      </c>
      <c r="B56" s="128" t="s">
        <v>3035</v>
      </c>
      <c r="C56" s="128" t="s">
        <v>3036</v>
      </c>
      <c r="D56" s="128" t="s">
        <v>3033</v>
      </c>
      <c r="E56" s="128" t="s">
        <v>585</v>
      </c>
      <c r="F56" s="17" t="str">
        <f>VLOOKUP(E56,FakeCodeKey!$B$2:$C$144,2,0)</f>
        <v>fp-MB</v>
      </c>
      <c r="G56" s="128" t="s">
        <v>3037</v>
      </c>
      <c r="H56" s="128">
        <v>1</v>
      </c>
      <c r="I56" s="17" t="str">
        <f>VLOOKUP(C56,CNTlabel!$B:$C,2,FALSE)</f>
        <v>CHL</v>
      </c>
      <c r="J56" s="17" t="str">
        <f t="shared" si="0"/>
        <v>CHL</v>
      </c>
      <c r="K56" s="17">
        <f>GroupLabels!H56</f>
        <v>1</v>
      </c>
    </row>
    <row r="57" spans="1:11" x14ac:dyDescent="0.25">
      <c r="A57" s="127" t="s">
        <v>3030</v>
      </c>
      <c r="B57" s="128" t="s">
        <v>3038</v>
      </c>
      <c r="C57" s="128" t="s">
        <v>3039</v>
      </c>
      <c r="D57" s="128" t="s">
        <v>3033</v>
      </c>
      <c r="E57" s="128" t="s">
        <v>586</v>
      </c>
      <c r="F57" s="17" t="str">
        <f>VLOOKUP(E57,FakeCodeKey!$B$2:$C$144,2,0)</f>
        <v>fp-LA</v>
      </c>
      <c r="G57" s="128" t="s">
        <v>3040</v>
      </c>
      <c r="H57" s="128">
        <v>1</v>
      </c>
      <c r="I57" s="17" t="str">
        <f>VLOOKUP(C57,CNTlabel!$B:$C,2,FALSE)</f>
        <v>COL</v>
      </c>
      <c r="J57" s="17" t="str">
        <f t="shared" si="0"/>
        <v>COL</v>
      </c>
      <c r="K57" s="17">
        <f>GroupLabels!H57</f>
        <v>1</v>
      </c>
    </row>
    <row r="58" spans="1:11" x14ac:dyDescent="0.25">
      <c r="A58" s="127" t="s">
        <v>3030</v>
      </c>
      <c r="B58" s="128" t="s">
        <v>3041</v>
      </c>
      <c r="C58" s="128" t="s">
        <v>1767</v>
      </c>
      <c r="D58" s="128" t="s">
        <v>3033</v>
      </c>
      <c r="E58" s="128" t="s">
        <v>587</v>
      </c>
      <c r="F58" s="17" t="str">
        <f>VLOOKUP(E58,FakeCodeKey!$B$2:$C$144,2,0)</f>
        <v>fp-MA</v>
      </c>
      <c r="G58" s="128" t="s">
        <v>763</v>
      </c>
      <c r="H58" s="128">
        <v>1</v>
      </c>
      <c r="I58" s="17" t="str">
        <f>VLOOKUP(C58,CNTlabel!$B:$C,2,FALSE)</f>
        <v>CRI</v>
      </c>
      <c r="J58" s="17" t="str">
        <f t="shared" si="0"/>
        <v>CRI</v>
      </c>
      <c r="K58" s="17">
        <f>GroupLabels!H58</f>
        <v>1</v>
      </c>
    </row>
    <row r="59" spans="1:11" x14ac:dyDescent="0.25">
      <c r="A59" s="127" t="s">
        <v>3030</v>
      </c>
      <c r="B59" s="128" t="s">
        <v>3042</v>
      </c>
      <c r="C59" s="128" t="s">
        <v>3043</v>
      </c>
      <c r="D59" s="128" t="s">
        <v>3033</v>
      </c>
      <c r="E59" s="128" t="s">
        <v>594</v>
      </c>
      <c r="F59" s="17" t="str">
        <f>VLOOKUP(E59,FakeCodeKey!$B$2:$C$144,2,0)</f>
        <v>fp-QA</v>
      </c>
      <c r="G59" s="128" t="s">
        <v>3044</v>
      </c>
      <c r="H59" s="128">
        <v>0</v>
      </c>
      <c r="I59" s="17" t="str">
        <f>VLOOKUP(C59,CNTlabel!$B:$C,2,FALSE)</f>
        <v>DOM</v>
      </c>
      <c r="J59" s="17" t="str">
        <f t="shared" si="0"/>
        <v>DOM</v>
      </c>
      <c r="K59" s="17">
        <f>GroupLabels!H59</f>
        <v>0</v>
      </c>
    </row>
    <row r="60" spans="1:11" x14ac:dyDescent="0.25">
      <c r="A60" s="127" t="s">
        <v>3030</v>
      </c>
      <c r="B60" s="128" t="s">
        <v>3045</v>
      </c>
      <c r="C60" s="128" t="s">
        <v>1802</v>
      </c>
      <c r="D60" s="128" t="s">
        <v>3033</v>
      </c>
      <c r="E60" s="128" t="s">
        <v>597</v>
      </c>
      <c r="F60" s="17" t="str">
        <f>VLOOKUP(E60,FakeCodeKey!$B$2:$C$144,2,0)</f>
        <v>fp-RA</v>
      </c>
      <c r="G60" s="128" t="s">
        <v>3046</v>
      </c>
      <c r="H60" s="128">
        <v>0</v>
      </c>
      <c r="I60" s="17" t="str">
        <f>VLOOKUP(C60,CNTlabel!$B:$C,2,FALSE)</f>
        <v>ECU</v>
      </c>
      <c r="J60" s="17" t="str">
        <f t="shared" si="0"/>
        <v>ECU</v>
      </c>
      <c r="K60" s="17">
        <f>GroupLabels!H60</f>
        <v>0</v>
      </c>
    </row>
    <row r="61" spans="1:11" x14ac:dyDescent="0.25">
      <c r="A61" s="127" t="s">
        <v>3030</v>
      </c>
      <c r="B61" s="128" t="s">
        <v>2930</v>
      </c>
      <c r="C61" s="128" t="s">
        <v>1786</v>
      </c>
      <c r="D61" s="128" t="s">
        <v>3033</v>
      </c>
      <c r="E61" s="128" t="s">
        <v>687</v>
      </c>
      <c r="F61" s="17" t="str">
        <f>VLOOKUP(E61,FakeCodeKey!$B$2:$C$144,2,0)</f>
        <v>fp-TA</v>
      </c>
      <c r="G61" s="128" t="s">
        <v>3047</v>
      </c>
      <c r="H61" s="128">
        <v>1</v>
      </c>
      <c r="I61" s="17" t="str">
        <f>VLOOKUP(C61,CNTlabel!$B:$C,2,FALSE)</f>
        <v>ESP</v>
      </c>
      <c r="J61" s="17" t="str">
        <f t="shared" si="0"/>
        <v>ESP</v>
      </c>
      <c r="K61" s="17">
        <f>GroupLabels!H61</f>
        <v>1</v>
      </c>
    </row>
    <row r="62" spans="1:11" x14ac:dyDescent="0.25">
      <c r="A62" s="127" t="s">
        <v>3030</v>
      </c>
      <c r="B62" s="128" t="s">
        <v>3048</v>
      </c>
      <c r="C62" s="128" t="s">
        <v>3049</v>
      </c>
      <c r="D62" s="128" t="s">
        <v>3033</v>
      </c>
      <c r="E62" s="128" t="s">
        <v>609</v>
      </c>
      <c r="F62" s="17" t="str">
        <f>VLOOKUP(E62,FakeCodeKey!$B$2:$C$144,2,0)</f>
        <v>fp-GO</v>
      </c>
      <c r="G62" s="128" t="s">
        <v>3050</v>
      </c>
      <c r="H62" s="128">
        <v>0</v>
      </c>
      <c r="I62" s="17" t="str">
        <f>VLOOKUP(C62,CNTlabel!$B:$C,2,FALSE)</f>
        <v>GTM</v>
      </c>
      <c r="J62" s="17" t="str">
        <f t="shared" si="0"/>
        <v>GTM</v>
      </c>
      <c r="K62" s="17">
        <f>GroupLabels!H62</f>
        <v>0</v>
      </c>
    </row>
    <row r="63" spans="1:11" x14ac:dyDescent="0.25">
      <c r="A63" s="127" t="s">
        <v>3030</v>
      </c>
      <c r="B63" s="128" t="s">
        <v>3051</v>
      </c>
      <c r="C63" s="128" t="s">
        <v>3052</v>
      </c>
      <c r="D63" s="128" t="s">
        <v>3033</v>
      </c>
      <c r="E63" s="128" t="s">
        <v>653</v>
      </c>
      <c r="F63" s="17" t="str">
        <f>VLOOKUP(E63,FakeCodeKey!$B$2:$C$144,2,0)</f>
        <v>fp-TB</v>
      </c>
      <c r="G63" s="128" t="s">
        <v>3053</v>
      </c>
      <c r="H63" s="128">
        <v>1</v>
      </c>
      <c r="I63" s="17" t="str">
        <f>VLOOKUP(C63,CNTlabel!$B:$C,2,FALSE)</f>
        <v>MEX</v>
      </c>
      <c r="J63" s="17" t="str">
        <f t="shared" si="0"/>
        <v>MEX</v>
      </c>
      <c r="K63" s="17">
        <f>GroupLabels!H63</f>
        <v>1</v>
      </c>
    </row>
    <row r="64" spans="1:11" x14ac:dyDescent="0.25">
      <c r="A64" s="127" t="s">
        <v>3030</v>
      </c>
      <c r="B64" s="128" t="s">
        <v>3054</v>
      </c>
      <c r="C64" s="128" t="s">
        <v>3055</v>
      </c>
      <c r="D64" s="128" t="s">
        <v>3033</v>
      </c>
      <c r="E64" s="128" t="s">
        <v>668</v>
      </c>
      <c r="F64" s="17" t="str">
        <f>VLOOKUP(E64,FakeCodeKey!$B$2:$C$144,2,0)</f>
        <v>fp-NK</v>
      </c>
      <c r="G64" s="128" t="s">
        <v>3056</v>
      </c>
      <c r="H64" s="128">
        <v>0</v>
      </c>
      <c r="I64" s="17" t="str">
        <f>VLOOKUP(C64,CNTlabel!$B:$C,2,FALSE)</f>
        <v>PER</v>
      </c>
      <c r="J64" s="17" t="str">
        <f t="shared" si="0"/>
        <v>PER</v>
      </c>
      <c r="K64" s="17">
        <f>GroupLabels!H64</f>
        <v>0</v>
      </c>
    </row>
    <row r="65" spans="1:11" x14ac:dyDescent="0.25">
      <c r="A65" s="127" t="s">
        <v>3030</v>
      </c>
      <c r="B65" s="128" t="s">
        <v>3057</v>
      </c>
      <c r="C65" s="128" t="s">
        <v>3058</v>
      </c>
      <c r="D65" s="128" t="s">
        <v>3033</v>
      </c>
      <c r="E65" s="128" t="s">
        <v>667</v>
      </c>
      <c r="F65" s="17" t="str">
        <f>VLOOKUP(E65,FakeCodeKey!$B$2:$C$144,2,0)</f>
        <v>fp-WS</v>
      </c>
      <c r="G65" s="128" t="s">
        <v>3059</v>
      </c>
      <c r="H65" s="128">
        <v>0</v>
      </c>
      <c r="I65" s="17" t="str">
        <f>VLOOKUP(C65,CNTlabel!$B:$C,2,FALSE)</f>
        <v>PRY</v>
      </c>
      <c r="J65" s="17" t="str">
        <f t="shared" si="0"/>
        <v>PRY</v>
      </c>
      <c r="K65" s="17">
        <f>GroupLabels!H65</f>
        <v>0</v>
      </c>
    </row>
    <row r="66" spans="1:11" x14ac:dyDescent="0.25">
      <c r="A66" s="127" t="s">
        <v>3030</v>
      </c>
      <c r="B66" s="128" t="s">
        <v>3060</v>
      </c>
      <c r="C66" s="128" t="s">
        <v>3061</v>
      </c>
      <c r="D66" s="128" t="s">
        <v>3033</v>
      </c>
      <c r="E66" s="128" t="s">
        <v>598</v>
      </c>
      <c r="F66" s="17" t="str">
        <f>VLOOKUP(E66,FakeCodeKey!$B$2:$C$144,2,0)</f>
        <v>fp-VW</v>
      </c>
      <c r="G66" s="128" t="s">
        <v>3062</v>
      </c>
      <c r="H66" s="128">
        <v>0</v>
      </c>
      <c r="I66" s="17" t="str">
        <f>VLOOKUP(C66,CNTlabel!$B:$C,2,FALSE)</f>
        <v>SLV</v>
      </c>
      <c r="J66" s="17" t="str">
        <f t="shared" si="0"/>
        <v>SLV</v>
      </c>
      <c r="K66" s="17">
        <f>GroupLabels!H66</f>
        <v>0</v>
      </c>
    </row>
    <row r="67" spans="1:11" x14ac:dyDescent="0.25">
      <c r="A67" s="127" t="s">
        <v>3030</v>
      </c>
      <c r="B67" s="128" t="s">
        <v>3063</v>
      </c>
      <c r="C67" s="128" t="s">
        <v>3064</v>
      </c>
      <c r="D67" s="128" t="s">
        <v>3033</v>
      </c>
      <c r="E67" s="128" t="s">
        <v>703</v>
      </c>
      <c r="F67" s="17" t="str">
        <f>VLOOKUP(E67,FakeCodeKey!$B$2:$C$144,2,0)</f>
        <v>fp-IY</v>
      </c>
      <c r="G67" s="128" t="s">
        <v>3065</v>
      </c>
      <c r="H67" s="128">
        <v>0</v>
      </c>
      <c r="I67" s="17" t="str">
        <f>VLOOKUP(C67,CNTlabel!$B:$C,2,FALSE)</f>
        <v>URY</v>
      </c>
      <c r="J67" s="17" t="str">
        <f t="shared" ref="J67:J130" si="1">I67</f>
        <v>URY</v>
      </c>
      <c r="K67" s="17">
        <f>GroupLabels!H67</f>
        <v>0</v>
      </c>
    </row>
    <row r="68" spans="1:11" x14ac:dyDescent="0.25">
      <c r="A68" s="127" t="s">
        <v>3066</v>
      </c>
      <c r="B68" s="128" t="s">
        <v>3067</v>
      </c>
      <c r="C68" s="128" t="s">
        <v>1781</v>
      </c>
      <c r="D68" s="128" t="s">
        <v>3068</v>
      </c>
      <c r="E68" s="128" t="s">
        <v>599</v>
      </c>
      <c r="F68" s="17" t="str">
        <f>VLOOKUP(E68,FakeCodeKey!$B$2:$C$144,2,0)</f>
        <v>zh-UA</v>
      </c>
      <c r="G68" s="128" t="s">
        <v>3069</v>
      </c>
      <c r="H68" s="128">
        <v>1</v>
      </c>
      <c r="I68" s="17" t="str">
        <f>VLOOKUP(C68,CNTlabel!$B:$C,2,FALSE)</f>
        <v>EST</v>
      </c>
      <c r="J68" s="17" t="str">
        <f t="shared" si="1"/>
        <v>EST</v>
      </c>
      <c r="K68" s="17">
        <f>GroupLabels!H68</f>
        <v>1</v>
      </c>
    </row>
    <row r="69" spans="1:11" x14ac:dyDescent="0.25">
      <c r="A69" s="127" t="s">
        <v>3070</v>
      </c>
      <c r="B69" s="128" t="s">
        <v>2930</v>
      </c>
      <c r="C69" s="128" t="s">
        <v>1786</v>
      </c>
      <c r="D69" s="128" t="s">
        <v>3071</v>
      </c>
      <c r="E69" s="128" t="s">
        <v>684</v>
      </c>
      <c r="F69" s="17" t="str">
        <f>VLOOKUP(E69,FakeCodeKey!$B$2:$C$144,2,0)</f>
        <v>hj-TA</v>
      </c>
      <c r="G69" s="128" t="s">
        <v>3072</v>
      </c>
      <c r="H69" s="128">
        <v>1</v>
      </c>
      <c r="I69" s="17" t="str">
        <f>VLOOKUP(C69,CNTlabel!$B:$C,2,FALSE)</f>
        <v>ESP</v>
      </c>
      <c r="J69" s="17" t="str">
        <f t="shared" si="1"/>
        <v>ESP</v>
      </c>
      <c r="K69" s="17">
        <f>GroupLabels!H69</f>
        <v>1</v>
      </c>
    </row>
    <row r="70" spans="1:11" x14ac:dyDescent="0.25">
      <c r="A70" s="127" t="s">
        <v>3073</v>
      </c>
      <c r="B70" s="128" t="s">
        <v>3074</v>
      </c>
      <c r="C70" s="128" t="s">
        <v>1782</v>
      </c>
      <c r="D70" s="128" t="s">
        <v>3075</v>
      </c>
      <c r="E70" s="128" t="s">
        <v>601</v>
      </c>
      <c r="F70" s="17" t="str">
        <f>VLOOKUP(E70,FakeCodeKey!$B$2:$C$144,2,0)</f>
        <v>gk-VA</v>
      </c>
      <c r="G70" s="128" t="s">
        <v>3076</v>
      </c>
      <c r="H70" s="128">
        <v>1</v>
      </c>
      <c r="I70" s="17" t="str">
        <f>VLOOKUP(C70,CNTlabel!$B:$C,2,FALSE)</f>
        <v>FIN</v>
      </c>
      <c r="J70" s="17" t="str">
        <f t="shared" si="1"/>
        <v>FIN</v>
      </c>
      <c r="K70" s="17">
        <f>GroupLabels!H70</f>
        <v>1</v>
      </c>
    </row>
    <row r="71" spans="1:11" x14ac:dyDescent="0.25">
      <c r="A71" s="127" t="s">
        <v>3077</v>
      </c>
      <c r="B71" s="128" t="s">
        <v>2954</v>
      </c>
      <c r="C71" s="128" t="s">
        <v>1780</v>
      </c>
      <c r="D71" s="128" t="s">
        <v>3078</v>
      </c>
      <c r="E71" s="128" t="s">
        <v>593</v>
      </c>
      <c r="F71" s="17" t="str">
        <f>VLOOKUP(E71,FakeCodeKey!$B$2:$C$144,2,0)</f>
        <v>rj-PA</v>
      </c>
      <c r="G71" s="128" t="s">
        <v>766</v>
      </c>
      <c r="H71" s="128">
        <v>1</v>
      </c>
      <c r="I71" s="17" t="str">
        <f>VLOOKUP(C71,CNTlabel!$B:$C,2,FALSE)</f>
        <v>DNK</v>
      </c>
      <c r="J71" s="17" t="str">
        <f t="shared" si="1"/>
        <v>DNK</v>
      </c>
      <c r="K71" s="17">
        <f>GroupLabels!H71</f>
        <v>1</v>
      </c>
    </row>
    <row r="72" spans="1:11" x14ac:dyDescent="0.25">
      <c r="A72" s="127" t="s">
        <v>3079</v>
      </c>
      <c r="B72" s="128" t="s">
        <v>2961</v>
      </c>
      <c r="C72" s="128" t="s">
        <v>2962</v>
      </c>
      <c r="D72" s="128" t="s">
        <v>3080</v>
      </c>
      <c r="E72" s="128" t="s">
        <v>575</v>
      </c>
      <c r="F72" s="17" t="str">
        <f>VLOOKUP(E72,FakeCodeKey!$B$2:$C$144,2,0)</f>
        <v>sl-HC</v>
      </c>
      <c r="G72" s="110" t="s">
        <v>3479</v>
      </c>
      <c r="H72" s="128">
        <v>1</v>
      </c>
      <c r="I72" s="17" t="str">
        <f>VLOOKUP(C72,CNTlabel!$B:$C,2,FALSE)</f>
        <v>BEL</v>
      </c>
      <c r="J72" s="17" t="str">
        <f t="shared" si="1"/>
        <v>BEL</v>
      </c>
      <c r="K72" s="17">
        <f>GroupLabels!H72</f>
        <v>1</v>
      </c>
    </row>
    <row r="73" spans="1:11" x14ac:dyDescent="0.25">
      <c r="A73" s="127" t="s">
        <v>3079</v>
      </c>
      <c r="B73" s="128" t="s">
        <v>2986</v>
      </c>
      <c r="C73" s="128" t="s">
        <v>2987</v>
      </c>
      <c r="D73" s="128" t="s">
        <v>3080</v>
      </c>
      <c r="E73" s="128" t="s">
        <v>584</v>
      </c>
      <c r="F73" s="17" t="str">
        <f>VLOOKUP(E73,FakeCodeKey!$B$2:$C$144,2,0)</f>
        <v>sl-IA</v>
      </c>
      <c r="G73" s="128" t="s">
        <v>770</v>
      </c>
      <c r="H73" s="128">
        <v>1</v>
      </c>
      <c r="I73" s="17" t="str">
        <f>VLOOKUP(C73,CNTlabel!$B:$C,2,FALSE)</f>
        <v>CAN</v>
      </c>
      <c r="J73" s="17" t="str">
        <f t="shared" si="1"/>
        <v>CAN</v>
      </c>
      <c r="K73" s="17">
        <f>GroupLabels!H73</f>
        <v>1</v>
      </c>
    </row>
    <row r="74" spans="1:11" x14ac:dyDescent="0.25">
      <c r="A74" s="127" t="s">
        <v>3079</v>
      </c>
      <c r="B74" s="128" t="s">
        <v>2963</v>
      </c>
      <c r="C74" s="128" t="s">
        <v>1787</v>
      </c>
      <c r="D74" s="128" t="s">
        <v>3080</v>
      </c>
      <c r="E74" s="128" t="s">
        <v>690</v>
      </c>
      <c r="F74" s="17" t="str">
        <f>VLOOKUP(E74,FakeCodeKey!$B$2:$C$144,2,0)</f>
        <v>sl-JA</v>
      </c>
      <c r="G74" s="128" t="s">
        <v>3081</v>
      </c>
      <c r="H74" s="128">
        <v>1</v>
      </c>
      <c r="I74" s="17" t="str">
        <f>VLOOKUP(C74,CNTlabel!$B:$C,2,FALSE)</f>
        <v>CHE</v>
      </c>
      <c r="J74" s="17" t="str">
        <f t="shared" si="1"/>
        <v>CHE</v>
      </c>
      <c r="K74" s="17">
        <f>GroupLabels!H74</f>
        <v>1</v>
      </c>
    </row>
    <row r="75" spans="1:11" x14ac:dyDescent="0.25">
      <c r="A75" s="127" t="s">
        <v>3079</v>
      </c>
      <c r="B75" s="128" t="s">
        <v>3082</v>
      </c>
      <c r="C75" s="128" t="s">
        <v>1768</v>
      </c>
      <c r="D75" s="128" t="s">
        <v>3080</v>
      </c>
      <c r="E75" s="128" t="s">
        <v>603</v>
      </c>
      <c r="F75" s="17" t="str">
        <f>VLOOKUP(E75,FakeCodeKey!$B$2:$C$144,2,0)</f>
        <v>sl-WA</v>
      </c>
      <c r="G75" s="128" t="s">
        <v>3083</v>
      </c>
      <c r="H75" s="128">
        <v>1</v>
      </c>
      <c r="I75" s="17" t="str">
        <f>VLOOKUP(C75,CNTlabel!$B:$C,2,FALSE)</f>
        <v>FRA</v>
      </c>
      <c r="J75" s="17" t="str">
        <f t="shared" si="1"/>
        <v>FRA</v>
      </c>
      <c r="K75" s="17">
        <f>GroupLabels!H75</f>
        <v>1</v>
      </c>
    </row>
    <row r="76" spans="1:11" x14ac:dyDescent="0.25">
      <c r="A76" s="127" t="s">
        <v>3079</v>
      </c>
      <c r="B76" s="128" t="s">
        <v>3001</v>
      </c>
      <c r="C76" s="128" t="s">
        <v>3002</v>
      </c>
      <c r="D76" s="128" t="s">
        <v>3080</v>
      </c>
      <c r="E76" s="128" t="s">
        <v>637</v>
      </c>
      <c r="F76" s="17" t="str">
        <f>VLOOKUP(E76,FakeCodeKey!$B$2:$C$144,2,0)</f>
        <v>sl-MB</v>
      </c>
      <c r="G76" s="110" t="s">
        <v>3084</v>
      </c>
      <c r="H76" s="128">
        <v>0</v>
      </c>
      <c r="I76" s="17" t="e">
        <f>VLOOKUP(C76,CNTlabel!$B:$C,2,FALSE)</f>
        <v>#N/A</v>
      </c>
      <c r="J76" s="17" t="e">
        <f t="shared" si="1"/>
        <v>#N/A</v>
      </c>
      <c r="K76" s="17">
        <f>GroupLabels!H76</f>
        <v>0</v>
      </c>
    </row>
    <row r="77" spans="1:11" x14ac:dyDescent="0.25">
      <c r="A77" s="127" t="s">
        <v>3079</v>
      </c>
      <c r="B77" s="128" t="s">
        <v>2968</v>
      </c>
      <c r="C77" s="128" t="s">
        <v>1793</v>
      </c>
      <c r="D77" s="128" t="s">
        <v>3080</v>
      </c>
      <c r="E77" s="128" t="s">
        <v>642</v>
      </c>
      <c r="F77" s="17" t="str">
        <f>VLOOKUP(E77,FakeCodeKey!$B$2:$C$144,2,0)</f>
        <v>sl-OB</v>
      </c>
      <c r="G77" s="128" t="s">
        <v>3085</v>
      </c>
      <c r="H77" s="128">
        <v>1</v>
      </c>
      <c r="I77" s="17" t="str">
        <f>VLOOKUP(C77,CNTlabel!$B:$C,2,FALSE)</f>
        <v>LUX</v>
      </c>
      <c r="J77" s="17" t="str">
        <f t="shared" si="1"/>
        <v>LUX</v>
      </c>
      <c r="K77" s="17">
        <f>GroupLabels!H77</f>
        <v>1</v>
      </c>
    </row>
    <row r="78" spans="1:11" x14ac:dyDescent="0.25">
      <c r="A78" s="127" t="s">
        <v>3086</v>
      </c>
      <c r="B78" s="128" t="s">
        <v>2994</v>
      </c>
      <c r="C78" s="128" t="s">
        <v>1775</v>
      </c>
      <c r="D78" s="128" t="s">
        <v>3087</v>
      </c>
      <c r="E78" s="128" t="s">
        <v>616</v>
      </c>
      <c r="F78" s="17" t="str">
        <f>VLOOKUP(E78,FakeCodeKey!$B$2:$C$144,2,0)</f>
        <v>gj-DB</v>
      </c>
      <c r="G78" s="110" t="s">
        <v>3088</v>
      </c>
      <c r="H78" s="128">
        <v>1</v>
      </c>
      <c r="I78" s="17" t="str">
        <f>VLOOKUP(C78,CNTlabel!$B:$C,2,FALSE)</f>
        <v>IRL</v>
      </c>
      <c r="J78" s="17" t="str">
        <f t="shared" si="1"/>
        <v>IRL</v>
      </c>
      <c r="K78" s="17">
        <f>GroupLabels!H78</f>
        <v>1</v>
      </c>
    </row>
    <row r="79" spans="1:11" x14ac:dyDescent="0.25">
      <c r="A79" s="127" t="s">
        <v>3089</v>
      </c>
      <c r="B79" s="128" t="s">
        <v>2930</v>
      </c>
      <c r="C79" s="128" t="s">
        <v>1786</v>
      </c>
      <c r="D79" s="128" t="s">
        <v>3090</v>
      </c>
      <c r="E79" s="128" t="s">
        <v>686</v>
      </c>
      <c r="F79" s="17" t="str">
        <f>VLOOKUP(E79,FakeCodeKey!$B$2:$C$144,2,0)</f>
        <v>cr-TA</v>
      </c>
      <c r="G79" s="128" t="s">
        <v>3091</v>
      </c>
      <c r="H79" s="128">
        <v>1</v>
      </c>
      <c r="I79" s="17" t="str">
        <f>VLOOKUP(C79,CNTlabel!$B:$C,2,FALSE)</f>
        <v>ESP</v>
      </c>
      <c r="J79" s="17" t="str">
        <f t="shared" si="1"/>
        <v>ESP</v>
      </c>
      <c r="K79" s="17">
        <f>GroupLabels!H79</f>
        <v>1</v>
      </c>
    </row>
    <row r="80" spans="1:11" x14ac:dyDescent="0.25">
      <c r="A80" s="127" t="s">
        <v>3092</v>
      </c>
      <c r="B80" s="128" t="s">
        <v>2899</v>
      </c>
      <c r="C80" s="128" t="s">
        <v>2900</v>
      </c>
      <c r="D80" s="128" t="s">
        <v>3093</v>
      </c>
      <c r="E80" s="128" t="s">
        <v>619</v>
      </c>
      <c r="F80" s="17" t="str">
        <f>VLOOKUP(E80,FakeCodeKey!$B$2:$C$144,2,0)</f>
        <v>wc-FB</v>
      </c>
      <c r="G80" s="110" t="s">
        <v>3094</v>
      </c>
      <c r="H80" s="128">
        <v>1</v>
      </c>
      <c r="I80" s="17" t="e">
        <f>VLOOKUP(C80,CNTlabel!$B:$C,2,FALSE)</f>
        <v>#N/A</v>
      </c>
      <c r="J80" s="17" t="e">
        <f t="shared" si="1"/>
        <v>#N/A</v>
      </c>
      <c r="K80" s="17">
        <f>GroupLabels!H80</f>
        <v>1</v>
      </c>
    </row>
    <row r="81" spans="1:11" x14ac:dyDescent="0.25">
      <c r="A81" s="127" t="s">
        <v>3092</v>
      </c>
      <c r="B81" s="128" t="s">
        <v>2899</v>
      </c>
      <c r="C81" s="128" t="s">
        <v>2900</v>
      </c>
      <c r="D81" s="128" t="s">
        <v>3093</v>
      </c>
      <c r="E81" s="128" t="s">
        <v>618</v>
      </c>
      <c r="F81" s="17" t="str">
        <f>VLOOKUP(E81,FakeCodeKey!$B$2:$C$144,2,0)</f>
        <v>wc-FB</v>
      </c>
      <c r="G81" s="110" t="s">
        <v>2467</v>
      </c>
      <c r="H81" s="128">
        <v>1</v>
      </c>
      <c r="I81" s="17" t="e">
        <f>VLOOKUP(C81,CNTlabel!$B:$C,2,FALSE)</f>
        <v>#N/A</v>
      </c>
      <c r="J81" s="17" t="e">
        <f t="shared" si="1"/>
        <v>#N/A</v>
      </c>
      <c r="K81" s="17">
        <f>GroupLabels!H81</f>
        <v>1</v>
      </c>
    </row>
    <row r="82" spans="1:11" x14ac:dyDescent="0.25">
      <c r="A82" s="127" t="s">
        <v>3095</v>
      </c>
      <c r="B82" s="128" t="s">
        <v>3096</v>
      </c>
      <c r="C82" s="128" t="s">
        <v>1788</v>
      </c>
      <c r="D82" s="128" t="s">
        <v>3097</v>
      </c>
      <c r="E82" s="128" t="s">
        <v>588</v>
      </c>
      <c r="F82" s="17" t="str">
        <f>VLOOKUP(E82,FakeCodeKey!$B$2:$C$144,2,0)</f>
        <v>kj-AB</v>
      </c>
      <c r="G82" s="128" t="s">
        <v>3098</v>
      </c>
      <c r="H82" s="128">
        <v>0</v>
      </c>
      <c r="I82" s="17" t="str">
        <f>VLOOKUP(C82,CNTlabel!$B:$C,2,FALSE)</f>
        <v>HRV</v>
      </c>
      <c r="J82" s="17" t="str">
        <f t="shared" si="1"/>
        <v>HRV</v>
      </c>
      <c r="K82" s="17">
        <f>GroupLabels!H82</f>
        <v>0</v>
      </c>
    </row>
    <row r="83" spans="1:11" x14ac:dyDescent="0.25">
      <c r="A83" s="127" t="s">
        <v>3099</v>
      </c>
      <c r="B83" s="128" t="s">
        <v>3100</v>
      </c>
      <c r="C83" s="128" t="s">
        <v>3101</v>
      </c>
      <c r="D83" s="128" t="s">
        <v>3102</v>
      </c>
      <c r="E83" s="128" t="s">
        <v>612</v>
      </c>
      <c r="F83" s="17" t="str">
        <f>VLOOKUP(E83,FakeCodeKey!$B$2:$C$144,2,0)</f>
        <v>sp-BB</v>
      </c>
      <c r="G83" s="128" t="s">
        <v>3103</v>
      </c>
      <c r="H83" s="128">
        <v>1</v>
      </c>
      <c r="I83" s="17" t="str">
        <f>VLOOKUP(C83,CNTlabel!$B:$C,2,FALSE)</f>
        <v>HUN</v>
      </c>
      <c r="J83" s="17" t="str">
        <f t="shared" si="1"/>
        <v>HUN</v>
      </c>
      <c r="K83" s="17">
        <f>GroupLabels!H83</f>
        <v>1</v>
      </c>
    </row>
    <row r="84" spans="1:11" x14ac:dyDescent="0.25">
      <c r="A84" s="127" t="s">
        <v>3099</v>
      </c>
      <c r="B84" s="128" t="s">
        <v>3104</v>
      </c>
      <c r="C84" s="128" t="s">
        <v>3105</v>
      </c>
      <c r="D84" s="128" t="s">
        <v>3102</v>
      </c>
      <c r="E84" s="128" t="s">
        <v>674</v>
      </c>
      <c r="F84" s="17" t="str">
        <f>VLOOKUP(E84,FakeCodeKey!$B$2:$C$144,2,0)</f>
        <v>sp-KC</v>
      </c>
      <c r="G84" s="128" t="s">
        <v>3106</v>
      </c>
      <c r="H84" s="128">
        <v>0</v>
      </c>
      <c r="I84" s="17" t="str">
        <f>VLOOKUP(C84,CNTlabel!$B:$C,2,FALSE)</f>
        <v>ROU</v>
      </c>
      <c r="J84" s="17" t="str">
        <f t="shared" si="1"/>
        <v>ROU</v>
      </c>
      <c r="K84" s="17">
        <f>GroupLabels!H84</f>
        <v>0</v>
      </c>
    </row>
    <row r="85" spans="1:11" x14ac:dyDescent="0.25">
      <c r="A85" s="127" t="s">
        <v>3099</v>
      </c>
      <c r="B85" s="128" t="s">
        <v>3107</v>
      </c>
      <c r="C85" s="128" t="s">
        <v>1798</v>
      </c>
      <c r="D85" s="128" t="s">
        <v>3102</v>
      </c>
      <c r="E85" s="128" t="s">
        <v>681</v>
      </c>
      <c r="F85" s="17" t="str">
        <f>VLOOKUP(E85,FakeCodeKey!$B$2:$C$144,2,0)</f>
        <v>sp-NC</v>
      </c>
      <c r="G85" s="128" t="s">
        <v>3108</v>
      </c>
      <c r="H85" s="128">
        <v>1</v>
      </c>
      <c r="I85" s="17" t="str">
        <f>VLOOKUP(C85,CNTlabel!$B:$C,2,FALSE)</f>
        <v>SVK</v>
      </c>
      <c r="J85" s="17" t="str">
        <f t="shared" si="1"/>
        <v>SVK</v>
      </c>
      <c r="K85" s="17">
        <f>GroupLabels!H85</f>
        <v>1</v>
      </c>
    </row>
    <row r="86" spans="1:11" x14ac:dyDescent="0.25">
      <c r="A86" s="127" t="s">
        <v>3109</v>
      </c>
      <c r="B86" s="128" t="s">
        <v>3110</v>
      </c>
      <c r="C86" s="128" t="s">
        <v>3111</v>
      </c>
      <c r="D86" s="128" t="s">
        <v>3112</v>
      </c>
      <c r="E86" s="128" t="s">
        <v>569</v>
      </c>
      <c r="F86" s="17" t="str">
        <f>VLOOKUP(E86,FakeCodeKey!$B$2:$C$144,2,0)</f>
        <v>ah-CA</v>
      </c>
      <c r="G86" s="128" t="s">
        <v>3113</v>
      </c>
      <c r="H86" s="128">
        <v>0</v>
      </c>
      <c r="I86" s="17" t="str">
        <f>VLOOKUP(C86,CNTlabel!$B:$C,2,FALSE)</f>
        <v>ARM</v>
      </c>
      <c r="J86" s="17" t="str">
        <f t="shared" si="1"/>
        <v>ARM</v>
      </c>
      <c r="K86" s="17">
        <f>GroupLabels!H86</f>
        <v>0</v>
      </c>
    </row>
    <row r="87" spans="1:11" x14ac:dyDescent="0.25">
      <c r="A87" s="127" t="s">
        <v>3114</v>
      </c>
      <c r="B87" s="128" t="s">
        <v>3115</v>
      </c>
      <c r="C87" s="128" t="s">
        <v>3116</v>
      </c>
      <c r="D87" s="128" t="s">
        <v>3117</v>
      </c>
      <c r="E87" s="128" t="s">
        <v>614</v>
      </c>
      <c r="F87" s="17" t="str">
        <f>VLOOKUP(E87,FakeCodeKey!$B$2:$C$144,2,0)</f>
        <v>yo-CB</v>
      </c>
      <c r="G87" s="128" t="s">
        <v>3118</v>
      </c>
      <c r="H87" s="128">
        <v>0</v>
      </c>
      <c r="I87" s="17" t="str">
        <f>VLOOKUP(C87,CNTlabel!$B:$C,2,FALSE)</f>
        <v>IDN</v>
      </c>
      <c r="J87" s="17" t="str">
        <f t="shared" si="1"/>
        <v>IDN</v>
      </c>
      <c r="K87" s="17">
        <f>GroupLabels!H87</f>
        <v>0</v>
      </c>
    </row>
    <row r="88" spans="1:11" x14ac:dyDescent="0.25">
      <c r="A88" s="127" t="s">
        <v>3119</v>
      </c>
      <c r="B88" s="128" t="s">
        <v>3120</v>
      </c>
      <c r="C88" s="128" t="s">
        <v>1783</v>
      </c>
      <c r="D88" s="128" t="s">
        <v>3121</v>
      </c>
      <c r="E88" s="128" t="s">
        <v>613</v>
      </c>
      <c r="F88" s="17" t="str">
        <f>VLOOKUP(E88,FakeCodeKey!$B$2:$C$144,2,0)</f>
        <v>mm-EB</v>
      </c>
      <c r="G88" s="128" t="s">
        <v>3122</v>
      </c>
      <c r="H88" s="128">
        <v>1</v>
      </c>
      <c r="I88" s="17" t="str">
        <f>VLOOKUP(C88,CNTlabel!$B:$C,2,FALSE)</f>
        <v>ISL</v>
      </c>
      <c r="J88" s="17" t="str">
        <f t="shared" si="1"/>
        <v>ISL</v>
      </c>
      <c r="K88" s="17">
        <f>GroupLabels!H88</f>
        <v>1</v>
      </c>
    </row>
    <row r="89" spans="1:11" x14ac:dyDescent="0.25">
      <c r="A89" s="127" t="s">
        <v>3123</v>
      </c>
      <c r="B89" s="128" t="s">
        <v>2963</v>
      </c>
      <c r="C89" s="128" t="s">
        <v>1787</v>
      </c>
      <c r="D89" s="128" t="s">
        <v>3124</v>
      </c>
      <c r="E89" s="128" t="s">
        <v>692</v>
      </c>
      <c r="F89" s="17" t="str">
        <f>VLOOKUP(E89,FakeCodeKey!$B$2:$C$144,2,0)</f>
        <v>mz-JA</v>
      </c>
      <c r="G89" s="128" t="s">
        <v>3125</v>
      </c>
      <c r="H89" s="128">
        <v>1</v>
      </c>
      <c r="I89" s="17" t="str">
        <f>VLOOKUP(C89,CNTlabel!$B:$C,2,FALSE)</f>
        <v>CHE</v>
      </c>
      <c r="J89" s="17" t="str">
        <f t="shared" si="1"/>
        <v>CHE</v>
      </c>
      <c r="K89" s="17">
        <f>GroupLabels!H89</f>
        <v>1</v>
      </c>
    </row>
    <row r="90" spans="1:11" x14ac:dyDescent="0.25">
      <c r="A90" s="127" t="s">
        <v>3123</v>
      </c>
      <c r="B90" s="128" t="s">
        <v>2966</v>
      </c>
      <c r="C90" s="128" t="s">
        <v>1804</v>
      </c>
      <c r="D90" s="128" t="s">
        <v>3124</v>
      </c>
      <c r="E90" s="128" t="s">
        <v>621</v>
      </c>
      <c r="F90" s="17" t="str">
        <f>VLOOKUP(E90,FakeCodeKey!$B$2:$C$144,2,0)</f>
        <v>mz-GB</v>
      </c>
      <c r="G90" s="128" t="s">
        <v>3126</v>
      </c>
      <c r="H90" s="128">
        <v>1</v>
      </c>
      <c r="I90" s="17" t="str">
        <f>VLOOKUP(C90,CNTlabel!$B:$C,2,FALSE)</f>
        <v>ITA</v>
      </c>
      <c r="J90" s="17" t="str">
        <f t="shared" si="1"/>
        <v>ITA</v>
      </c>
      <c r="K90" s="17">
        <f>GroupLabels!H90</f>
        <v>1</v>
      </c>
    </row>
    <row r="91" spans="1:11" x14ac:dyDescent="0.25">
      <c r="A91" s="127" t="s">
        <v>3127</v>
      </c>
      <c r="B91" s="128" t="s">
        <v>3128</v>
      </c>
      <c r="C91" s="128" t="s">
        <v>1784</v>
      </c>
      <c r="D91" s="128" t="s">
        <v>3129</v>
      </c>
      <c r="E91" s="128" t="s">
        <v>622</v>
      </c>
      <c r="F91" s="17" t="str">
        <f>VLOOKUP(E91,FakeCodeKey!$B$2:$C$144,2,0)</f>
        <v>fd-TX</v>
      </c>
      <c r="G91" s="128" t="s">
        <v>768</v>
      </c>
      <c r="H91" s="128">
        <v>1</v>
      </c>
      <c r="I91" s="17" t="str">
        <f>VLOOKUP(C91,CNTlabel!$B:$C,2,FALSE)</f>
        <v>JPN</v>
      </c>
      <c r="J91" s="17" t="str">
        <f t="shared" si="1"/>
        <v>JPN</v>
      </c>
      <c r="K91" s="17">
        <f>GroupLabels!H91</f>
        <v>1</v>
      </c>
    </row>
    <row r="92" spans="1:11" x14ac:dyDescent="0.25">
      <c r="A92" s="127" t="s">
        <v>3130</v>
      </c>
      <c r="B92" s="128" t="s">
        <v>3131</v>
      </c>
      <c r="C92" s="128" t="s">
        <v>1801</v>
      </c>
      <c r="D92" s="128" t="s">
        <v>3132</v>
      </c>
      <c r="E92" s="128" t="s">
        <v>704</v>
      </c>
      <c r="F92" s="17" t="str">
        <f>VLOOKUP(E92,FakeCodeKey!$B$2:$C$144,2,0)</f>
        <v>xr-TC</v>
      </c>
      <c r="G92" s="128" t="s">
        <v>3133</v>
      </c>
      <c r="H92" s="128">
        <v>0</v>
      </c>
      <c r="I92" s="17" t="str">
        <f>VLOOKUP(C92,CNTlabel!$B:$C,2,FALSE)</f>
        <v>UZB</v>
      </c>
      <c r="J92" s="17" t="str">
        <f t="shared" si="1"/>
        <v>UZB</v>
      </c>
      <c r="K92" s="17">
        <f>GroupLabels!H92</f>
        <v>0</v>
      </c>
    </row>
    <row r="93" spans="1:11" x14ac:dyDescent="0.25">
      <c r="A93" s="127" t="s">
        <v>3134</v>
      </c>
      <c r="B93" s="128" t="s">
        <v>2917</v>
      </c>
      <c r="C93" s="128" t="s">
        <v>2918</v>
      </c>
      <c r="D93" s="128" t="s">
        <v>3135</v>
      </c>
      <c r="E93" s="128" t="s">
        <v>605</v>
      </c>
      <c r="F93" s="17" t="str">
        <f>VLOOKUP(E93,FakeCodeKey!$B$2:$C$144,2,0)</f>
        <v>sb-XA</v>
      </c>
      <c r="G93" s="128" t="s">
        <v>3136</v>
      </c>
      <c r="H93" s="128">
        <v>0</v>
      </c>
      <c r="I93" s="17" t="str">
        <f>VLOOKUP(C93,CNTlabel!$B:$C,2,FALSE)</f>
        <v>GEO</v>
      </c>
      <c r="J93" s="17" t="str">
        <f t="shared" si="1"/>
        <v>GEO</v>
      </c>
      <c r="K93" s="17">
        <f>GroupLabels!H93</f>
        <v>0</v>
      </c>
    </row>
    <row r="94" spans="1:11" x14ac:dyDescent="0.25">
      <c r="A94" s="127" t="s">
        <v>3137</v>
      </c>
      <c r="B94" s="128" t="s">
        <v>3138</v>
      </c>
      <c r="C94" s="128" t="s">
        <v>3139</v>
      </c>
      <c r="D94" s="128" t="s">
        <v>3140</v>
      </c>
      <c r="E94" s="128" t="s">
        <v>624</v>
      </c>
      <c r="F94" s="17" t="str">
        <f>VLOOKUP(E94,FakeCodeKey!$B$2:$C$144,2,0)</f>
        <v>cb-IB</v>
      </c>
      <c r="G94" s="128" t="s">
        <v>3141</v>
      </c>
      <c r="H94" s="128">
        <v>0</v>
      </c>
      <c r="I94" s="17" t="str">
        <f>VLOOKUP(C94,CNTlabel!$B:$C,2,FALSE)</f>
        <v>KAZ</v>
      </c>
      <c r="J94" s="17" t="str">
        <f t="shared" si="1"/>
        <v>KAZ</v>
      </c>
      <c r="K94" s="17">
        <f>GroupLabels!H94</f>
        <v>0</v>
      </c>
    </row>
    <row r="95" spans="1:11" x14ac:dyDescent="0.25">
      <c r="A95" s="127" t="s">
        <v>3137</v>
      </c>
      <c r="B95" s="128" t="s">
        <v>3142</v>
      </c>
      <c r="C95" s="128" t="s">
        <v>1794</v>
      </c>
      <c r="D95" s="128" t="s">
        <v>3140</v>
      </c>
      <c r="E95" s="128" t="s">
        <v>656</v>
      </c>
      <c r="F95" s="17" t="str">
        <f>VLOOKUP(E95,FakeCodeKey!$B$2:$C$144,2,0)</f>
        <v>cb-XB</v>
      </c>
      <c r="G95" s="128" t="s">
        <v>3143</v>
      </c>
      <c r="H95" s="128">
        <v>0</v>
      </c>
      <c r="I95" s="17" t="str">
        <f>VLOOKUP(C95,CNTlabel!$B:$C,2,FALSE)</f>
        <v>MNG</v>
      </c>
      <c r="J95" s="17" t="str">
        <f t="shared" si="1"/>
        <v>MNG</v>
      </c>
      <c r="K95" s="17">
        <f>GroupLabels!H95</f>
        <v>0</v>
      </c>
    </row>
    <row r="96" spans="1:11" x14ac:dyDescent="0.25">
      <c r="A96" s="127" t="s">
        <v>3144</v>
      </c>
      <c r="B96" s="128" t="s">
        <v>3145</v>
      </c>
      <c r="C96" s="128" t="s">
        <v>3146</v>
      </c>
      <c r="D96" s="110" t="s">
        <v>3147</v>
      </c>
      <c r="E96" s="128" t="s">
        <v>582</v>
      </c>
      <c r="F96" s="17" t="str">
        <f>VLOOKUP(E96,FakeCodeKey!$B$2:$C$144,2,0)</f>
        <v>wr-SX</v>
      </c>
      <c r="G96" s="128" t="s">
        <v>751</v>
      </c>
      <c r="H96" s="128">
        <v>0</v>
      </c>
      <c r="I96" s="17" t="str">
        <f>VLOOKUP(C96,CNTlabel!$B:$C,2,FALSE)</f>
        <v>KHM</v>
      </c>
      <c r="J96" s="17" t="str">
        <f t="shared" si="1"/>
        <v>KHM</v>
      </c>
      <c r="K96" s="17">
        <f>GroupLabels!H96</f>
        <v>0</v>
      </c>
    </row>
    <row r="97" spans="1:11" x14ac:dyDescent="0.25">
      <c r="A97" s="127" t="s">
        <v>3148</v>
      </c>
      <c r="B97" s="128" t="s">
        <v>2935</v>
      </c>
      <c r="C97" s="128" t="s">
        <v>2936</v>
      </c>
      <c r="D97" s="110" t="s">
        <v>3149</v>
      </c>
      <c r="E97" s="128" t="s">
        <v>629</v>
      </c>
      <c r="F97" s="17" t="str">
        <f>VLOOKUP(E97,FakeCodeKey!$B$2:$C$144,2,0)</f>
        <v>gv-TH</v>
      </c>
      <c r="G97" s="110" t="s">
        <v>755</v>
      </c>
      <c r="H97" s="128">
        <v>0</v>
      </c>
      <c r="I97" s="137" t="s">
        <v>712</v>
      </c>
      <c r="J97" s="17" t="str">
        <f t="shared" si="1"/>
        <v>QKI</v>
      </c>
      <c r="K97" s="17">
        <f>GroupLabels!H97</f>
        <v>0</v>
      </c>
    </row>
    <row r="98" spans="1:11" x14ac:dyDescent="0.25">
      <c r="A98" s="127" t="s">
        <v>3150</v>
      </c>
      <c r="B98" s="128" t="s">
        <v>3151</v>
      </c>
      <c r="C98" s="128" t="s">
        <v>3152</v>
      </c>
      <c r="D98" s="128" t="s">
        <v>3153</v>
      </c>
      <c r="E98" s="128" t="s">
        <v>627</v>
      </c>
      <c r="F98" s="17" t="str">
        <f>VLOOKUP(E98,FakeCodeKey!$B$2:$C$144,2,0)</f>
        <v>ye-KB</v>
      </c>
      <c r="G98" s="128" t="s">
        <v>3154</v>
      </c>
      <c r="H98" s="128">
        <v>1</v>
      </c>
      <c r="I98" s="17" t="str">
        <f>VLOOKUP(C98,CNTlabel!$B:$C,2,FALSE)</f>
        <v>KOR</v>
      </c>
      <c r="J98" s="17" t="str">
        <f t="shared" si="1"/>
        <v>KOR</v>
      </c>
      <c r="K98" s="17">
        <f>GroupLabels!H98</f>
        <v>1</v>
      </c>
    </row>
    <row r="99" spans="1:11" x14ac:dyDescent="0.25">
      <c r="A99" s="127" t="s">
        <v>3155</v>
      </c>
      <c r="B99" s="128" t="s">
        <v>3156</v>
      </c>
      <c r="C99" s="128" t="s">
        <v>3157</v>
      </c>
      <c r="D99" s="128" t="s">
        <v>3158</v>
      </c>
      <c r="E99" s="128" t="s">
        <v>632</v>
      </c>
      <c r="F99" s="17" t="str">
        <f>VLOOKUP(E99,FakeCodeKey!$B$2:$C$144,2,0)</f>
        <v>xn-JB</v>
      </c>
      <c r="G99" s="110" t="s">
        <v>3159</v>
      </c>
      <c r="H99" s="128">
        <v>0</v>
      </c>
      <c r="I99" s="17" t="str">
        <f>VLOOKUP(C99,CNTlabel!$B:$C,2,FALSE)</f>
        <v>KGZ</v>
      </c>
      <c r="J99" s="17" t="str">
        <f t="shared" si="1"/>
        <v>KGZ</v>
      </c>
      <c r="K99" s="17">
        <f>GroupLabels!H99</f>
        <v>0</v>
      </c>
    </row>
    <row r="100" spans="1:11" x14ac:dyDescent="0.25">
      <c r="A100" s="127" t="s">
        <v>3160</v>
      </c>
      <c r="B100" s="128" t="s">
        <v>3161</v>
      </c>
      <c r="C100" s="128" t="s">
        <v>1800</v>
      </c>
      <c r="D100" s="128" t="s">
        <v>3162</v>
      </c>
      <c r="E100" s="128" t="s">
        <v>638</v>
      </c>
      <c r="F100" s="17" t="str">
        <f>VLOOKUP(E100,FakeCodeKey!$B$2:$C$144,2,0)</f>
        <v>re-NB</v>
      </c>
      <c r="G100" s="128" t="s">
        <v>3163</v>
      </c>
      <c r="H100" s="128">
        <v>1</v>
      </c>
      <c r="I100" s="17" t="str">
        <f>VLOOKUP(C100,CNTlabel!$B:$C,2,FALSE)</f>
        <v>LTU</v>
      </c>
      <c r="J100" s="17" t="str">
        <f t="shared" si="1"/>
        <v>LTU</v>
      </c>
      <c r="K100" s="17">
        <f>GroupLabels!H100</f>
        <v>1</v>
      </c>
    </row>
    <row r="101" spans="1:11" x14ac:dyDescent="0.25">
      <c r="A101" s="127" t="s">
        <v>3164</v>
      </c>
      <c r="B101" s="128" t="s">
        <v>3165</v>
      </c>
      <c r="C101" s="128" t="s">
        <v>1770</v>
      </c>
      <c r="D101" s="128" t="s">
        <v>3166</v>
      </c>
      <c r="E101" s="128" t="s">
        <v>635</v>
      </c>
      <c r="F101" s="17" t="str">
        <f>VLOOKUP(E101,FakeCodeKey!$B$2:$C$144,2,0)</f>
        <v>wx-PB</v>
      </c>
      <c r="G101" s="128" t="s">
        <v>3167</v>
      </c>
      <c r="H101" s="128">
        <v>1</v>
      </c>
      <c r="I101" s="17" t="str">
        <f>VLOOKUP(C101,CNTlabel!$B:$C,2,FALSE)</f>
        <v>LVA</v>
      </c>
      <c r="J101" s="17" t="str">
        <f t="shared" si="1"/>
        <v>LVA</v>
      </c>
      <c r="K101" s="17">
        <f>GroupLabels!H101</f>
        <v>1</v>
      </c>
    </row>
    <row r="102" spans="1:11" x14ac:dyDescent="0.25">
      <c r="A102" s="127" t="s">
        <v>3168</v>
      </c>
      <c r="B102" s="128" t="s">
        <v>3169</v>
      </c>
      <c r="C102" s="128" t="s">
        <v>3170</v>
      </c>
      <c r="D102" s="128" t="s">
        <v>3171</v>
      </c>
      <c r="E102" s="128" t="s">
        <v>648</v>
      </c>
      <c r="F102" s="17" t="str">
        <f>VLOOKUP(E102,FakeCodeKey!$B$2:$C$144,2,0)</f>
        <v>vu-UB</v>
      </c>
      <c r="G102" s="128" t="s">
        <v>3172</v>
      </c>
      <c r="H102" s="128">
        <v>0</v>
      </c>
      <c r="I102" s="137" t="s">
        <v>738</v>
      </c>
      <c r="J102" s="17" t="str">
        <f t="shared" si="1"/>
        <v>MKD</v>
      </c>
      <c r="K102" s="17">
        <f>GroupLabels!H102</f>
        <v>0</v>
      </c>
    </row>
    <row r="103" spans="1:11" x14ac:dyDescent="0.25">
      <c r="A103" s="127" t="s">
        <v>3173</v>
      </c>
      <c r="B103" s="128" t="s">
        <v>3142</v>
      </c>
      <c r="C103" s="128" t="s">
        <v>1794</v>
      </c>
      <c r="D103" s="128" t="s">
        <v>3174</v>
      </c>
      <c r="E103" s="128" t="s">
        <v>657</v>
      </c>
      <c r="F103" s="17" t="str">
        <f>VLOOKUP(E103,FakeCodeKey!$B$2:$C$144,2,0)</f>
        <v>zk-XB</v>
      </c>
      <c r="G103" s="128" t="s">
        <v>3175</v>
      </c>
      <c r="H103" s="128">
        <v>0</v>
      </c>
      <c r="I103" s="17" t="str">
        <f>VLOOKUP(C103,CNTlabel!$B:$C,2,FALSE)</f>
        <v>MNG</v>
      </c>
      <c r="J103" s="17" t="str">
        <f t="shared" si="1"/>
        <v>MNG</v>
      </c>
      <c r="K103" s="17">
        <f>GroupLabels!H103</f>
        <v>0</v>
      </c>
    </row>
    <row r="104" spans="1:11" x14ac:dyDescent="0.25">
      <c r="A104" s="127" t="s">
        <v>3176</v>
      </c>
      <c r="B104" s="110" t="s">
        <v>2983</v>
      </c>
      <c r="C104" s="110" t="s">
        <v>2984</v>
      </c>
      <c r="D104" s="128" t="s">
        <v>3177</v>
      </c>
      <c r="E104" s="110" t="s">
        <v>1453</v>
      </c>
      <c r="F104" s="17" t="str">
        <f>VLOOKUP(E104,FakeCodeKey!$B$2:$C$144,2,0)</f>
        <v>zi-HA</v>
      </c>
      <c r="G104" s="110" t="s">
        <v>3178</v>
      </c>
      <c r="H104" s="128">
        <v>0</v>
      </c>
      <c r="I104" s="137" t="s">
        <v>863</v>
      </c>
      <c r="J104" s="17" t="str">
        <f t="shared" si="1"/>
        <v>BRN</v>
      </c>
      <c r="K104" s="17">
        <f>GroupLabels!H104</f>
        <v>0</v>
      </c>
    </row>
    <row r="105" spans="1:11" x14ac:dyDescent="0.25">
      <c r="A105" s="127" t="s">
        <v>3176</v>
      </c>
      <c r="B105" s="128" t="s">
        <v>3012</v>
      </c>
      <c r="C105" s="128" t="s">
        <v>1803</v>
      </c>
      <c r="D105" s="128" t="s">
        <v>3177</v>
      </c>
      <c r="E105" s="128" t="s">
        <v>650</v>
      </c>
      <c r="F105" s="17" t="str">
        <f>VLOOKUP(E105,FakeCodeKey!$B$2:$C$144,2,0)</f>
        <v>zi-YB</v>
      </c>
      <c r="G105" s="128" t="s">
        <v>3179</v>
      </c>
      <c r="H105" s="128">
        <v>0</v>
      </c>
      <c r="I105" s="17" t="str">
        <f>VLOOKUP(C105,CNTlabel!$B:$C,2,FALSE)</f>
        <v>MYS</v>
      </c>
      <c r="J105" s="17" t="str">
        <f t="shared" si="1"/>
        <v>MYS</v>
      </c>
      <c r="K105" s="17">
        <f>GroupLabels!H105</f>
        <v>0</v>
      </c>
    </row>
    <row r="106" spans="1:11" x14ac:dyDescent="0.25">
      <c r="A106" s="127" t="s">
        <v>3180</v>
      </c>
      <c r="B106" s="128" t="s">
        <v>3181</v>
      </c>
      <c r="C106" s="128" t="s">
        <v>1796</v>
      </c>
      <c r="D106" s="128" t="s">
        <v>3182</v>
      </c>
      <c r="E106" s="128" t="s">
        <v>663</v>
      </c>
      <c r="F106" s="17" t="str">
        <f>VLOOKUP(E106,FakeCodeKey!$B$2:$C$144,2,0)</f>
        <v>tw-AC</v>
      </c>
      <c r="G106" s="128" t="s">
        <v>760</v>
      </c>
      <c r="H106" s="128">
        <v>1</v>
      </c>
      <c r="I106" s="17" t="str">
        <f>VLOOKUP(C106,CNTlabel!$B:$C,2,FALSE)</f>
        <v>NOR</v>
      </c>
      <c r="J106" s="17" t="str">
        <f t="shared" si="1"/>
        <v>NOR</v>
      </c>
      <c r="K106" s="17">
        <f>GroupLabels!H106</f>
        <v>1</v>
      </c>
    </row>
    <row r="107" spans="1:11" x14ac:dyDescent="0.25">
      <c r="A107" s="127" t="s">
        <v>3183</v>
      </c>
      <c r="B107" s="128" t="s">
        <v>2961</v>
      </c>
      <c r="C107" s="128" t="s">
        <v>2962</v>
      </c>
      <c r="D107" s="128" t="s">
        <v>3184</v>
      </c>
      <c r="E107" s="128" t="s">
        <v>574</v>
      </c>
      <c r="F107" s="17" t="str">
        <f>VLOOKUP(E107,FakeCodeKey!$B$2:$C$144,2,0)</f>
        <v>of-GC</v>
      </c>
      <c r="G107" s="110" t="s">
        <v>3185</v>
      </c>
      <c r="H107" s="128">
        <v>1</v>
      </c>
      <c r="I107" s="17" t="str">
        <f>VLOOKUP(C107,CNTlabel!$B:$C,2,FALSE)</f>
        <v>BEL</v>
      </c>
      <c r="J107" s="137" t="s">
        <v>861</v>
      </c>
      <c r="K107" s="17">
        <f>GroupLabels!H107</f>
        <v>1</v>
      </c>
    </row>
    <row r="108" spans="1:11" x14ac:dyDescent="0.25">
      <c r="A108" s="127" t="s">
        <v>3183</v>
      </c>
      <c r="B108" s="128" t="s">
        <v>3186</v>
      </c>
      <c r="C108" s="128" t="s">
        <v>1776</v>
      </c>
      <c r="D108" s="128" t="s">
        <v>3184</v>
      </c>
      <c r="E108" s="128" t="s">
        <v>661</v>
      </c>
      <c r="F108" s="17" t="str">
        <f>VLOOKUP(E108,FakeCodeKey!$B$2:$C$144,2,0)</f>
        <v>of-ZB</v>
      </c>
      <c r="G108" s="128" t="s">
        <v>3187</v>
      </c>
      <c r="H108" s="128">
        <v>1</v>
      </c>
      <c r="I108" s="17" t="str">
        <f>VLOOKUP(C108,CNTlabel!$B:$C,2,FALSE)</f>
        <v>NLD</v>
      </c>
      <c r="J108" s="17" t="str">
        <f t="shared" si="1"/>
        <v>NLD</v>
      </c>
      <c r="K108" s="17">
        <f>GroupLabels!H108</f>
        <v>1</v>
      </c>
    </row>
    <row r="109" spans="1:11" x14ac:dyDescent="0.25">
      <c r="A109" s="127" t="s">
        <v>3188</v>
      </c>
      <c r="B109" s="128" t="s">
        <v>3181</v>
      </c>
      <c r="C109" s="128" t="s">
        <v>1796</v>
      </c>
      <c r="D109" s="128" t="s">
        <v>3189</v>
      </c>
      <c r="E109" s="128" t="s">
        <v>664</v>
      </c>
      <c r="F109" s="17" t="str">
        <f>VLOOKUP(E109,FakeCodeKey!$B$2:$C$144,2,0)</f>
        <v>hq-AC</v>
      </c>
      <c r="G109" s="128" t="s">
        <v>761</v>
      </c>
      <c r="H109" s="128">
        <v>1</v>
      </c>
      <c r="I109" s="17" t="str">
        <f>VLOOKUP(C109,CNTlabel!$B:$C,2,FALSE)</f>
        <v>NOR</v>
      </c>
      <c r="J109" s="17" t="str">
        <f t="shared" si="1"/>
        <v>NOR</v>
      </c>
      <c r="K109" s="17">
        <f>GroupLabels!H109</f>
        <v>1</v>
      </c>
    </row>
    <row r="110" spans="1:11" x14ac:dyDescent="0.25">
      <c r="A110" s="127" t="s">
        <v>3190</v>
      </c>
      <c r="B110" s="128" t="s">
        <v>3161</v>
      </c>
      <c r="C110" s="128" t="s">
        <v>1800</v>
      </c>
      <c r="D110" s="128" t="s">
        <v>3191</v>
      </c>
      <c r="E110" s="128" t="s">
        <v>639</v>
      </c>
      <c r="F110" s="17" t="str">
        <f>VLOOKUP(E110,FakeCodeKey!$B$2:$C$144,2,0)</f>
        <v>yl-NB</v>
      </c>
      <c r="G110" s="128" t="s">
        <v>3192</v>
      </c>
      <c r="H110" s="128">
        <v>1</v>
      </c>
      <c r="I110" s="17" t="str">
        <f>VLOOKUP(C110,CNTlabel!$B:$C,2,FALSE)</f>
        <v>LTU</v>
      </c>
      <c r="J110" s="17" t="str">
        <f t="shared" si="1"/>
        <v>LTU</v>
      </c>
      <c r="K110" s="17">
        <f>GroupLabels!H110</f>
        <v>1</v>
      </c>
    </row>
    <row r="111" spans="1:11" x14ac:dyDescent="0.25">
      <c r="A111" s="127" t="s">
        <v>3190</v>
      </c>
      <c r="B111" s="128" t="s">
        <v>3193</v>
      </c>
      <c r="C111" s="128" t="s">
        <v>1797</v>
      </c>
      <c r="D111" s="128" t="s">
        <v>3191</v>
      </c>
      <c r="E111" s="128" t="s">
        <v>670</v>
      </c>
      <c r="F111" s="17" t="str">
        <f>VLOOKUP(E111,FakeCodeKey!$B$2:$C$144,2,0)</f>
        <v>yl-CC</v>
      </c>
      <c r="G111" s="128" t="s">
        <v>3194</v>
      </c>
      <c r="H111" s="128">
        <v>1</v>
      </c>
      <c r="I111" s="17" t="str">
        <f>VLOOKUP(C111,CNTlabel!$B:$C,2,FALSE)</f>
        <v>POL</v>
      </c>
      <c r="J111" s="17" t="str">
        <f t="shared" si="1"/>
        <v>POL</v>
      </c>
      <c r="K111" s="17">
        <f>GroupLabels!H111</f>
        <v>1</v>
      </c>
    </row>
    <row r="112" spans="1:11" x14ac:dyDescent="0.25">
      <c r="A112" s="127" t="s">
        <v>3195</v>
      </c>
      <c r="B112" s="128" t="s">
        <v>3196</v>
      </c>
      <c r="C112" s="128" t="s">
        <v>3197</v>
      </c>
      <c r="D112" s="128" t="s">
        <v>3198</v>
      </c>
      <c r="E112" s="128" t="s">
        <v>577</v>
      </c>
      <c r="F112" s="17" t="str">
        <f>VLOOKUP(E112,FakeCodeKey!$B$2:$C$144,2,0)</f>
        <v>dc-GA</v>
      </c>
      <c r="G112" s="128" t="s">
        <v>3199</v>
      </c>
      <c r="H112" s="128">
        <v>0</v>
      </c>
      <c r="I112" s="17" t="str">
        <f>VLOOKUP(C112,CNTlabel!$B:$C,2,FALSE)</f>
        <v>BRA</v>
      </c>
      <c r="J112" s="17" t="str">
        <f t="shared" si="1"/>
        <v>BRA</v>
      </c>
      <c r="K112" s="17">
        <f>GroupLabels!H112</f>
        <v>0</v>
      </c>
    </row>
    <row r="113" spans="1:11" x14ac:dyDescent="0.25">
      <c r="A113" s="127" t="s">
        <v>3195</v>
      </c>
      <c r="B113" s="128" t="s">
        <v>3005</v>
      </c>
      <c r="C113" s="128" t="s">
        <v>3006</v>
      </c>
      <c r="D113" s="128" t="s">
        <v>3198</v>
      </c>
      <c r="E113" s="128" t="s">
        <v>645</v>
      </c>
      <c r="F113" s="17" t="str">
        <f>VLOOKUP(E113,FakeCodeKey!$B$2:$C$144,2,0)</f>
        <v>dc-QB</v>
      </c>
      <c r="G113" s="110" t="s">
        <v>3200</v>
      </c>
      <c r="H113" s="128">
        <v>0</v>
      </c>
      <c r="I113" s="137" t="s">
        <v>875</v>
      </c>
      <c r="J113" s="17" t="str">
        <f t="shared" si="1"/>
        <v>MAC</v>
      </c>
      <c r="K113" s="17">
        <f>GroupLabels!H113</f>
        <v>0</v>
      </c>
    </row>
    <row r="114" spans="1:11" x14ac:dyDescent="0.25">
      <c r="A114" s="127" t="s">
        <v>3195</v>
      </c>
      <c r="B114" s="128" t="s">
        <v>3201</v>
      </c>
      <c r="C114" s="128" t="s">
        <v>2464</v>
      </c>
      <c r="D114" s="128" t="s">
        <v>3198</v>
      </c>
      <c r="E114" s="128" t="s">
        <v>671</v>
      </c>
      <c r="F114" s="17" t="str">
        <f>VLOOKUP(E114,FakeCodeKey!$B$2:$C$144,2,0)</f>
        <v>dc-DC</v>
      </c>
      <c r="G114" s="128" t="s">
        <v>3202</v>
      </c>
      <c r="H114" s="128">
        <v>1</v>
      </c>
      <c r="I114" s="17" t="str">
        <f>VLOOKUP(C114,CNTlabel!$B:$C,2,FALSE)</f>
        <v>PRT</v>
      </c>
      <c r="J114" s="17" t="str">
        <f t="shared" si="1"/>
        <v>PRT</v>
      </c>
      <c r="K114" s="17">
        <f>GroupLabels!H114</f>
        <v>1</v>
      </c>
    </row>
    <row r="115" spans="1:11" x14ac:dyDescent="0.25">
      <c r="A115" s="127" t="s">
        <v>3203</v>
      </c>
      <c r="B115" s="128" t="s">
        <v>3204</v>
      </c>
      <c r="C115" s="128" t="s">
        <v>1772</v>
      </c>
      <c r="D115" s="128" t="s">
        <v>3205</v>
      </c>
      <c r="E115" s="128" t="s">
        <v>654</v>
      </c>
      <c r="F115" s="17" t="str">
        <f>VLOOKUP(E115,FakeCodeKey!$B$2:$C$144,2,0)</f>
        <v>dw-SB</v>
      </c>
      <c r="G115" s="128" t="s">
        <v>3206</v>
      </c>
      <c r="H115" s="128">
        <v>0</v>
      </c>
      <c r="I115" s="17" t="str">
        <f>VLOOKUP(C115,CNTlabel!$B:$C,2,FALSE)</f>
        <v>MDA</v>
      </c>
      <c r="J115" s="17" t="str">
        <f t="shared" si="1"/>
        <v>MDA</v>
      </c>
      <c r="K115" s="17">
        <f>GroupLabels!H115</f>
        <v>0</v>
      </c>
    </row>
    <row r="116" spans="1:11" x14ac:dyDescent="0.25">
      <c r="A116" s="127" t="s">
        <v>3203</v>
      </c>
      <c r="B116" s="128" t="s">
        <v>3104</v>
      </c>
      <c r="C116" s="128" t="s">
        <v>3105</v>
      </c>
      <c r="D116" s="128" t="s">
        <v>3205</v>
      </c>
      <c r="E116" s="128" t="s">
        <v>675</v>
      </c>
      <c r="F116" s="17" t="str">
        <f>VLOOKUP(E116,FakeCodeKey!$B$2:$C$144,2,0)</f>
        <v>dw-KC</v>
      </c>
      <c r="G116" s="128" t="s">
        <v>3207</v>
      </c>
      <c r="H116" s="128">
        <v>0</v>
      </c>
      <c r="I116" s="17" t="str">
        <f>VLOOKUP(C116,CNTlabel!$B:$C,2,FALSE)</f>
        <v>ROU</v>
      </c>
      <c r="J116" s="17" t="str">
        <f t="shared" si="1"/>
        <v>ROU</v>
      </c>
      <c r="K116" s="17">
        <f>GroupLabels!H116</f>
        <v>0</v>
      </c>
    </row>
    <row r="117" spans="1:11" x14ac:dyDescent="0.25">
      <c r="A117" s="127" t="s">
        <v>3208</v>
      </c>
      <c r="B117" s="128" t="s">
        <v>3067</v>
      </c>
      <c r="C117" s="128" t="s">
        <v>1781</v>
      </c>
      <c r="D117" s="128" t="s">
        <v>3209</v>
      </c>
      <c r="E117" s="128" t="s">
        <v>600</v>
      </c>
      <c r="F117" s="17" t="str">
        <f>VLOOKUP(E117,FakeCodeKey!$B$2:$C$144,2,0)</f>
        <v>kr-UA</v>
      </c>
      <c r="G117" s="128" t="s">
        <v>3210</v>
      </c>
      <c r="H117" s="128">
        <v>1</v>
      </c>
      <c r="I117" s="17" t="str">
        <f>VLOOKUP(C117,CNTlabel!$B:$C,2,FALSE)</f>
        <v>EST</v>
      </c>
      <c r="J117" s="17" t="str">
        <f t="shared" si="1"/>
        <v>EST</v>
      </c>
      <c r="K117" s="17">
        <f>GroupLabels!H117</f>
        <v>1</v>
      </c>
    </row>
    <row r="118" spans="1:11" x14ac:dyDescent="0.25">
      <c r="A118" s="127" t="s">
        <v>3208</v>
      </c>
      <c r="B118" s="128" t="s">
        <v>2917</v>
      </c>
      <c r="C118" s="128" t="s">
        <v>2918</v>
      </c>
      <c r="D118" s="128" t="s">
        <v>3209</v>
      </c>
      <c r="E118" s="128" t="s">
        <v>606</v>
      </c>
      <c r="F118" s="17" t="str">
        <f>VLOOKUP(E118,FakeCodeKey!$B$2:$C$144,2,0)</f>
        <v>kr-XA</v>
      </c>
      <c r="G118" s="128" t="s">
        <v>3211</v>
      </c>
      <c r="H118" s="128">
        <v>0</v>
      </c>
      <c r="I118" s="17" t="str">
        <f>VLOOKUP(C118,CNTlabel!$B:$C,2,FALSE)</f>
        <v>GEO</v>
      </c>
      <c r="J118" s="17" t="str">
        <f t="shared" si="1"/>
        <v>GEO</v>
      </c>
      <c r="K118" s="17">
        <f>GroupLabels!H118</f>
        <v>0</v>
      </c>
    </row>
    <row r="119" spans="1:11" x14ac:dyDescent="0.25">
      <c r="A119" s="127" t="s">
        <v>3208</v>
      </c>
      <c r="B119" s="128" t="s">
        <v>3156</v>
      </c>
      <c r="C119" s="128" t="s">
        <v>3157</v>
      </c>
      <c r="D119" s="128" t="s">
        <v>3209</v>
      </c>
      <c r="E119" s="128" t="s">
        <v>633</v>
      </c>
      <c r="F119" s="17" t="str">
        <f>VLOOKUP(E119,FakeCodeKey!$B$2:$C$144,2,0)</f>
        <v>kr-JB</v>
      </c>
      <c r="G119" s="128" t="s">
        <v>3212</v>
      </c>
      <c r="H119" s="128">
        <v>0</v>
      </c>
      <c r="I119" s="17" t="str">
        <f>VLOOKUP(C119,CNTlabel!$B:$C,2,FALSE)</f>
        <v>KGZ</v>
      </c>
      <c r="J119" s="17" t="str">
        <f t="shared" si="1"/>
        <v>KGZ</v>
      </c>
      <c r="K119" s="17">
        <f>GroupLabels!H119</f>
        <v>0</v>
      </c>
    </row>
    <row r="120" spans="1:11" x14ac:dyDescent="0.25">
      <c r="A120" s="127" t="s">
        <v>3208</v>
      </c>
      <c r="B120" s="128" t="s">
        <v>3138</v>
      </c>
      <c r="C120" s="128" t="s">
        <v>3139</v>
      </c>
      <c r="D120" s="128" t="s">
        <v>3209</v>
      </c>
      <c r="E120" s="128" t="s">
        <v>625</v>
      </c>
      <c r="F120" s="17" t="str">
        <f>VLOOKUP(E120,FakeCodeKey!$B$2:$C$144,2,0)</f>
        <v>kr-IB</v>
      </c>
      <c r="G120" s="128" t="s">
        <v>3213</v>
      </c>
      <c r="H120" s="128">
        <v>0</v>
      </c>
      <c r="I120" s="17" t="str">
        <f>VLOOKUP(C120,CNTlabel!$B:$C,2,FALSE)</f>
        <v>KAZ</v>
      </c>
      <c r="J120" s="17" t="str">
        <f t="shared" si="1"/>
        <v>KAZ</v>
      </c>
      <c r="K120" s="17">
        <f>GroupLabels!H120</f>
        <v>0</v>
      </c>
    </row>
    <row r="121" spans="1:11" x14ac:dyDescent="0.25">
      <c r="A121" s="127" t="s">
        <v>3208</v>
      </c>
      <c r="B121" s="128" t="s">
        <v>3161</v>
      </c>
      <c r="C121" s="128" t="s">
        <v>1800</v>
      </c>
      <c r="D121" s="128" t="s">
        <v>3209</v>
      </c>
      <c r="E121" s="128" t="s">
        <v>640</v>
      </c>
      <c r="F121" s="17" t="str">
        <f>VLOOKUP(E121,FakeCodeKey!$B$2:$C$144,2,0)</f>
        <v>kr-NB</v>
      </c>
      <c r="G121" s="128" t="s">
        <v>3214</v>
      </c>
      <c r="H121" s="128">
        <v>1</v>
      </c>
      <c r="I121" s="17" t="str">
        <f>VLOOKUP(C121,CNTlabel!$B:$C,2,FALSE)</f>
        <v>LTU</v>
      </c>
      <c r="J121" s="17" t="str">
        <f t="shared" si="1"/>
        <v>LTU</v>
      </c>
      <c r="K121" s="17">
        <f>GroupLabels!H121</f>
        <v>1</v>
      </c>
    </row>
    <row r="122" spans="1:11" x14ac:dyDescent="0.25">
      <c r="A122" s="127" t="s">
        <v>3208</v>
      </c>
      <c r="B122" s="128" t="s">
        <v>3204</v>
      </c>
      <c r="C122" s="128" t="s">
        <v>1772</v>
      </c>
      <c r="D122" s="128" t="s">
        <v>3209</v>
      </c>
      <c r="E122" s="128" t="s">
        <v>655</v>
      </c>
      <c r="F122" s="17" t="str">
        <f>VLOOKUP(E122,FakeCodeKey!$B$2:$C$144,2,0)</f>
        <v>kr-SB</v>
      </c>
      <c r="G122" s="128" t="s">
        <v>3215</v>
      </c>
      <c r="H122" s="128">
        <v>0</v>
      </c>
      <c r="I122" s="17" t="str">
        <f>VLOOKUP(C122,CNTlabel!$B:$C,2,FALSE)</f>
        <v>MDA</v>
      </c>
      <c r="J122" s="17" t="str">
        <f t="shared" si="1"/>
        <v>MDA</v>
      </c>
      <c r="K122" s="17">
        <f>GroupLabels!H122</f>
        <v>0</v>
      </c>
    </row>
    <row r="123" spans="1:11" x14ac:dyDescent="0.25">
      <c r="A123" s="127" t="s">
        <v>3208</v>
      </c>
      <c r="B123" s="128" t="s">
        <v>2921</v>
      </c>
      <c r="C123" s="128" t="s">
        <v>2922</v>
      </c>
      <c r="D123" s="128" t="s">
        <v>3209</v>
      </c>
      <c r="E123" s="128" t="s">
        <v>573</v>
      </c>
      <c r="F123" s="17" t="str">
        <f>VLOOKUP(E123,FakeCodeKey!$B$2:$C$144,2,0)</f>
        <v>kr-EA</v>
      </c>
      <c r="G123" s="128" t="s">
        <v>3216</v>
      </c>
      <c r="H123" s="128">
        <v>0</v>
      </c>
      <c r="I123" s="17" t="str">
        <f>VLOOKUP(C123,CNTlabel!$B:$C,2,FALSE)</f>
        <v>AZE</v>
      </c>
      <c r="J123" s="17" t="str">
        <f t="shared" si="1"/>
        <v>AZE</v>
      </c>
      <c r="K123" s="17">
        <f>GroupLabels!H123</f>
        <v>0</v>
      </c>
    </row>
    <row r="124" spans="1:11" x14ac:dyDescent="0.25">
      <c r="A124" s="127" t="s">
        <v>3208</v>
      </c>
      <c r="B124" s="128" t="s">
        <v>3217</v>
      </c>
      <c r="C124" s="128" t="s">
        <v>3218</v>
      </c>
      <c r="D124" s="128" t="s">
        <v>3209</v>
      </c>
      <c r="E124" s="128" t="s">
        <v>595</v>
      </c>
      <c r="F124" s="17" t="str">
        <f>VLOOKUP(E124,FakeCodeKey!$B$2:$C$144,2,0)</f>
        <v>kr-FP</v>
      </c>
      <c r="G124" s="110" t="s">
        <v>752</v>
      </c>
      <c r="H124" s="128">
        <v>0</v>
      </c>
      <c r="I124" s="137" t="s">
        <v>869</v>
      </c>
      <c r="J124" s="17" t="str">
        <f t="shared" si="1"/>
        <v>QTJ</v>
      </c>
      <c r="K124" s="17">
        <f>GroupLabels!H124</f>
        <v>0</v>
      </c>
    </row>
    <row r="125" spans="1:11" x14ac:dyDescent="0.25">
      <c r="A125" s="127" t="s">
        <v>3208</v>
      </c>
      <c r="B125" s="128" t="s">
        <v>3131</v>
      </c>
      <c r="C125" s="128" t="s">
        <v>1801</v>
      </c>
      <c r="D125" s="128" t="s">
        <v>3209</v>
      </c>
      <c r="E125" s="128" t="s">
        <v>705</v>
      </c>
      <c r="F125" s="17" t="str">
        <f>VLOOKUP(E125,FakeCodeKey!$B$2:$C$144,2,0)</f>
        <v>kr-TC</v>
      </c>
      <c r="G125" s="128" t="s">
        <v>3219</v>
      </c>
      <c r="H125" s="128">
        <v>0</v>
      </c>
      <c r="I125" s="17" t="str">
        <f>VLOOKUP(C125,CNTlabel!$B:$C,2,FALSE)</f>
        <v>UZB</v>
      </c>
      <c r="J125" s="17" t="str">
        <f t="shared" si="1"/>
        <v>UZB</v>
      </c>
      <c r="K125" s="17">
        <f>GroupLabels!H125</f>
        <v>0</v>
      </c>
    </row>
    <row r="126" spans="1:11" x14ac:dyDescent="0.25">
      <c r="A126" s="127" t="s">
        <v>3220</v>
      </c>
      <c r="B126" s="128" t="s">
        <v>3107</v>
      </c>
      <c r="C126" s="128" t="s">
        <v>1798</v>
      </c>
      <c r="D126" s="128" t="s">
        <v>3221</v>
      </c>
      <c r="E126" s="128" t="s">
        <v>682</v>
      </c>
      <c r="F126" s="17" t="str">
        <f>VLOOKUP(E126,FakeCodeKey!$B$2:$C$144,2,0)</f>
        <v>uh-NC</v>
      </c>
      <c r="G126" s="128" t="s">
        <v>3222</v>
      </c>
      <c r="H126" s="128">
        <v>1</v>
      </c>
      <c r="I126" s="17" t="str">
        <f>VLOOKUP(C126,CNTlabel!$B:$C,2,FALSE)</f>
        <v>SVK</v>
      </c>
      <c r="J126" s="17" t="str">
        <f t="shared" si="1"/>
        <v>SVK</v>
      </c>
      <c r="K126" s="17">
        <f>GroupLabels!H126</f>
        <v>1</v>
      </c>
    </row>
    <row r="127" spans="1:11" x14ac:dyDescent="0.25">
      <c r="A127" s="127" t="s">
        <v>3223</v>
      </c>
      <c r="B127" s="128" t="s">
        <v>3224</v>
      </c>
      <c r="C127" s="128" t="s">
        <v>3225</v>
      </c>
      <c r="D127" s="128" t="s">
        <v>3226</v>
      </c>
      <c r="E127" s="128" t="s">
        <v>683</v>
      </c>
      <c r="F127" s="17" t="str">
        <f>VLOOKUP(E127,FakeCodeKey!$B$2:$C$144,2,0)</f>
        <v>wb-OC</v>
      </c>
      <c r="G127" s="128" t="s">
        <v>3227</v>
      </c>
      <c r="H127" s="128">
        <v>1</v>
      </c>
      <c r="I127" s="17" t="str">
        <f>VLOOKUP(C127,CNTlabel!$B:$C,2,FALSE)</f>
        <v>SVN</v>
      </c>
      <c r="J127" s="17" t="str">
        <f t="shared" si="1"/>
        <v>SVN</v>
      </c>
      <c r="K127" s="17">
        <f>GroupLabels!H127</f>
        <v>1</v>
      </c>
    </row>
    <row r="128" spans="1:11" x14ac:dyDescent="0.25">
      <c r="A128" s="127" t="s">
        <v>3228</v>
      </c>
      <c r="B128" s="128" t="s">
        <v>3229</v>
      </c>
      <c r="C128" s="128" t="s">
        <v>3230</v>
      </c>
      <c r="D128" s="128" t="s">
        <v>3231</v>
      </c>
      <c r="E128" s="128" t="s">
        <v>567</v>
      </c>
      <c r="F128" s="17" t="str">
        <f>VLOOKUP(E128,FakeCodeKey!$B$2:$C$144,2,0)</f>
        <v>tn-AA</v>
      </c>
      <c r="G128" s="128" t="s">
        <v>3232</v>
      </c>
      <c r="H128" s="128">
        <v>0</v>
      </c>
      <c r="I128" s="17" t="str">
        <f>VLOOKUP(C128,CNTlabel!$B:$C,2,FALSE)</f>
        <v>ALB</v>
      </c>
      <c r="J128" s="17" t="str">
        <f t="shared" si="1"/>
        <v>ALB</v>
      </c>
      <c r="K128" s="17">
        <f>GroupLabels!H128</f>
        <v>0</v>
      </c>
    </row>
    <row r="129" spans="1:11" x14ac:dyDescent="0.25">
      <c r="A129" s="127" t="s">
        <v>3228</v>
      </c>
      <c r="B129" s="128" t="s">
        <v>2939</v>
      </c>
      <c r="C129" s="128" t="s">
        <v>1795</v>
      </c>
      <c r="D129" s="128" t="s">
        <v>3231</v>
      </c>
      <c r="E129" s="128" t="s">
        <v>658</v>
      </c>
      <c r="F129" s="17" t="str">
        <f>VLOOKUP(E129,FakeCodeKey!$B$2:$C$144,2,0)</f>
        <v>tn-WB</v>
      </c>
      <c r="G129" s="128" t="s">
        <v>3233</v>
      </c>
      <c r="H129" s="128">
        <v>0</v>
      </c>
      <c r="I129" s="17" t="str">
        <f>VLOOKUP(C129,CNTlabel!$B:$C,2,FALSE)</f>
        <v>MNE</v>
      </c>
      <c r="J129" s="17" t="str">
        <f t="shared" si="1"/>
        <v>MNE</v>
      </c>
      <c r="K129" s="17">
        <f>GroupLabels!H129</f>
        <v>0</v>
      </c>
    </row>
    <row r="130" spans="1:11" x14ac:dyDescent="0.25">
      <c r="A130" s="127" t="s">
        <v>3228</v>
      </c>
      <c r="B130" s="128" t="s">
        <v>3169</v>
      </c>
      <c r="C130" s="128" t="s">
        <v>3170</v>
      </c>
      <c r="D130" s="128" t="s">
        <v>3231</v>
      </c>
      <c r="E130" s="128" t="s">
        <v>647</v>
      </c>
      <c r="F130" s="17" t="str">
        <f>VLOOKUP(E130,FakeCodeKey!$B$2:$C$144,2,0)</f>
        <v>tn-UB</v>
      </c>
      <c r="G130" s="128" t="s">
        <v>3234</v>
      </c>
      <c r="H130" s="128">
        <v>0</v>
      </c>
      <c r="I130" s="137" t="s">
        <v>738</v>
      </c>
      <c r="J130" s="17" t="str">
        <f t="shared" si="1"/>
        <v>MKD</v>
      </c>
      <c r="K130" s="17">
        <f>GroupLabels!H130</f>
        <v>0</v>
      </c>
    </row>
    <row r="131" spans="1:11" x14ac:dyDescent="0.25">
      <c r="A131" s="127" t="s">
        <v>3228</v>
      </c>
      <c r="B131" s="128" t="s">
        <v>3235</v>
      </c>
      <c r="C131" s="128" t="s">
        <v>1792</v>
      </c>
      <c r="D131" s="128" t="s">
        <v>3231</v>
      </c>
      <c r="E131" s="128" t="s">
        <v>628</v>
      </c>
      <c r="F131" s="17" t="str">
        <f>VLOOKUP(E131,FakeCodeKey!$B$2:$C$144,2,0)</f>
        <v>tn-LB</v>
      </c>
      <c r="G131" s="110" t="s">
        <v>3236</v>
      </c>
      <c r="H131" s="128">
        <v>0</v>
      </c>
      <c r="I131" s="17" t="e">
        <f>VLOOKUP(C131,CNTlabel!$B:$C,2,FALSE)</f>
        <v>#N/A</v>
      </c>
      <c r="J131" s="17" t="e">
        <f t="shared" ref="J131:J145" si="2">I131</f>
        <v>#N/A</v>
      </c>
      <c r="K131" s="17">
        <f>GroupLabels!H131</f>
        <v>0</v>
      </c>
    </row>
    <row r="132" spans="1:11" x14ac:dyDescent="0.25">
      <c r="A132" s="127" t="s">
        <v>3237</v>
      </c>
      <c r="B132" s="128" t="s">
        <v>3238</v>
      </c>
      <c r="C132" s="128" t="s">
        <v>3239</v>
      </c>
      <c r="D132" s="128" t="s">
        <v>3240</v>
      </c>
      <c r="E132" s="128" t="s">
        <v>679</v>
      </c>
      <c r="F132" s="17" t="str">
        <f>VLOOKUP(E132,FakeCodeKey!$B$2:$C$144,2,0)</f>
        <v>bs-LZ</v>
      </c>
      <c r="G132" s="128" t="s">
        <v>3241</v>
      </c>
      <c r="H132" s="128">
        <v>0</v>
      </c>
      <c r="I132" s="17" t="str">
        <f>VLOOKUP(C132,CNTlabel!$B:$C,2,FALSE)</f>
        <v>SRB</v>
      </c>
      <c r="J132" s="17" t="str">
        <f t="shared" si="2"/>
        <v>SRB</v>
      </c>
      <c r="K132" s="17">
        <f>GroupLabels!H132</f>
        <v>0</v>
      </c>
    </row>
    <row r="133" spans="1:11" x14ac:dyDescent="0.25">
      <c r="A133" s="127" t="s">
        <v>3242</v>
      </c>
      <c r="B133" s="128" t="s">
        <v>3074</v>
      </c>
      <c r="C133" s="128" t="s">
        <v>1782</v>
      </c>
      <c r="D133" s="128" t="s">
        <v>3243</v>
      </c>
      <c r="E133" s="128" t="s">
        <v>602</v>
      </c>
      <c r="F133" s="17" t="str">
        <f>VLOOKUP(E133,FakeCodeKey!$B$2:$C$144,2,0)</f>
        <v>rd-VA</v>
      </c>
      <c r="G133" s="128" t="s">
        <v>3244</v>
      </c>
      <c r="H133" s="128">
        <v>1</v>
      </c>
      <c r="I133" s="17" t="str">
        <f>VLOOKUP(C133,CNTlabel!$B:$C,2,FALSE)</f>
        <v>FIN</v>
      </c>
      <c r="J133" s="17" t="str">
        <f t="shared" si="2"/>
        <v>FIN</v>
      </c>
      <c r="K133" s="17">
        <f>GroupLabels!H133</f>
        <v>1</v>
      </c>
    </row>
    <row r="134" spans="1:11" x14ac:dyDescent="0.25">
      <c r="A134" s="127" t="s">
        <v>3242</v>
      </c>
      <c r="B134" s="128" t="s">
        <v>3245</v>
      </c>
      <c r="C134" s="128" t="s">
        <v>2465</v>
      </c>
      <c r="D134" s="128" t="s">
        <v>3243</v>
      </c>
      <c r="E134" s="128" t="s">
        <v>689</v>
      </c>
      <c r="F134" s="17" t="str">
        <f>VLOOKUP(E134,FakeCodeKey!$B$2:$C$144,2,0)</f>
        <v>rd-PC</v>
      </c>
      <c r="G134" s="128" t="s">
        <v>762</v>
      </c>
      <c r="H134" s="128">
        <v>1</v>
      </c>
      <c r="I134" s="17" t="str">
        <f>VLOOKUP(C134,CNTlabel!$B:$C,2,FALSE)</f>
        <v>SWE</v>
      </c>
      <c r="J134" s="17" t="str">
        <f t="shared" si="2"/>
        <v>SWE</v>
      </c>
      <c r="K134" s="17">
        <f>GroupLabels!H134</f>
        <v>1</v>
      </c>
    </row>
    <row r="135" spans="1:11" x14ac:dyDescent="0.25">
      <c r="A135" s="127" t="s">
        <v>3246</v>
      </c>
      <c r="B135" s="128" t="s">
        <v>3217</v>
      </c>
      <c r="C135" s="128" t="s">
        <v>3218</v>
      </c>
      <c r="D135" s="128" t="s">
        <v>3247</v>
      </c>
      <c r="E135" s="128" t="s">
        <v>596</v>
      </c>
      <c r="F135" s="17" t="str">
        <f>VLOOKUP(E135,FakeCodeKey!$B$2:$C$144,2,0)</f>
        <v>la-FP</v>
      </c>
      <c r="G135" s="110" t="s">
        <v>753</v>
      </c>
      <c r="H135" s="128">
        <v>0</v>
      </c>
      <c r="I135" s="137" t="s">
        <v>869</v>
      </c>
      <c r="J135" s="17" t="str">
        <f t="shared" si="2"/>
        <v>QTJ</v>
      </c>
      <c r="K135" s="17">
        <f>GroupLabels!H135</f>
        <v>0</v>
      </c>
    </row>
    <row r="136" spans="1:11" x14ac:dyDescent="0.25">
      <c r="A136" s="127" t="s">
        <v>3248</v>
      </c>
      <c r="B136" s="128" t="s">
        <v>3249</v>
      </c>
      <c r="C136" s="128" t="s">
        <v>3250</v>
      </c>
      <c r="D136" s="128" t="s">
        <v>3251</v>
      </c>
      <c r="E136" s="128" t="s">
        <v>694</v>
      </c>
      <c r="F136" s="17" t="str">
        <f>VLOOKUP(E136,FakeCodeKey!$B$2:$C$144,2,0)</f>
        <v>uv-CC</v>
      </c>
      <c r="G136" s="128" t="s">
        <v>3252</v>
      </c>
      <c r="H136" s="128">
        <v>0</v>
      </c>
      <c r="I136" s="17" t="str">
        <f>VLOOKUP(C136,CNTlabel!$B:$C,2,FALSE)</f>
        <v>THA</v>
      </c>
      <c r="J136" s="17" t="str">
        <f t="shared" si="2"/>
        <v>THA</v>
      </c>
      <c r="K136" s="17">
        <f>GroupLabels!H136</f>
        <v>0</v>
      </c>
    </row>
    <row r="137" spans="1:11" x14ac:dyDescent="0.25">
      <c r="A137" s="127" t="s">
        <v>3253</v>
      </c>
      <c r="B137" s="128" t="s">
        <v>3254</v>
      </c>
      <c r="C137" s="128" t="s">
        <v>3255</v>
      </c>
      <c r="D137" s="128" t="s">
        <v>3256</v>
      </c>
      <c r="E137" s="128" t="s">
        <v>695</v>
      </c>
      <c r="F137" s="17" t="str">
        <f>VLOOKUP(E137,FakeCodeKey!$B$2:$C$144,2,0)</f>
        <v>lc-RC</v>
      </c>
      <c r="G137" s="128" t="s">
        <v>3257</v>
      </c>
      <c r="H137" s="128">
        <v>1</v>
      </c>
      <c r="I137" s="137" t="s">
        <v>892</v>
      </c>
      <c r="J137" s="17" t="str">
        <f t="shared" si="2"/>
        <v>TUR</v>
      </c>
      <c r="K137" s="17">
        <f>GroupLabels!H137</f>
        <v>1</v>
      </c>
    </row>
    <row r="138" spans="1:11" x14ac:dyDescent="0.25">
      <c r="A138" s="127" t="s">
        <v>3258</v>
      </c>
      <c r="B138" s="128" t="s">
        <v>3259</v>
      </c>
      <c r="C138" s="128" t="s">
        <v>3260</v>
      </c>
      <c r="D138" s="128" t="s">
        <v>3261</v>
      </c>
      <c r="E138" s="128" t="s">
        <v>696</v>
      </c>
      <c r="F138" s="17" t="str">
        <f>VLOOKUP(E138,FakeCodeKey!$B$2:$C$144,2,0)</f>
        <v>au-SC</v>
      </c>
      <c r="G138" s="110" t="s">
        <v>3262</v>
      </c>
      <c r="H138" s="128">
        <v>0</v>
      </c>
      <c r="I138" s="137" t="s">
        <v>3263</v>
      </c>
      <c r="J138" s="137" t="s">
        <v>745</v>
      </c>
      <c r="K138" s="17">
        <f>GroupLabels!H138</f>
        <v>0</v>
      </c>
    </row>
    <row r="139" spans="1:11" x14ac:dyDescent="0.25">
      <c r="A139" s="127" t="s">
        <v>3264</v>
      </c>
      <c r="B139" s="128" t="s">
        <v>3156</v>
      </c>
      <c r="C139" s="128" t="s">
        <v>3157</v>
      </c>
      <c r="D139" s="128" t="s">
        <v>3265</v>
      </c>
      <c r="E139" s="128" t="s">
        <v>634</v>
      </c>
      <c r="F139" s="17" t="str">
        <f>VLOOKUP(E139,FakeCodeKey!$B$2:$C$144,2,0)</f>
        <v>dg-JB</v>
      </c>
      <c r="G139" s="110" t="s">
        <v>3266</v>
      </c>
      <c r="H139" s="128">
        <v>0</v>
      </c>
      <c r="I139" s="17" t="str">
        <f>VLOOKUP(C139,CNTlabel!$B:$C,2,FALSE)</f>
        <v>KGZ</v>
      </c>
      <c r="J139" s="17" t="str">
        <f t="shared" si="2"/>
        <v>KGZ</v>
      </c>
      <c r="K139" s="17">
        <f>GroupLabels!H139</f>
        <v>0</v>
      </c>
    </row>
    <row r="140" spans="1:11" x14ac:dyDescent="0.25">
      <c r="A140" s="127" t="s">
        <v>3264</v>
      </c>
      <c r="B140" s="128" t="s">
        <v>3131</v>
      </c>
      <c r="C140" s="128" t="s">
        <v>1801</v>
      </c>
      <c r="D140" s="128" t="s">
        <v>3265</v>
      </c>
      <c r="E140" s="128" t="s">
        <v>706</v>
      </c>
      <c r="F140" s="17" t="str">
        <f>VLOOKUP(E140,FakeCodeKey!$B$2:$C$144,2,0)</f>
        <v>dg-TC</v>
      </c>
      <c r="G140" s="110" t="s">
        <v>3267</v>
      </c>
      <c r="H140" s="128">
        <v>0</v>
      </c>
      <c r="I140" s="17" t="str">
        <f>VLOOKUP(C140,CNTlabel!$B:$C,2,FALSE)</f>
        <v>UZB</v>
      </c>
      <c r="J140" s="17" t="str">
        <f t="shared" si="2"/>
        <v>UZB</v>
      </c>
      <c r="K140" s="17">
        <f>GroupLabels!H140</f>
        <v>0</v>
      </c>
    </row>
    <row r="141" spans="1:11" x14ac:dyDescent="0.25">
      <c r="A141" s="127" t="s">
        <v>3268</v>
      </c>
      <c r="B141" s="128" t="s">
        <v>3269</v>
      </c>
      <c r="C141" s="128" t="s">
        <v>3270</v>
      </c>
      <c r="D141" s="128" t="s">
        <v>3271</v>
      </c>
      <c r="E141" s="128" t="s">
        <v>707</v>
      </c>
      <c r="F141" s="17" t="str">
        <f>VLOOKUP(E141,FakeCodeKey!$B$2:$C$144,2,0)</f>
        <v>ur-UC</v>
      </c>
      <c r="G141" s="128" t="s">
        <v>3272</v>
      </c>
      <c r="H141" s="128">
        <v>0</v>
      </c>
      <c r="I141" s="17" t="str">
        <f>VLOOKUP(C141,CNTlabel!$B:$C,2,FALSE)</f>
        <v>VNM</v>
      </c>
      <c r="J141" s="17" t="str">
        <f t="shared" si="2"/>
        <v>VNM</v>
      </c>
      <c r="K141" s="17">
        <f>GroupLabels!H141</f>
        <v>0</v>
      </c>
    </row>
    <row r="142" spans="1:11" x14ac:dyDescent="0.25">
      <c r="A142" s="127" t="s">
        <v>3273</v>
      </c>
      <c r="B142" s="128" t="s">
        <v>3274</v>
      </c>
      <c r="C142" s="128" t="s">
        <v>3275</v>
      </c>
      <c r="D142" s="128" t="s">
        <v>3276</v>
      </c>
      <c r="E142" s="128" t="s">
        <v>579</v>
      </c>
      <c r="F142" s="17" t="str">
        <f>VLOOKUP(E142,FakeCodeKey!$B$2:$C$144,2,0)</f>
        <v>yh-KA</v>
      </c>
      <c r="G142" s="110" t="s">
        <v>3277</v>
      </c>
      <c r="H142" s="128">
        <v>0</v>
      </c>
      <c r="I142" s="137" t="s">
        <v>2661</v>
      </c>
      <c r="J142" s="137" t="s">
        <v>860</v>
      </c>
      <c r="K142" s="17">
        <f>GroupLabels!H142</f>
        <v>0</v>
      </c>
    </row>
    <row r="143" spans="1:11" x14ac:dyDescent="0.25">
      <c r="A143" s="127" t="s">
        <v>3273</v>
      </c>
      <c r="B143" s="128" t="s">
        <v>2991</v>
      </c>
      <c r="C143" s="128" t="s">
        <v>2992</v>
      </c>
      <c r="D143" s="128" t="s">
        <v>3276</v>
      </c>
      <c r="E143" s="128" t="s">
        <v>610</v>
      </c>
      <c r="F143" s="17" t="str">
        <f>VLOOKUP(E143,FakeCodeKey!$B$2:$C$144,2,0)</f>
        <v>yh-ZA</v>
      </c>
      <c r="G143" s="110" t="s">
        <v>3278</v>
      </c>
      <c r="H143" s="128">
        <v>0</v>
      </c>
      <c r="I143" s="137" t="s">
        <v>871</v>
      </c>
      <c r="J143" s="17" t="str">
        <f t="shared" si="2"/>
        <v>HKG</v>
      </c>
      <c r="K143" s="17">
        <f>GroupLabels!H143</f>
        <v>0</v>
      </c>
    </row>
    <row r="144" spans="1:11" x14ac:dyDescent="0.25">
      <c r="A144" s="127" t="s">
        <v>3273</v>
      </c>
      <c r="B144" s="128" t="s">
        <v>3005</v>
      </c>
      <c r="C144" s="128" t="s">
        <v>3006</v>
      </c>
      <c r="D144" s="128" t="s">
        <v>3276</v>
      </c>
      <c r="E144" s="128" t="s">
        <v>646</v>
      </c>
      <c r="F144" s="17" t="str">
        <f>VLOOKUP(E144,FakeCodeKey!$B$2:$C$144,2,0)</f>
        <v>yh-QB</v>
      </c>
      <c r="G144" s="110" t="s">
        <v>3279</v>
      </c>
      <c r="H144" s="128">
        <v>0</v>
      </c>
      <c r="I144" s="137" t="s">
        <v>875</v>
      </c>
      <c r="J144" s="17" t="str">
        <f t="shared" si="2"/>
        <v>MAC</v>
      </c>
      <c r="K144" s="17">
        <f>GroupLabels!H144</f>
        <v>0</v>
      </c>
    </row>
    <row r="145" spans="1:11" x14ac:dyDescent="0.25">
      <c r="A145" s="129" t="s">
        <v>3273</v>
      </c>
      <c r="B145" s="130" t="s">
        <v>3280</v>
      </c>
      <c r="C145" s="130" t="s">
        <v>3281</v>
      </c>
      <c r="D145" s="130" t="s">
        <v>3276</v>
      </c>
      <c r="E145" s="130" t="s">
        <v>693</v>
      </c>
      <c r="F145" s="17" t="str">
        <f>VLOOKUP(E145,FakeCodeKey!$B$2:$C$144,2,0)</f>
        <v>yh-QC</v>
      </c>
      <c r="G145" s="131" t="s">
        <v>3282</v>
      </c>
      <c r="H145" s="130">
        <v>0</v>
      </c>
      <c r="I145" s="17" t="str">
        <f>VLOOKUP(C145,CNTlabel!$B:$C,2,FALSE)</f>
        <v>TAP</v>
      </c>
      <c r="J145" s="17" t="str">
        <f t="shared" si="2"/>
        <v>TAP</v>
      </c>
      <c r="K145" s="17">
        <f>GroupLabels!H145</f>
        <v>0</v>
      </c>
    </row>
  </sheetData>
  <sheetProtection formatColumns="0" formatRows="0"/>
  <autoFilter ref="A1:K145" xr:uid="{00000000-0001-0000-A600-000000000000}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3"/>
  <dimension ref="A1:C96"/>
  <sheetViews>
    <sheetView topLeftCell="A49" workbookViewId="0">
      <selection activeCell="G66" sqref="G66"/>
    </sheetView>
  </sheetViews>
  <sheetFormatPr defaultColWidth="8.7109375" defaultRowHeight="15" x14ac:dyDescent="0.25"/>
  <cols>
    <col min="2" max="2" width="30" customWidth="1"/>
  </cols>
  <sheetData>
    <row r="1" spans="1:3" x14ac:dyDescent="0.25">
      <c r="A1" s="33" t="s">
        <v>747</v>
      </c>
      <c r="B1" s="136" t="s">
        <v>3230</v>
      </c>
      <c r="C1" t="str">
        <f>A1</f>
        <v>ALB</v>
      </c>
    </row>
    <row r="2" spans="1:3" x14ac:dyDescent="0.25">
      <c r="A2" s="33" t="s">
        <v>2658</v>
      </c>
      <c r="B2" s="33" t="s">
        <v>2893</v>
      </c>
      <c r="C2" t="str">
        <f t="shared" ref="C2:C65" si="0">A2</f>
        <v>ARE</v>
      </c>
    </row>
    <row r="3" spans="1:3" x14ac:dyDescent="0.25">
      <c r="A3" s="33" t="s">
        <v>2730</v>
      </c>
      <c r="B3" s="33" t="s">
        <v>3032</v>
      </c>
      <c r="C3" t="str">
        <f t="shared" si="0"/>
        <v>ARG</v>
      </c>
    </row>
    <row r="4" spans="1:3" x14ac:dyDescent="0.25">
      <c r="A4" s="33" t="s">
        <v>2751</v>
      </c>
      <c r="B4" s="33" t="s">
        <v>3111</v>
      </c>
      <c r="C4" t="str">
        <f t="shared" si="0"/>
        <v>ARM</v>
      </c>
    </row>
    <row r="5" spans="1:3" x14ac:dyDescent="0.25">
      <c r="A5" s="33" t="s">
        <v>716</v>
      </c>
      <c r="B5" s="33" t="s">
        <v>2981</v>
      </c>
      <c r="C5" t="str">
        <f t="shared" si="0"/>
        <v>AUS</v>
      </c>
    </row>
    <row r="6" spans="1:3" x14ac:dyDescent="0.25">
      <c r="A6" s="33" t="s">
        <v>717</v>
      </c>
      <c r="B6" s="33" t="s">
        <v>2958</v>
      </c>
      <c r="C6" t="str">
        <f t="shared" si="0"/>
        <v>AUT</v>
      </c>
    </row>
    <row r="7" spans="1:3" x14ac:dyDescent="0.25">
      <c r="A7" s="33" t="s">
        <v>859</v>
      </c>
      <c r="B7" s="33" t="s">
        <v>2922</v>
      </c>
      <c r="C7" t="str">
        <f t="shared" si="0"/>
        <v>AZE</v>
      </c>
    </row>
    <row r="8" spans="1:3" x14ac:dyDescent="0.25">
      <c r="A8" s="33" t="s">
        <v>718</v>
      </c>
      <c r="B8" s="33" t="s">
        <v>2962</v>
      </c>
      <c r="C8" t="str">
        <f t="shared" si="0"/>
        <v>BEL</v>
      </c>
    </row>
    <row r="9" spans="1:3" x14ac:dyDescent="0.25">
      <c r="A9" s="33" t="s">
        <v>3283</v>
      </c>
      <c r="B9" s="33" t="s">
        <v>2926</v>
      </c>
      <c r="C9" t="str">
        <f t="shared" si="0"/>
        <v>BGR</v>
      </c>
    </row>
    <row r="10" spans="1:3" x14ac:dyDescent="0.25">
      <c r="A10" s="33" t="s">
        <v>748</v>
      </c>
      <c r="B10" s="33" t="s">
        <v>3197</v>
      </c>
      <c r="C10" t="str">
        <f t="shared" si="0"/>
        <v>BRA</v>
      </c>
    </row>
    <row r="11" spans="1:3" x14ac:dyDescent="0.25">
      <c r="A11" s="33" t="s">
        <v>863</v>
      </c>
      <c r="B11" s="33" t="s">
        <v>1778</v>
      </c>
      <c r="C11" t="str">
        <f t="shared" si="0"/>
        <v>BRN</v>
      </c>
    </row>
    <row r="12" spans="1:3" x14ac:dyDescent="0.25">
      <c r="A12" s="33" t="s">
        <v>864</v>
      </c>
      <c r="B12" s="33" t="s">
        <v>2987</v>
      </c>
      <c r="C12" t="str">
        <f t="shared" si="0"/>
        <v>CAN</v>
      </c>
    </row>
    <row r="13" spans="1:3" x14ac:dyDescent="0.25">
      <c r="A13" s="33" t="s">
        <v>744</v>
      </c>
      <c r="B13" s="33" t="s">
        <v>1787</v>
      </c>
      <c r="C13" t="str">
        <f t="shared" si="0"/>
        <v>CHE</v>
      </c>
    </row>
    <row r="14" spans="1:3" x14ac:dyDescent="0.25">
      <c r="A14" s="33" t="s">
        <v>865</v>
      </c>
      <c r="B14" s="33" t="s">
        <v>3036</v>
      </c>
      <c r="C14" t="str">
        <f t="shared" si="0"/>
        <v>CHL</v>
      </c>
    </row>
    <row r="15" spans="1:3" x14ac:dyDescent="0.25">
      <c r="A15" s="33" t="s">
        <v>866</v>
      </c>
      <c r="B15" s="33" t="s">
        <v>3039</v>
      </c>
      <c r="C15" t="str">
        <f t="shared" si="0"/>
        <v>COL</v>
      </c>
    </row>
    <row r="16" spans="1:3" x14ac:dyDescent="0.25">
      <c r="A16" s="33" t="s">
        <v>3284</v>
      </c>
      <c r="B16" s="33" t="s">
        <v>1767</v>
      </c>
      <c r="C16" t="str">
        <f t="shared" si="0"/>
        <v>CRI</v>
      </c>
    </row>
    <row r="17" spans="1:3" x14ac:dyDescent="0.25">
      <c r="A17" s="33" t="s">
        <v>720</v>
      </c>
      <c r="B17" s="33" t="s">
        <v>2463</v>
      </c>
      <c r="C17" t="str">
        <f t="shared" si="0"/>
        <v>CZE</v>
      </c>
    </row>
    <row r="18" spans="1:3" x14ac:dyDescent="0.25">
      <c r="A18" s="33" t="s">
        <v>726</v>
      </c>
      <c r="B18" s="33" t="s">
        <v>1789</v>
      </c>
      <c r="C18" t="str">
        <f t="shared" si="0"/>
        <v>DEU</v>
      </c>
    </row>
    <row r="19" spans="1:3" x14ac:dyDescent="0.25">
      <c r="A19" s="33" t="s">
        <v>721</v>
      </c>
      <c r="B19" s="33" t="s">
        <v>1780</v>
      </c>
      <c r="C19" t="str">
        <f t="shared" si="0"/>
        <v>DNK</v>
      </c>
    </row>
    <row r="20" spans="1:3" x14ac:dyDescent="0.25">
      <c r="A20" s="33" t="s">
        <v>868</v>
      </c>
      <c r="B20" s="33" t="s">
        <v>3043</v>
      </c>
      <c r="C20" t="str">
        <f t="shared" si="0"/>
        <v>DOM</v>
      </c>
    </row>
    <row r="21" spans="1:3" x14ac:dyDescent="0.25">
      <c r="A21" s="33" t="s">
        <v>870</v>
      </c>
      <c r="B21" s="33" t="s">
        <v>1802</v>
      </c>
      <c r="C21" t="str">
        <f t="shared" si="0"/>
        <v>ECU</v>
      </c>
    </row>
    <row r="22" spans="1:3" x14ac:dyDescent="0.25">
      <c r="A22" s="33" t="s">
        <v>890</v>
      </c>
      <c r="B22" s="33" t="s">
        <v>1786</v>
      </c>
      <c r="C22" t="str">
        <f t="shared" si="0"/>
        <v>ESP</v>
      </c>
    </row>
    <row r="23" spans="1:3" x14ac:dyDescent="0.25">
      <c r="A23" s="33" t="s">
        <v>723</v>
      </c>
      <c r="B23" s="33" t="s">
        <v>1781</v>
      </c>
      <c r="C23" t="str">
        <f t="shared" si="0"/>
        <v>EST</v>
      </c>
    </row>
    <row r="24" spans="1:3" x14ac:dyDescent="0.25">
      <c r="A24" s="33" t="s">
        <v>724</v>
      </c>
      <c r="B24" s="33" t="s">
        <v>1782</v>
      </c>
      <c r="C24" t="str">
        <f t="shared" si="0"/>
        <v>FIN</v>
      </c>
    </row>
    <row r="25" spans="1:3" x14ac:dyDescent="0.25">
      <c r="A25" s="33" t="s">
        <v>725</v>
      </c>
      <c r="B25" s="33" t="s">
        <v>1768</v>
      </c>
      <c r="C25" t="str">
        <f t="shared" si="0"/>
        <v>FRA</v>
      </c>
    </row>
    <row r="26" spans="1:3" x14ac:dyDescent="0.25">
      <c r="A26" s="33" t="s">
        <v>746</v>
      </c>
      <c r="B26" s="33" t="s">
        <v>2949</v>
      </c>
      <c r="C26" t="str">
        <f t="shared" si="0"/>
        <v>GBR</v>
      </c>
    </row>
    <row r="27" spans="1:3" x14ac:dyDescent="0.25">
      <c r="A27" s="33" t="s">
        <v>3285</v>
      </c>
      <c r="B27" s="33" t="s">
        <v>2918</v>
      </c>
      <c r="C27" t="str">
        <f t="shared" si="0"/>
        <v>GEO</v>
      </c>
    </row>
    <row r="28" spans="1:3" x14ac:dyDescent="0.25">
      <c r="A28" s="33" t="s">
        <v>727</v>
      </c>
      <c r="B28" s="33" t="s">
        <v>1790</v>
      </c>
      <c r="C28" t="str">
        <f t="shared" si="0"/>
        <v>GRC</v>
      </c>
    </row>
    <row r="29" spans="1:3" x14ac:dyDescent="0.25">
      <c r="A29" s="33" t="s">
        <v>711</v>
      </c>
      <c r="B29" s="33" t="s">
        <v>3049</v>
      </c>
      <c r="C29" t="str">
        <f t="shared" si="0"/>
        <v>GTM</v>
      </c>
    </row>
    <row r="30" spans="1:3" x14ac:dyDescent="0.25">
      <c r="A30" s="33" t="s">
        <v>871</v>
      </c>
      <c r="B30" s="33" t="s">
        <v>1769</v>
      </c>
      <c r="C30" t="str">
        <f t="shared" si="0"/>
        <v>HKG</v>
      </c>
    </row>
    <row r="31" spans="1:3" x14ac:dyDescent="0.25">
      <c r="A31" s="33" t="s">
        <v>719</v>
      </c>
      <c r="B31" s="33" t="s">
        <v>1788</v>
      </c>
      <c r="C31" t="str">
        <f t="shared" si="0"/>
        <v>HRV</v>
      </c>
    </row>
    <row r="32" spans="1:3" x14ac:dyDescent="0.25">
      <c r="A32" s="33" t="s">
        <v>872</v>
      </c>
      <c r="B32" s="33" t="s">
        <v>3101</v>
      </c>
      <c r="C32" t="str">
        <f t="shared" si="0"/>
        <v>HUN</v>
      </c>
    </row>
    <row r="33" spans="1:3" x14ac:dyDescent="0.25">
      <c r="A33" s="33" t="s">
        <v>749</v>
      </c>
      <c r="B33" s="33" t="s">
        <v>3116</v>
      </c>
      <c r="C33" t="str">
        <f t="shared" si="0"/>
        <v>IDN</v>
      </c>
    </row>
    <row r="34" spans="1:3" x14ac:dyDescent="0.25">
      <c r="A34" s="33" t="s">
        <v>729</v>
      </c>
      <c r="B34" s="33" t="s">
        <v>1775</v>
      </c>
      <c r="C34" t="str">
        <f t="shared" si="0"/>
        <v>IRL</v>
      </c>
    </row>
    <row r="35" spans="1:3" x14ac:dyDescent="0.25">
      <c r="A35" s="33" t="s">
        <v>728</v>
      </c>
      <c r="B35" s="33" t="s">
        <v>1783</v>
      </c>
      <c r="C35" t="str">
        <f t="shared" si="0"/>
        <v>ISL</v>
      </c>
    </row>
    <row r="36" spans="1:3" x14ac:dyDescent="0.25">
      <c r="A36" s="33" t="s">
        <v>2726</v>
      </c>
      <c r="B36" s="33" t="s">
        <v>3286</v>
      </c>
      <c r="C36" t="str">
        <f t="shared" si="0"/>
        <v>ISR</v>
      </c>
    </row>
    <row r="37" spans="1:3" x14ac:dyDescent="0.25">
      <c r="A37" s="33" t="s">
        <v>730</v>
      </c>
      <c r="B37" s="33" t="s">
        <v>1804</v>
      </c>
      <c r="C37" t="str">
        <f t="shared" si="0"/>
        <v>ITA</v>
      </c>
    </row>
    <row r="38" spans="1:3" x14ac:dyDescent="0.25">
      <c r="A38" s="33" t="s">
        <v>873</v>
      </c>
      <c r="B38" s="33" t="s">
        <v>1791</v>
      </c>
      <c r="C38" t="str">
        <f t="shared" si="0"/>
        <v>JOR</v>
      </c>
    </row>
    <row r="39" spans="1:3" x14ac:dyDescent="0.25">
      <c r="A39" s="33" t="s">
        <v>731</v>
      </c>
      <c r="B39" s="33" t="s">
        <v>1784</v>
      </c>
      <c r="C39" t="str">
        <f t="shared" si="0"/>
        <v>JPN</v>
      </c>
    </row>
    <row r="40" spans="1:3" x14ac:dyDescent="0.25">
      <c r="A40" s="33" t="s">
        <v>732</v>
      </c>
      <c r="B40" s="33" t="s">
        <v>3139</v>
      </c>
      <c r="C40" t="str">
        <f t="shared" si="0"/>
        <v>KAZ</v>
      </c>
    </row>
    <row r="41" spans="1:3" x14ac:dyDescent="0.25">
      <c r="A41" s="33" t="s">
        <v>750</v>
      </c>
      <c r="B41" s="33" t="s">
        <v>3000</v>
      </c>
      <c r="C41" t="str">
        <f t="shared" si="0"/>
        <v>KEN</v>
      </c>
    </row>
    <row r="42" spans="1:3" x14ac:dyDescent="0.25">
      <c r="A42" s="33" t="s">
        <v>734</v>
      </c>
      <c r="B42" s="33" t="s">
        <v>3157</v>
      </c>
      <c r="C42" t="str">
        <f t="shared" si="0"/>
        <v>KGZ</v>
      </c>
    </row>
    <row r="43" spans="1:3" x14ac:dyDescent="0.25">
      <c r="A43" s="33" t="s">
        <v>710</v>
      </c>
      <c r="B43" s="33" t="s">
        <v>3146</v>
      </c>
      <c r="C43" t="str">
        <f t="shared" si="0"/>
        <v>KHM</v>
      </c>
    </row>
    <row r="44" spans="1:3" x14ac:dyDescent="0.25">
      <c r="A44" s="33" t="s">
        <v>733</v>
      </c>
      <c r="B44" s="33" t="s">
        <v>3152</v>
      </c>
      <c r="C44" t="str">
        <f t="shared" si="0"/>
        <v>KOR</v>
      </c>
    </row>
    <row r="45" spans="1:3" x14ac:dyDescent="0.25">
      <c r="A45" s="33" t="s">
        <v>2715</v>
      </c>
      <c r="B45" s="33" t="s">
        <v>3287</v>
      </c>
      <c r="C45" t="str">
        <f t="shared" si="0"/>
        <v>KSV</v>
      </c>
    </row>
    <row r="46" spans="1:3" x14ac:dyDescent="0.25">
      <c r="A46" s="33" t="s">
        <v>713</v>
      </c>
      <c r="B46" s="33" t="s">
        <v>3288</v>
      </c>
      <c r="C46" t="str">
        <f t="shared" si="0"/>
        <v>LBN</v>
      </c>
    </row>
    <row r="47" spans="1:3" x14ac:dyDescent="0.25">
      <c r="A47" s="33" t="s">
        <v>736</v>
      </c>
      <c r="B47" s="33" t="s">
        <v>1800</v>
      </c>
      <c r="C47" t="str">
        <f t="shared" si="0"/>
        <v>LTU</v>
      </c>
    </row>
    <row r="48" spans="1:3" x14ac:dyDescent="0.25">
      <c r="A48" s="33" t="s">
        <v>874</v>
      </c>
      <c r="B48" s="33" t="s">
        <v>1793</v>
      </c>
      <c r="C48" t="str">
        <f t="shared" si="0"/>
        <v>LUX</v>
      </c>
    </row>
    <row r="49" spans="1:3" x14ac:dyDescent="0.25">
      <c r="A49" s="33" t="s">
        <v>735</v>
      </c>
      <c r="B49" s="33" t="s">
        <v>1770</v>
      </c>
      <c r="C49" t="str">
        <f t="shared" si="0"/>
        <v>LVA</v>
      </c>
    </row>
    <row r="50" spans="1:3" x14ac:dyDescent="0.25">
      <c r="A50" s="33" t="s">
        <v>875</v>
      </c>
      <c r="B50" s="33" t="s">
        <v>3289</v>
      </c>
      <c r="C50" t="str">
        <f t="shared" si="0"/>
        <v>MAC</v>
      </c>
    </row>
    <row r="51" spans="1:3" x14ac:dyDescent="0.25">
      <c r="A51" s="33" t="s">
        <v>880</v>
      </c>
      <c r="B51" s="33" t="s">
        <v>2905</v>
      </c>
      <c r="C51" t="str">
        <f t="shared" si="0"/>
        <v>MAR</v>
      </c>
    </row>
    <row r="52" spans="1:3" x14ac:dyDescent="0.25">
      <c r="A52" s="33" t="s">
        <v>3290</v>
      </c>
      <c r="B52" s="33" t="s">
        <v>1772</v>
      </c>
      <c r="C52" t="str">
        <f t="shared" si="0"/>
        <v>MDA</v>
      </c>
    </row>
    <row r="53" spans="1:3" x14ac:dyDescent="0.25">
      <c r="A53" s="33" t="s">
        <v>2665</v>
      </c>
      <c r="B53" s="33" t="s">
        <v>3052</v>
      </c>
      <c r="C53" t="str">
        <f t="shared" si="0"/>
        <v>MEX</v>
      </c>
    </row>
    <row r="54" spans="1:3" x14ac:dyDescent="0.25">
      <c r="A54" s="33" t="s">
        <v>738</v>
      </c>
      <c r="B54" s="33" t="s">
        <v>3291</v>
      </c>
      <c r="C54" t="str">
        <f t="shared" si="0"/>
        <v>MKD</v>
      </c>
    </row>
    <row r="55" spans="1:3" x14ac:dyDescent="0.25">
      <c r="A55" s="33" t="s">
        <v>877</v>
      </c>
      <c r="B55" s="33" t="s">
        <v>1771</v>
      </c>
      <c r="C55" t="str">
        <f t="shared" si="0"/>
        <v>MLT</v>
      </c>
    </row>
    <row r="56" spans="1:3" x14ac:dyDescent="0.25">
      <c r="A56" s="33" t="s">
        <v>3292</v>
      </c>
      <c r="B56" s="33" t="s">
        <v>1795</v>
      </c>
      <c r="C56" t="str">
        <f t="shared" si="0"/>
        <v>MNE</v>
      </c>
    </row>
    <row r="57" spans="1:3" x14ac:dyDescent="0.25">
      <c r="A57" s="33" t="s">
        <v>879</v>
      </c>
      <c r="B57" s="33" t="s">
        <v>1794</v>
      </c>
      <c r="C57" t="str">
        <f t="shared" si="0"/>
        <v>MNG</v>
      </c>
    </row>
    <row r="58" spans="1:3" x14ac:dyDescent="0.25">
      <c r="A58" s="33" t="s">
        <v>878</v>
      </c>
      <c r="B58" s="33" t="s">
        <v>3011</v>
      </c>
      <c r="C58" t="str">
        <f t="shared" si="0"/>
        <v>MUS</v>
      </c>
    </row>
    <row r="59" spans="1:3" x14ac:dyDescent="0.25">
      <c r="A59" s="33" t="s">
        <v>876</v>
      </c>
      <c r="B59" s="33" t="s">
        <v>1803</v>
      </c>
      <c r="C59" t="str">
        <f t="shared" si="0"/>
        <v>MYS</v>
      </c>
    </row>
    <row r="60" spans="1:3" x14ac:dyDescent="0.25">
      <c r="A60" s="33" t="s">
        <v>737</v>
      </c>
      <c r="B60" s="33" t="s">
        <v>1776</v>
      </c>
      <c r="C60" t="str">
        <f t="shared" si="0"/>
        <v>NLD</v>
      </c>
    </row>
    <row r="61" spans="1:3" x14ac:dyDescent="0.25">
      <c r="A61" s="33" t="s">
        <v>882</v>
      </c>
      <c r="B61" s="33" t="s">
        <v>1796</v>
      </c>
      <c r="C61" t="str">
        <f t="shared" si="0"/>
        <v>NOR</v>
      </c>
    </row>
    <row r="62" spans="1:3" x14ac:dyDescent="0.25">
      <c r="A62" s="33" t="s">
        <v>881</v>
      </c>
      <c r="B62" s="33" t="s">
        <v>3015</v>
      </c>
      <c r="C62" t="str">
        <f t="shared" si="0"/>
        <v>NZL</v>
      </c>
    </row>
    <row r="63" spans="1:3" x14ac:dyDescent="0.25">
      <c r="A63" s="33" t="s">
        <v>884</v>
      </c>
      <c r="B63" s="33" t="s">
        <v>3055</v>
      </c>
      <c r="C63" t="str">
        <f t="shared" si="0"/>
        <v>PER</v>
      </c>
    </row>
    <row r="64" spans="1:3" x14ac:dyDescent="0.25">
      <c r="A64" s="33" t="s">
        <v>885</v>
      </c>
      <c r="B64" s="33" t="s">
        <v>1805</v>
      </c>
      <c r="C64" t="str">
        <f t="shared" si="0"/>
        <v>PHL</v>
      </c>
    </row>
    <row r="65" spans="1:3" x14ac:dyDescent="0.25">
      <c r="A65" s="33" t="s">
        <v>739</v>
      </c>
      <c r="B65" s="33" t="s">
        <v>1797</v>
      </c>
      <c r="C65" t="str">
        <f t="shared" si="0"/>
        <v>POL</v>
      </c>
    </row>
    <row r="66" spans="1:3" x14ac:dyDescent="0.25">
      <c r="A66" s="33" t="s">
        <v>740</v>
      </c>
      <c r="B66" s="33" t="s">
        <v>2464</v>
      </c>
      <c r="C66" t="str">
        <f t="shared" ref="C66:C95" si="1">A66</f>
        <v>PRT</v>
      </c>
    </row>
    <row r="67" spans="1:3" x14ac:dyDescent="0.25">
      <c r="A67" s="33" t="s">
        <v>2685</v>
      </c>
      <c r="B67" s="33" t="s">
        <v>3058</v>
      </c>
      <c r="C67" t="str">
        <f t="shared" si="1"/>
        <v>PRY</v>
      </c>
    </row>
    <row r="68" spans="1:3" x14ac:dyDescent="0.25">
      <c r="A68" s="33" t="s">
        <v>883</v>
      </c>
      <c r="B68" s="33" t="s">
        <v>3293</v>
      </c>
      <c r="C68" t="str">
        <f t="shared" si="1"/>
        <v>PSE</v>
      </c>
    </row>
    <row r="69" spans="1:3" x14ac:dyDescent="0.25">
      <c r="A69" s="33" t="s">
        <v>886</v>
      </c>
      <c r="B69" s="33" t="s">
        <v>2911</v>
      </c>
      <c r="C69" t="str">
        <f t="shared" si="1"/>
        <v>QAT</v>
      </c>
    </row>
    <row r="70" spans="1:3" x14ac:dyDescent="0.25">
      <c r="A70" s="33" t="s">
        <v>861</v>
      </c>
      <c r="B70" s="33" t="s">
        <v>3294</v>
      </c>
      <c r="C70" t="str">
        <f t="shared" si="1"/>
        <v>QBL</v>
      </c>
    </row>
    <row r="71" spans="1:3" x14ac:dyDescent="0.25">
      <c r="A71" s="33" t="s">
        <v>862</v>
      </c>
      <c r="B71" s="33" t="s">
        <v>3295</v>
      </c>
      <c r="C71" t="str">
        <f t="shared" si="1"/>
        <v>QBR</v>
      </c>
    </row>
    <row r="72" spans="1:3" x14ac:dyDescent="0.25">
      <c r="A72" s="33" t="s">
        <v>860</v>
      </c>
      <c r="B72" s="33" t="s">
        <v>3296</v>
      </c>
      <c r="C72" t="str">
        <f t="shared" si="1"/>
        <v>QCI</v>
      </c>
    </row>
    <row r="73" spans="1:3" x14ac:dyDescent="0.25">
      <c r="A73" s="33" t="s">
        <v>867</v>
      </c>
      <c r="B73" s="33" t="s">
        <v>1779</v>
      </c>
      <c r="C73" t="str">
        <f t="shared" si="1"/>
        <v>QCY</v>
      </c>
    </row>
    <row r="74" spans="1:3" x14ac:dyDescent="0.25">
      <c r="A74" s="33" t="s">
        <v>3297</v>
      </c>
      <c r="B74" s="33" t="s">
        <v>3298</v>
      </c>
      <c r="C74" t="str">
        <f t="shared" si="1"/>
        <v>QEG</v>
      </c>
    </row>
    <row r="75" spans="1:3" x14ac:dyDescent="0.25">
      <c r="A75" s="33" t="s">
        <v>712</v>
      </c>
      <c r="B75" s="33" t="s">
        <v>3299</v>
      </c>
      <c r="C75" t="str">
        <f t="shared" si="1"/>
        <v>QKI</v>
      </c>
    </row>
    <row r="76" spans="1:3" x14ac:dyDescent="0.25">
      <c r="A76" s="33" t="s">
        <v>893</v>
      </c>
      <c r="B76" s="33" t="s">
        <v>3300</v>
      </c>
      <c r="C76" t="str">
        <f t="shared" si="1"/>
        <v>QSC</v>
      </c>
    </row>
    <row r="77" spans="1:3" x14ac:dyDescent="0.25">
      <c r="A77" s="33" t="s">
        <v>869</v>
      </c>
      <c r="B77" s="33" t="s">
        <v>3301</v>
      </c>
      <c r="C77" t="str">
        <f t="shared" si="1"/>
        <v>QTJ</v>
      </c>
    </row>
    <row r="78" spans="1:3" x14ac:dyDescent="0.25">
      <c r="A78" s="33" t="s">
        <v>745</v>
      </c>
      <c r="B78" s="33" t="s">
        <v>1799</v>
      </c>
      <c r="C78" t="str">
        <f t="shared" si="1"/>
        <v>QUA</v>
      </c>
    </row>
    <row r="79" spans="1:3" x14ac:dyDescent="0.25">
      <c r="A79" s="33" t="s">
        <v>2872</v>
      </c>
      <c r="B79" s="33" t="s">
        <v>3105</v>
      </c>
      <c r="C79" t="str">
        <f t="shared" si="1"/>
        <v>ROU</v>
      </c>
    </row>
    <row r="80" spans="1:3" x14ac:dyDescent="0.25">
      <c r="A80" s="33" t="s">
        <v>714</v>
      </c>
      <c r="B80" s="33" t="s">
        <v>3022</v>
      </c>
      <c r="C80" t="str">
        <f t="shared" si="1"/>
        <v>RWA</v>
      </c>
    </row>
    <row r="81" spans="1:3" x14ac:dyDescent="0.25">
      <c r="A81" s="33" t="s">
        <v>887</v>
      </c>
      <c r="B81" s="33" t="s">
        <v>3302</v>
      </c>
      <c r="C81" t="str">
        <f t="shared" si="1"/>
        <v>SAU</v>
      </c>
    </row>
    <row r="82" spans="1:3" x14ac:dyDescent="0.25">
      <c r="A82" s="33" t="s">
        <v>741</v>
      </c>
      <c r="B82" s="33" t="s">
        <v>1773</v>
      </c>
      <c r="C82" t="str">
        <f t="shared" si="1"/>
        <v>SGP</v>
      </c>
    </row>
    <row r="83" spans="1:3" x14ac:dyDescent="0.25">
      <c r="A83" s="33" t="s">
        <v>722</v>
      </c>
      <c r="B83" s="33" t="s">
        <v>3061</v>
      </c>
      <c r="C83" t="str">
        <f t="shared" si="1"/>
        <v>SLV</v>
      </c>
    </row>
    <row r="84" spans="1:3" x14ac:dyDescent="0.25">
      <c r="A84" s="33" t="s">
        <v>888</v>
      </c>
      <c r="B84" s="33" t="s">
        <v>3239</v>
      </c>
      <c r="C84" t="str">
        <f t="shared" si="1"/>
        <v>SRB</v>
      </c>
    </row>
    <row r="85" spans="1:3" x14ac:dyDescent="0.25">
      <c r="A85" s="33" t="s">
        <v>742</v>
      </c>
      <c r="B85" s="33" t="s">
        <v>1798</v>
      </c>
      <c r="C85" t="str">
        <f t="shared" si="1"/>
        <v>SVK</v>
      </c>
    </row>
    <row r="86" spans="1:3" x14ac:dyDescent="0.25">
      <c r="A86" s="33" t="s">
        <v>889</v>
      </c>
      <c r="B86" s="33" t="s">
        <v>3225</v>
      </c>
      <c r="C86" t="str">
        <f t="shared" si="1"/>
        <v>SVN</v>
      </c>
    </row>
    <row r="87" spans="1:3" x14ac:dyDescent="0.25">
      <c r="A87" s="33" t="s">
        <v>743</v>
      </c>
      <c r="B87" s="33" t="s">
        <v>2465</v>
      </c>
      <c r="C87" t="str">
        <f t="shared" si="1"/>
        <v>SWE</v>
      </c>
    </row>
    <row r="88" spans="1:3" x14ac:dyDescent="0.25">
      <c r="A88" s="33" t="s">
        <v>2719</v>
      </c>
      <c r="B88" s="33" t="s">
        <v>3281</v>
      </c>
      <c r="C88" t="str">
        <f t="shared" si="1"/>
        <v>TAP</v>
      </c>
    </row>
    <row r="89" spans="1:3" x14ac:dyDescent="0.25">
      <c r="A89" s="33" t="s">
        <v>891</v>
      </c>
      <c r="B89" s="33" t="s">
        <v>3250</v>
      </c>
      <c r="C89" t="str">
        <f t="shared" si="1"/>
        <v>THA</v>
      </c>
    </row>
    <row r="90" spans="1:3" x14ac:dyDescent="0.25">
      <c r="A90" s="33" t="s">
        <v>892</v>
      </c>
      <c r="B90" s="33" t="s">
        <v>3303</v>
      </c>
      <c r="C90" t="str">
        <f t="shared" si="1"/>
        <v>TUR</v>
      </c>
    </row>
    <row r="91" spans="1:3" x14ac:dyDescent="0.25">
      <c r="A91" s="33" t="s">
        <v>894</v>
      </c>
      <c r="B91" s="33" t="s">
        <v>3064</v>
      </c>
      <c r="C91" t="str">
        <f t="shared" si="1"/>
        <v>URY</v>
      </c>
    </row>
    <row r="92" spans="1:3" x14ac:dyDescent="0.25">
      <c r="A92" s="33" t="s">
        <v>3304</v>
      </c>
      <c r="B92" s="33" t="s">
        <v>3027</v>
      </c>
      <c r="C92" t="str">
        <f t="shared" si="1"/>
        <v>USA</v>
      </c>
    </row>
    <row r="93" spans="1:3" x14ac:dyDescent="0.25">
      <c r="A93" s="33" t="s">
        <v>3305</v>
      </c>
      <c r="B93" s="33" t="s">
        <v>1801</v>
      </c>
      <c r="C93" t="str">
        <f t="shared" si="1"/>
        <v>UZB</v>
      </c>
    </row>
    <row r="94" spans="1:3" x14ac:dyDescent="0.25">
      <c r="A94" s="33" t="s">
        <v>895</v>
      </c>
      <c r="B94" s="33" t="s">
        <v>3270</v>
      </c>
      <c r="C94" t="str">
        <f t="shared" si="1"/>
        <v>VNM</v>
      </c>
    </row>
    <row r="95" spans="1:3" x14ac:dyDescent="0.25">
      <c r="A95" s="33" t="s">
        <v>715</v>
      </c>
      <c r="B95" s="33" t="s">
        <v>3029</v>
      </c>
      <c r="C95" t="str">
        <f t="shared" si="1"/>
        <v>ZMB</v>
      </c>
    </row>
    <row r="96" spans="1:3" x14ac:dyDescent="0.25">
      <c r="A96" s="33" t="s">
        <v>2952</v>
      </c>
      <c r="B96" s="33" t="s">
        <v>3306</v>
      </c>
      <c r="C96" t="str">
        <f>A96</f>
        <v>QUK</v>
      </c>
    </row>
  </sheetData>
  <sheetProtection formatColumns="0" formatRows="0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4"/>
  <dimension ref="A1:C144"/>
  <sheetViews>
    <sheetView workbookViewId="0">
      <pane ySplit="1" topLeftCell="A2" activePane="bottomLeft" state="frozen"/>
      <selection pane="bottomLeft" activeCell="A54" sqref="A54:B54"/>
    </sheetView>
  </sheetViews>
  <sheetFormatPr defaultColWidth="8.7109375" defaultRowHeight="15" x14ac:dyDescent="0.25"/>
  <cols>
    <col min="2" max="2" width="17.28515625" customWidth="1"/>
  </cols>
  <sheetData>
    <row r="1" spans="1:3" x14ac:dyDescent="0.25">
      <c r="A1" s="33" t="s">
        <v>3307</v>
      </c>
      <c r="B1" s="33" t="s">
        <v>2652</v>
      </c>
      <c r="C1" s="33" t="s">
        <v>3308</v>
      </c>
    </row>
    <row r="2" spans="1:3" x14ac:dyDescent="0.25">
      <c r="A2" s="33" t="s">
        <v>3309</v>
      </c>
      <c r="B2" s="133" t="s">
        <v>697</v>
      </c>
      <c r="C2" s="33" t="s">
        <v>1251</v>
      </c>
    </row>
    <row r="3" spans="1:3" x14ac:dyDescent="0.25">
      <c r="A3" s="33" t="s">
        <v>3310</v>
      </c>
      <c r="B3" s="33" t="s">
        <v>2702</v>
      </c>
      <c r="C3" s="33" t="s">
        <v>3311</v>
      </c>
    </row>
    <row r="4" spans="1:3" x14ac:dyDescent="0.25">
      <c r="A4" s="33" t="s">
        <v>3312</v>
      </c>
      <c r="B4" s="33" t="s">
        <v>617</v>
      </c>
      <c r="C4" s="33" t="s">
        <v>1212</v>
      </c>
    </row>
    <row r="5" spans="1:3" x14ac:dyDescent="0.25">
      <c r="A5" s="33" t="s">
        <v>3313</v>
      </c>
      <c r="B5" s="33" t="s">
        <v>623</v>
      </c>
      <c r="C5" s="33" t="s">
        <v>1217</v>
      </c>
    </row>
    <row r="6" spans="1:3" x14ac:dyDescent="0.25">
      <c r="A6" s="33" t="s">
        <v>3314</v>
      </c>
      <c r="B6" s="33" t="s">
        <v>660</v>
      </c>
      <c r="C6" s="33" t="s">
        <v>1231</v>
      </c>
    </row>
    <row r="7" spans="1:3" x14ac:dyDescent="0.25">
      <c r="A7" s="33" t="s">
        <v>3315</v>
      </c>
      <c r="B7" s="33" t="s">
        <v>665</v>
      </c>
      <c r="C7" s="33" t="s">
        <v>3316</v>
      </c>
    </row>
    <row r="8" spans="1:3" x14ac:dyDescent="0.25">
      <c r="A8" s="33" t="s">
        <v>3317</v>
      </c>
      <c r="B8" s="33" t="s">
        <v>672</v>
      </c>
      <c r="C8" s="33" t="s">
        <v>1235</v>
      </c>
    </row>
    <row r="9" spans="1:3" x14ac:dyDescent="0.25">
      <c r="A9" s="33" t="s">
        <v>3318</v>
      </c>
      <c r="B9" s="33" t="s">
        <v>677</v>
      </c>
      <c r="C9" s="33" t="s">
        <v>3319</v>
      </c>
    </row>
    <row r="10" spans="1:3" x14ac:dyDescent="0.25">
      <c r="A10" s="33" t="s">
        <v>3320</v>
      </c>
      <c r="B10" s="33" t="s">
        <v>604</v>
      </c>
      <c r="C10" s="33" t="s">
        <v>1201</v>
      </c>
    </row>
    <row r="11" spans="1:3" x14ac:dyDescent="0.25">
      <c r="A11" s="33" t="s">
        <v>3321</v>
      </c>
      <c r="B11" s="33" t="s">
        <v>572</v>
      </c>
      <c r="C11" s="33" t="s">
        <v>3322</v>
      </c>
    </row>
    <row r="12" spans="1:3" x14ac:dyDescent="0.25">
      <c r="A12" s="33" t="s">
        <v>3323</v>
      </c>
      <c r="B12" s="33" t="s">
        <v>580</v>
      </c>
      <c r="C12" s="33" t="s">
        <v>1195</v>
      </c>
    </row>
    <row r="13" spans="1:3" x14ac:dyDescent="0.25">
      <c r="A13" s="33" t="s">
        <v>3324</v>
      </c>
      <c r="B13" s="33" t="s">
        <v>685</v>
      </c>
      <c r="C13" s="33" t="s">
        <v>1242</v>
      </c>
    </row>
    <row r="14" spans="1:3" x14ac:dyDescent="0.25">
      <c r="A14" s="33" t="s">
        <v>3324</v>
      </c>
      <c r="B14" s="33" t="s">
        <v>3325</v>
      </c>
      <c r="C14" s="33" t="s">
        <v>1242</v>
      </c>
    </row>
    <row r="15" spans="1:3" x14ac:dyDescent="0.25">
      <c r="A15" s="33" t="s">
        <v>3326</v>
      </c>
      <c r="B15" s="33" t="s">
        <v>631</v>
      </c>
      <c r="C15" s="33" t="s">
        <v>3327</v>
      </c>
    </row>
    <row r="16" spans="1:3" x14ac:dyDescent="0.25">
      <c r="A16" s="33" t="s">
        <v>3328</v>
      </c>
      <c r="B16" s="33" t="s">
        <v>659</v>
      </c>
      <c r="C16" s="33" t="s">
        <v>3329</v>
      </c>
    </row>
    <row r="17" spans="1:3" x14ac:dyDescent="0.25">
      <c r="A17" s="33" t="s">
        <v>3330</v>
      </c>
      <c r="B17" s="33" t="s">
        <v>591</v>
      </c>
      <c r="C17" s="33" t="s">
        <v>3331</v>
      </c>
    </row>
    <row r="18" spans="1:3" x14ac:dyDescent="0.25">
      <c r="A18" s="33" t="s">
        <v>3332</v>
      </c>
      <c r="B18" s="33" t="s">
        <v>699</v>
      </c>
      <c r="C18" s="33" t="s">
        <v>3333</v>
      </c>
    </row>
    <row r="19" spans="1:3" x14ac:dyDescent="0.25">
      <c r="A19" s="33" t="s">
        <v>3334</v>
      </c>
      <c r="B19" s="33" t="s">
        <v>592</v>
      </c>
      <c r="C19" s="33" t="s">
        <v>3335</v>
      </c>
    </row>
    <row r="20" spans="1:3" x14ac:dyDescent="0.25">
      <c r="A20" s="33" t="s">
        <v>3336</v>
      </c>
      <c r="B20" s="33" t="s">
        <v>571</v>
      </c>
      <c r="C20" s="33" t="s">
        <v>1189</v>
      </c>
    </row>
    <row r="21" spans="1:3" x14ac:dyDescent="0.25">
      <c r="A21" s="33" t="s">
        <v>3337</v>
      </c>
      <c r="B21" s="33" t="s">
        <v>576</v>
      </c>
      <c r="C21" s="33" t="s">
        <v>1193</v>
      </c>
    </row>
    <row r="22" spans="1:3" x14ac:dyDescent="0.25">
      <c r="A22" s="33" t="s">
        <v>3338</v>
      </c>
      <c r="B22" s="33" t="s">
        <v>691</v>
      </c>
      <c r="C22" s="33" t="s">
        <v>1246</v>
      </c>
    </row>
    <row r="23" spans="1:3" x14ac:dyDescent="0.25">
      <c r="A23" s="33" t="s">
        <v>3339</v>
      </c>
      <c r="B23" s="33" t="s">
        <v>607</v>
      </c>
      <c r="C23" s="33" t="s">
        <v>1204</v>
      </c>
    </row>
    <row r="24" spans="1:3" x14ac:dyDescent="0.25">
      <c r="A24" s="33" t="s">
        <v>3340</v>
      </c>
      <c r="B24" s="33" t="s">
        <v>620</v>
      </c>
      <c r="C24" s="33" t="s">
        <v>1214</v>
      </c>
    </row>
    <row r="25" spans="1:3" x14ac:dyDescent="0.25">
      <c r="A25" s="33" t="s">
        <v>3341</v>
      </c>
      <c r="B25" s="33" t="s">
        <v>643</v>
      </c>
      <c r="C25" s="33" t="s">
        <v>1223</v>
      </c>
    </row>
    <row r="26" spans="1:3" x14ac:dyDescent="0.25">
      <c r="A26" s="33" t="s">
        <v>3342</v>
      </c>
      <c r="B26" s="33" t="s">
        <v>590</v>
      </c>
      <c r="C26" s="33" t="s">
        <v>3343</v>
      </c>
    </row>
    <row r="27" spans="1:3" x14ac:dyDescent="0.25">
      <c r="A27" s="33" t="s">
        <v>3344</v>
      </c>
      <c r="B27" s="33" t="s">
        <v>608</v>
      </c>
      <c r="C27" s="33" t="s">
        <v>1205</v>
      </c>
    </row>
    <row r="28" spans="1:3" x14ac:dyDescent="0.25">
      <c r="A28" s="33" t="s">
        <v>3309</v>
      </c>
      <c r="B28" s="33" t="s">
        <v>698</v>
      </c>
      <c r="C28" s="33" t="s">
        <v>1252</v>
      </c>
    </row>
    <row r="29" spans="1:3" x14ac:dyDescent="0.25">
      <c r="A29" s="33" t="s">
        <v>3345</v>
      </c>
      <c r="B29" s="33" t="s">
        <v>570</v>
      </c>
      <c r="C29" s="33" t="s">
        <v>1188</v>
      </c>
    </row>
    <row r="30" spans="1:3" x14ac:dyDescent="0.25">
      <c r="A30" s="33" t="s">
        <v>3346</v>
      </c>
      <c r="B30" s="33" t="s">
        <v>578</v>
      </c>
      <c r="C30" s="33" t="s">
        <v>1194</v>
      </c>
    </row>
    <row r="31" spans="1:3" x14ac:dyDescent="0.25">
      <c r="A31" s="33" t="s">
        <v>3347</v>
      </c>
      <c r="B31" s="33" t="s">
        <v>583</v>
      </c>
      <c r="C31" s="33" t="s">
        <v>3348</v>
      </c>
    </row>
    <row r="32" spans="1:3" x14ac:dyDescent="0.25">
      <c r="A32" s="33" t="s">
        <v>3342</v>
      </c>
      <c r="B32" s="33" t="s">
        <v>589</v>
      </c>
      <c r="C32" s="33" t="s">
        <v>3349</v>
      </c>
    </row>
    <row r="33" spans="1:3" x14ac:dyDescent="0.25">
      <c r="A33" s="33" t="s">
        <v>3350</v>
      </c>
      <c r="B33" s="33" t="s">
        <v>701</v>
      </c>
      <c r="C33" s="33" t="s">
        <v>1253</v>
      </c>
    </row>
    <row r="34" spans="1:3" x14ac:dyDescent="0.25">
      <c r="A34" s="33" t="s">
        <v>3332</v>
      </c>
      <c r="B34" s="33" t="s">
        <v>700</v>
      </c>
      <c r="C34" s="33" t="s">
        <v>3351</v>
      </c>
    </row>
    <row r="35" spans="1:3" x14ac:dyDescent="0.25">
      <c r="A35" s="33" t="s">
        <v>3352</v>
      </c>
      <c r="B35" s="33" t="s">
        <v>611</v>
      </c>
      <c r="C35" s="33" t="s">
        <v>1207</v>
      </c>
    </row>
    <row r="36" spans="1:3" x14ac:dyDescent="0.25">
      <c r="A36" s="33" t="s">
        <v>3353</v>
      </c>
      <c r="B36" s="33" t="s">
        <v>615</v>
      </c>
      <c r="C36" s="33" t="s">
        <v>1210</v>
      </c>
    </row>
    <row r="37" spans="1:3" x14ac:dyDescent="0.25">
      <c r="A37" s="33" t="s">
        <v>3326</v>
      </c>
      <c r="B37" s="33" t="s">
        <v>630</v>
      </c>
      <c r="C37" s="33" t="s">
        <v>3354</v>
      </c>
    </row>
    <row r="38" spans="1:3" x14ac:dyDescent="0.25">
      <c r="A38" s="33" t="s">
        <v>3355</v>
      </c>
      <c r="B38" s="33" t="s">
        <v>626</v>
      </c>
      <c r="C38" s="33" t="s">
        <v>3356</v>
      </c>
    </row>
    <row r="39" spans="1:3" x14ac:dyDescent="0.25">
      <c r="A39" s="33" t="s">
        <v>3357</v>
      </c>
      <c r="B39" s="33" t="s">
        <v>636</v>
      </c>
      <c r="C39" s="33" t="s">
        <v>1219</v>
      </c>
    </row>
    <row r="40" spans="1:3" x14ac:dyDescent="0.25">
      <c r="A40" s="33" t="s">
        <v>3341</v>
      </c>
      <c r="B40" s="33" t="s">
        <v>641</v>
      </c>
      <c r="C40" s="33" t="s">
        <v>1221</v>
      </c>
    </row>
    <row r="41" spans="1:3" x14ac:dyDescent="0.25">
      <c r="A41" s="33" t="s">
        <v>3358</v>
      </c>
      <c r="B41" s="33" t="s">
        <v>644</v>
      </c>
      <c r="C41" s="33" t="s">
        <v>1224</v>
      </c>
    </row>
    <row r="42" spans="1:3" x14ac:dyDescent="0.25">
      <c r="A42" s="33" t="s">
        <v>3359</v>
      </c>
      <c r="B42" s="33" t="s">
        <v>651</v>
      </c>
      <c r="C42" s="33" t="s">
        <v>3360</v>
      </c>
    </row>
    <row r="43" spans="1:3" x14ac:dyDescent="0.25">
      <c r="A43" s="33" t="s">
        <v>3361</v>
      </c>
      <c r="B43" s="33" t="s">
        <v>652</v>
      </c>
      <c r="C43" s="33" t="s">
        <v>3362</v>
      </c>
    </row>
    <row r="44" spans="1:3" x14ac:dyDescent="0.25">
      <c r="A44" s="33" t="s">
        <v>3363</v>
      </c>
      <c r="B44" s="33" t="s">
        <v>649</v>
      </c>
      <c r="C44" s="33" t="s">
        <v>1227</v>
      </c>
    </row>
    <row r="45" spans="1:3" x14ac:dyDescent="0.25">
      <c r="A45" s="33" t="s">
        <v>3364</v>
      </c>
      <c r="B45" s="33" t="s">
        <v>662</v>
      </c>
      <c r="C45" s="33" t="s">
        <v>1233</v>
      </c>
    </row>
    <row r="46" spans="1:3" x14ac:dyDescent="0.25">
      <c r="A46" s="33" t="s">
        <v>3365</v>
      </c>
      <c r="B46" s="33" t="s">
        <v>669</v>
      </c>
      <c r="C46" s="33" t="s">
        <v>3366</v>
      </c>
    </row>
    <row r="47" spans="1:3" x14ac:dyDescent="0.25">
      <c r="A47" s="33" t="s">
        <v>3315</v>
      </c>
      <c r="B47" s="33" t="s">
        <v>666</v>
      </c>
      <c r="C47" s="33" t="s">
        <v>3367</v>
      </c>
    </row>
    <row r="48" spans="1:3" x14ac:dyDescent="0.25">
      <c r="A48" s="33" t="s">
        <v>3317</v>
      </c>
      <c r="B48" s="33" t="s">
        <v>673</v>
      </c>
      <c r="C48" s="33" t="s">
        <v>1236</v>
      </c>
    </row>
    <row r="49" spans="1:3" x14ac:dyDescent="0.25">
      <c r="A49" s="33" t="s">
        <v>3368</v>
      </c>
      <c r="B49" s="33" t="s">
        <v>676</v>
      </c>
      <c r="C49" s="33" t="s">
        <v>3369</v>
      </c>
    </row>
    <row r="50" spans="1:3" x14ac:dyDescent="0.25">
      <c r="A50" s="33" t="s">
        <v>3318</v>
      </c>
      <c r="B50" s="33" t="s">
        <v>678</v>
      </c>
      <c r="C50" s="33" t="s">
        <v>3370</v>
      </c>
    </row>
    <row r="51" spans="1:3" x14ac:dyDescent="0.25">
      <c r="A51" s="33" t="s">
        <v>3371</v>
      </c>
      <c r="B51" s="33" t="s">
        <v>680</v>
      </c>
      <c r="C51" s="33" t="s">
        <v>1239</v>
      </c>
    </row>
    <row r="52" spans="1:3" x14ac:dyDescent="0.25">
      <c r="A52" s="33" t="s">
        <v>3372</v>
      </c>
      <c r="B52" s="33" t="s">
        <v>702</v>
      </c>
      <c r="C52" s="33" t="s">
        <v>1254</v>
      </c>
    </row>
    <row r="53" spans="1:3" x14ac:dyDescent="0.25">
      <c r="A53" s="33" t="s">
        <v>3373</v>
      </c>
      <c r="B53" s="33" t="s">
        <v>708</v>
      </c>
      <c r="C53" s="33" t="s">
        <v>3374</v>
      </c>
    </row>
    <row r="54" spans="1:3" x14ac:dyDescent="0.25">
      <c r="A54" s="33" t="s">
        <v>3375</v>
      </c>
      <c r="B54" s="33" t="s">
        <v>568</v>
      </c>
      <c r="C54" s="33" t="s">
        <v>1187</v>
      </c>
    </row>
    <row r="55" spans="1:3" x14ac:dyDescent="0.25">
      <c r="A55" s="33" t="s">
        <v>3376</v>
      </c>
      <c r="B55" s="33" t="s">
        <v>585</v>
      </c>
      <c r="C55" s="33" t="s">
        <v>3377</v>
      </c>
    </row>
    <row r="56" spans="1:3" x14ac:dyDescent="0.25">
      <c r="A56" s="33" t="s">
        <v>3378</v>
      </c>
      <c r="B56" s="33" t="s">
        <v>586</v>
      </c>
      <c r="C56" s="33" t="s">
        <v>3379</v>
      </c>
    </row>
    <row r="57" spans="1:3" x14ac:dyDescent="0.25">
      <c r="A57" s="33" t="s">
        <v>3380</v>
      </c>
      <c r="B57" s="33" t="s">
        <v>587</v>
      </c>
      <c r="C57" s="33" t="s">
        <v>3381</v>
      </c>
    </row>
    <row r="58" spans="1:3" x14ac:dyDescent="0.25">
      <c r="A58" s="33" t="s">
        <v>3382</v>
      </c>
      <c r="B58" s="33" t="s">
        <v>594</v>
      </c>
      <c r="C58" s="33" t="s">
        <v>1196</v>
      </c>
    </row>
    <row r="59" spans="1:3" x14ac:dyDescent="0.25">
      <c r="A59" s="33" t="s">
        <v>3383</v>
      </c>
      <c r="B59" s="33" t="s">
        <v>597</v>
      </c>
      <c r="C59" s="33" t="s">
        <v>3384</v>
      </c>
    </row>
    <row r="60" spans="1:3" x14ac:dyDescent="0.25">
      <c r="A60" s="33" t="s">
        <v>3324</v>
      </c>
      <c r="B60" s="33" t="s">
        <v>687</v>
      </c>
      <c r="C60" s="33" t="s">
        <v>1244</v>
      </c>
    </row>
    <row r="61" spans="1:3" x14ac:dyDescent="0.25">
      <c r="A61" s="33" t="s">
        <v>3385</v>
      </c>
      <c r="B61" s="33" t="s">
        <v>609</v>
      </c>
      <c r="C61" s="33" t="s">
        <v>3386</v>
      </c>
    </row>
    <row r="62" spans="1:3" x14ac:dyDescent="0.25">
      <c r="A62" s="33" t="s">
        <v>3387</v>
      </c>
      <c r="B62" s="33" t="s">
        <v>653</v>
      </c>
      <c r="C62" s="33" t="s">
        <v>3388</v>
      </c>
    </row>
    <row r="63" spans="1:3" x14ac:dyDescent="0.25">
      <c r="A63" s="33" t="s">
        <v>3389</v>
      </c>
      <c r="B63" s="33" t="s">
        <v>668</v>
      </c>
      <c r="C63" s="33" t="s">
        <v>3390</v>
      </c>
    </row>
    <row r="64" spans="1:3" x14ac:dyDescent="0.25">
      <c r="A64" s="33" t="s">
        <v>3391</v>
      </c>
      <c r="B64" s="33" t="s">
        <v>667</v>
      </c>
      <c r="C64" s="33" t="s">
        <v>3392</v>
      </c>
    </row>
    <row r="65" spans="1:3" x14ac:dyDescent="0.25">
      <c r="A65" s="33" t="s">
        <v>3393</v>
      </c>
      <c r="B65" s="33" t="s">
        <v>598</v>
      </c>
      <c r="C65" s="33" t="s">
        <v>3394</v>
      </c>
    </row>
    <row r="66" spans="1:3" x14ac:dyDescent="0.25">
      <c r="A66" s="33" t="s">
        <v>3395</v>
      </c>
      <c r="B66" s="33" t="s">
        <v>703</v>
      </c>
      <c r="C66" s="33" t="s">
        <v>1255</v>
      </c>
    </row>
    <row r="67" spans="1:3" x14ac:dyDescent="0.25">
      <c r="A67" s="33" t="s">
        <v>3396</v>
      </c>
      <c r="B67" s="33" t="s">
        <v>599</v>
      </c>
      <c r="C67" s="33" t="s">
        <v>1197</v>
      </c>
    </row>
    <row r="68" spans="1:3" x14ac:dyDescent="0.25">
      <c r="A68" s="33" t="s">
        <v>3324</v>
      </c>
      <c r="B68" s="33" t="s">
        <v>684</v>
      </c>
      <c r="C68" s="33" t="s">
        <v>1241</v>
      </c>
    </row>
    <row r="69" spans="1:3" x14ac:dyDescent="0.25">
      <c r="A69" s="33" t="s">
        <v>3397</v>
      </c>
      <c r="B69" s="33" t="s">
        <v>601</v>
      </c>
      <c r="C69" s="33" t="s">
        <v>1199</v>
      </c>
    </row>
    <row r="70" spans="1:3" x14ac:dyDescent="0.25">
      <c r="A70" s="33" t="s">
        <v>3334</v>
      </c>
      <c r="B70" s="33" t="s">
        <v>593</v>
      </c>
      <c r="C70" s="33" t="s">
        <v>3398</v>
      </c>
    </row>
    <row r="71" spans="1:3" x14ac:dyDescent="0.25">
      <c r="A71" s="33" t="s">
        <v>3337</v>
      </c>
      <c r="B71" s="33" t="s">
        <v>575</v>
      </c>
      <c r="C71" s="33" t="s">
        <v>1192</v>
      </c>
    </row>
    <row r="72" spans="1:3" x14ac:dyDescent="0.25">
      <c r="A72" s="33" t="s">
        <v>3347</v>
      </c>
      <c r="B72" s="33" t="s">
        <v>584</v>
      </c>
      <c r="C72" s="33" t="s">
        <v>3399</v>
      </c>
    </row>
    <row r="73" spans="1:3" x14ac:dyDescent="0.25">
      <c r="A73" s="33" t="s">
        <v>3338</v>
      </c>
      <c r="B73" s="33" t="s">
        <v>690</v>
      </c>
      <c r="C73" s="33" t="s">
        <v>1245</v>
      </c>
    </row>
    <row r="74" spans="1:3" x14ac:dyDescent="0.25">
      <c r="A74" s="33" t="s">
        <v>3400</v>
      </c>
      <c r="B74" s="33" t="s">
        <v>603</v>
      </c>
      <c r="C74" s="33" t="s">
        <v>3401</v>
      </c>
    </row>
    <row r="75" spans="1:3" x14ac:dyDescent="0.25">
      <c r="A75" s="33" t="s">
        <v>3357</v>
      </c>
      <c r="B75" s="33" t="s">
        <v>637</v>
      </c>
      <c r="C75" s="33" t="s">
        <v>1220</v>
      </c>
    </row>
    <row r="76" spans="1:3" x14ac:dyDescent="0.25">
      <c r="A76" s="33" t="s">
        <v>3341</v>
      </c>
      <c r="B76" s="33" t="s">
        <v>642</v>
      </c>
      <c r="C76" s="33" t="s">
        <v>1222</v>
      </c>
    </row>
    <row r="77" spans="1:3" x14ac:dyDescent="0.25">
      <c r="A77" s="33" t="s">
        <v>3353</v>
      </c>
      <c r="B77" s="33" t="s">
        <v>616</v>
      </c>
      <c r="C77" s="33" t="s">
        <v>1211</v>
      </c>
    </row>
    <row r="78" spans="1:3" x14ac:dyDescent="0.25">
      <c r="A78" s="33" t="s">
        <v>3324</v>
      </c>
      <c r="B78" s="33" t="s">
        <v>686</v>
      </c>
      <c r="C78" s="33" t="s">
        <v>1243</v>
      </c>
    </row>
    <row r="79" spans="1:3" x14ac:dyDescent="0.25">
      <c r="A79" s="33" t="s">
        <v>3312</v>
      </c>
      <c r="B79" s="33" t="s">
        <v>619</v>
      </c>
      <c r="C79" s="33" t="s">
        <v>1213</v>
      </c>
    </row>
    <row r="80" spans="1:3" x14ac:dyDescent="0.25">
      <c r="A80" s="33" t="s">
        <v>3312</v>
      </c>
      <c r="B80" s="33" t="s">
        <v>618</v>
      </c>
      <c r="C80" s="33" t="s">
        <v>1213</v>
      </c>
    </row>
    <row r="81" spans="1:3" x14ac:dyDescent="0.25">
      <c r="A81" s="33" t="s">
        <v>3402</v>
      </c>
      <c r="B81" s="33" t="s">
        <v>588</v>
      </c>
      <c r="C81" s="33" t="s">
        <v>3403</v>
      </c>
    </row>
    <row r="82" spans="1:3" x14ac:dyDescent="0.25">
      <c r="A82" s="33" t="s">
        <v>3404</v>
      </c>
      <c r="B82" s="33" t="s">
        <v>612</v>
      </c>
      <c r="C82" s="33" t="s">
        <v>1208</v>
      </c>
    </row>
    <row r="83" spans="1:3" x14ac:dyDescent="0.25">
      <c r="A83" s="33" t="s">
        <v>3405</v>
      </c>
      <c r="B83" s="33" t="s">
        <v>674</v>
      </c>
      <c r="C83" s="33" t="s">
        <v>1237</v>
      </c>
    </row>
    <row r="84" spans="1:3" x14ac:dyDescent="0.25">
      <c r="A84" s="33" t="s">
        <v>3406</v>
      </c>
      <c r="B84" s="33" t="s">
        <v>681</v>
      </c>
      <c r="C84" s="33" t="s">
        <v>3407</v>
      </c>
    </row>
    <row r="85" spans="1:3" x14ac:dyDescent="0.25">
      <c r="A85" s="33" t="s">
        <v>3408</v>
      </c>
      <c r="B85" s="33" t="s">
        <v>569</v>
      </c>
      <c r="C85" s="33" t="s">
        <v>3409</v>
      </c>
    </row>
    <row r="86" spans="1:3" x14ac:dyDescent="0.25">
      <c r="A86" s="33" t="s">
        <v>3410</v>
      </c>
      <c r="B86" s="33" t="s">
        <v>614</v>
      </c>
      <c r="C86" s="33" t="s">
        <v>3411</v>
      </c>
    </row>
    <row r="87" spans="1:3" x14ac:dyDescent="0.25">
      <c r="A87" s="33" t="s">
        <v>3412</v>
      </c>
      <c r="B87" s="33" t="s">
        <v>613</v>
      </c>
      <c r="C87" s="33" t="s">
        <v>1209</v>
      </c>
    </row>
    <row r="88" spans="1:3" x14ac:dyDescent="0.25">
      <c r="A88" s="33" t="s">
        <v>3338</v>
      </c>
      <c r="B88" s="33" t="s">
        <v>692</v>
      </c>
      <c r="C88" s="33" t="s">
        <v>1247</v>
      </c>
    </row>
    <row r="89" spans="1:3" x14ac:dyDescent="0.25">
      <c r="A89" s="33" t="s">
        <v>3340</v>
      </c>
      <c r="B89" s="33" t="s">
        <v>621</v>
      </c>
      <c r="C89" s="33" t="s">
        <v>1215</v>
      </c>
    </row>
    <row r="90" spans="1:3" x14ac:dyDescent="0.25">
      <c r="A90" s="33" t="s">
        <v>3413</v>
      </c>
      <c r="B90" s="33" t="s">
        <v>622</v>
      </c>
      <c r="C90" s="33" t="s">
        <v>1216</v>
      </c>
    </row>
    <row r="91" spans="1:3" x14ac:dyDescent="0.25">
      <c r="A91" s="33" t="s">
        <v>3414</v>
      </c>
      <c r="B91" s="33" t="s">
        <v>704</v>
      </c>
      <c r="C91" s="33" t="s">
        <v>3415</v>
      </c>
    </row>
    <row r="92" spans="1:3" x14ac:dyDescent="0.25">
      <c r="A92" s="33" t="s">
        <v>3320</v>
      </c>
      <c r="B92" s="33" t="s">
        <v>605</v>
      </c>
      <c r="C92" s="33" t="s">
        <v>1202</v>
      </c>
    </row>
    <row r="93" spans="1:3" x14ac:dyDescent="0.25">
      <c r="A93" s="33" t="s">
        <v>3416</v>
      </c>
      <c r="B93" s="33" t="s">
        <v>624</v>
      </c>
      <c r="C93" s="33" t="s">
        <v>3417</v>
      </c>
    </row>
    <row r="94" spans="1:3" x14ac:dyDescent="0.25">
      <c r="A94" s="33" t="s">
        <v>3418</v>
      </c>
      <c r="B94" s="33" t="s">
        <v>656</v>
      </c>
      <c r="C94" s="33" t="s">
        <v>1229</v>
      </c>
    </row>
    <row r="95" spans="1:3" x14ac:dyDescent="0.25">
      <c r="A95" s="33" t="s">
        <v>3419</v>
      </c>
      <c r="B95" s="33" t="s">
        <v>582</v>
      </c>
      <c r="C95" s="33" t="s">
        <v>3420</v>
      </c>
    </row>
    <row r="96" spans="1:3" x14ac:dyDescent="0.25">
      <c r="A96" s="33" t="s">
        <v>3326</v>
      </c>
      <c r="B96" s="33" t="s">
        <v>629</v>
      </c>
      <c r="C96" s="33" t="s">
        <v>3421</v>
      </c>
    </row>
    <row r="97" spans="1:3" x14ac:dyDescent="0.25">
      <c r="A97" s="33" t="s">
        <v>3422</v>
      </c>
      <c r="B97" s="33" t="s">
        <v>627</v>
      </c>
      <c r="C97" s="33" t="s">
        <v>1218</v>
      </c>
    </row>
    <row r="98" spans="1:3" x14ac:dyDescent="0.25">
      <c r="A98" s="33" t="s">
        <v>3423</v>
      </c>
      <c r="B98" s="33" t="s">
        <v>632</v>
      </c>
      <c r="C98" s="33" t="s">
        <v>3424</v>
      </c>
    </row>
    <row r="99" spans="1:3" x14ac:dyDescent="0.25">
      <c r="A99" s="33" t="s">
        <v>3425</v>
      </c>
      <c r="B99" s="33" t="s">
        <v>638</v>
      </c>
      <c r="C99" s="33" t="s">
        <v>3426</v>
      </c>
    </row>
    <row r="100" spans="1:3" x14ac:dyDescent="0.25">
      <c r="A100" s="33" t="s">
        <v>3427</v>
      </c>
      <c r="B100" s="33" t="s">
        <v>635</v>
      </c>
      <c r="C100" s="33" t="s">
        <v>3428</v>
      </c>
    </row>
    <row r="101" spans="1:3" x14ac:dyDescent="0.25">
      <c r="A101" s="33" t="s">
        <v>3429</v>
      </c>
      <c r="B101" s="33" t="s">
        <v>648</v>
      </c>
      <c r="C101" s="33" t="s">
        <v>3430</v>
      </c>
    </row>
    <row r="102" spans="1:3" x14ac:dyDescent="0.25">
      <c r="A102" s="33" t="s">
        <v>3418</v>
      </c>
      <c r="B102" s="33" t="s">
        <v>657</v>
      </c>
      <c r="C102" s="33" t="s">
        <v>1230</v>
      </c>
    </row>
    <row r="103" spans="1:3" x14ac:dyDescent="0.25">
      <c r="A103" s="33" t="s">
        <v>3363</v>
      </c>
      <c r="B103" s="33" t="s">
        <v>650</v>
      </c>
      <c r="C103" s="33" t="s">
        <v>1228</v>
      </c>
    </row>
    <row r="104" spans="1:3" x14ac:dyDescent="0.25">
      <c r="A104" s="33" t="s">
        <v>3431</v>
      </c>
      <c r="B104" s="33" t="s">
        <v>663</v>
      </c>
      <c r="C104" s="33" t="s">
        <v>3432</v>
      </c>
    </row>
    <row r="105" spans="1:3" x14ac:dyDescent="0.25">
      <c r="A105" s="33" t="s">
        <v>3433</v>
      </c>
      <c r="B105" s="33" t="s">
        <v>574</v>
      </c>
      <c r="C105" s="33" t="s">
        <v>1191</v>
      </c>
    </row>
    <row r="106" spans="1:3" x14ac:dyDescent="0.25">
      <c r="A106" s="33" t="s">
        <v>3434</v>
      </c>
      <c r="B106" s="33" t="s">
        <v>661</v>
      </c>
      <c r="C106" s="33" t="s">
        <v>1232</v>
      </c>
    </row>
    <row r="107" spans="1:3" x14ac:dyDescent="0.25">
      <c r="A107" s="33" t="s">
        <v>3431</v>
      </c>
      <c r="B107" s="33" t="s">
        <v>664</v>
      </c>
      <c r="C107" s="33" t="s">
        <v>3435</v>
      </c>
    </row>
    <row r="108" spans="1:3" x14ac:dyDescent="0.25">
      <c r="A108" s="33" t="s">
        <v>3425</v>
      </c>
      <c r="B108" s="33" t="s">
        <v>639</v>
      </c>
      <c r="C108" s="33" t="s">
        <v>3436</v>
      </c>
    </row>
    <row r="109" spans="1:3" x14ac:dyDescent="0.25">
      <c r="A109" s="33" t="s">
        <v>3437</v>
      </c>
      <c r="B109" s="33" t="s">
        <v>670</v>
      </c>
      <c r="C109" s="33" t="s">
        <v>1234</v>
      </c>
    </row>
    <row r="110" spans="1:3" x14ac:dyDescent="0.25">
      <c r="A110" s="33" t="s">
        <v>3438</v>
      </c>
      <c r="B110" s="33" t="s">
        <v>577</v>
      </c>
      <c r="C110" s="33" t="s">
        <v>3439</v>
      </c>
    </row>
    <row r="111" spans="1:3" x14ac:dyDescent="0.25">
      <c r="A111" s="33" t="s">
        <v>3358</v>
      </c>
      <c r="B111" s="33" t="s">
        <v>645</v>
      </c>
      <c r="C111" s="33" t="s">
        <v>1225</v>
      </c>
    </row>
    <row r="112" spans="1:3" x14ac:dyDescent="0.25">
      <c r="A112" s="33" t="s">
        <v>3440</v>
      </c>
      <c r="B112" s="33" t="s">
        <v>671</v>
      </c>
      <c r="C112" s="33" t="s">
        <v>3441</v>
      </c>
    </row>
    <row r="113" spans="1:3" x14ac:dyDescent="0.25">
      <c r="A113" s="33" t="s">
        <v>3442</v>
      </c>
      <c r="B113" s="33" t="s">
        <v>654</v>
      </c>
      <c r="C113" s="33" t="s">
        <v>3443</v>
      </c>
    </row>
    <row r="114" spans="1:3" x14ac:dyDescent="0.25">
      <c r="A114" s="33" t="s">
        <v>3405</v>
      </c>
      <c r="B114" s="33" t="s">
        <v>675</v>
      </c>
      <c r="C114" s="33" t="s">
        <v>1238</v>
      </c>
    </row>
    <row r="115" spans="1:3" x14ac:dyDescent="0.25">
      <c r="A115" s="33" t="s">
        <v>3396</v>
      </c>
      <c r="B115" s="33" t="s">
        <v>600</v>
      </c>
      <c r="C115" s="33" t="s">
        <v>1198</v>
      </c>
    </row>
    <row r="116" spans="1:3" x14ac:dyDescent="0.25">
      <c r="A116" s="33" t="s">
        <v>3320</v>
      </c>
      <c r="B116" s="33" t="s">
        <v>606</v>
      </c>
      <c r="C116" s="33" t="s">
        <v>1203</v>
      </c>
    </row>
    <row r="117" spans="1:3" x14ac:dyDescent="0.25">
      <c r="A117" s="33" t="s">
        <v>3423</v>
      </c>
      <c r="B117" s="33" t="s">
        <v>633</v>
      </c>
      <c r="C117" s="33" t="s">
        <v>3444</v>
      </c>
    </row>
    <row r="118" spans="1:3" x14ac:dyDescent="0.25">
      <c r="A118" s="33" t="s">
        <v>3416</v>
      </c>
      <c r="B118" s="33" t="s">
        <v>625</v>
      </c>
      <c r="C118" s="33" t="s">
        <v>3445</v>
      </c>
    </row>
    <row r="119" spans="1:3" x14ac:dyDescent="0.25">
      <c r="A119" s="33" t="s">
        <v>3425</v>
      </c>
      <c r="B119" s="33" t="s">
        <v>640</v>
      </c>
      <c r="C119" s="33" t="s">
        <v>3446</v>
      </c>
    </row>
    <row r="120" spans="1:3" x14ac:dyDescent="0.25">
      <c r="A120" s="33" t="s">
        <v>3442</v>
      </c>
      <c r="B120" s="33" t="s">
        <v>655</v>
      </c>
      <c r="C120" s="33" t="s">
        <v>3447</v>
      </c>
    </row>
    <row r="121" spans="1:3" x14ac:dyDescent="0.25">
      <c r="A121" s="33" t="s">
        <v>3321</v>
      </c>
      <c r="B121" s="33" t="s">
        <v>573</v>
      </c>
      <c r="C121" s="33" t="s">
        <v>3448</v>
      </c>
    </row>
    <row r="122" spans="1:3" x14ac:dyDescent="0.25">
      <c r="A122" s="33" t="s">
        <v>3449</v>
      </c>
      <c r="B122" s="33" t="s">
        <v>595</v>
      </c>
      <c r="C122" s="33" t="s">
        <v>3450</v>
      </c>
    </row>
    <row r="123" spans="1:3" x14ac:dyDescent="0.25">
      <c r="A123" s="33" t="s">
        <v>3414</v>
      </c>
      <c r="B123" s="33" t="s">
        <v>705</v>
      </c>
      <c r="C123" s="33" t="s">
        <v>3451</v>
      </c>
    </row>
    <row r="124" spans="1:3" x14ac:dyDescent="0.25">
      <c r="A124" s="33" t="s">
        <v>3406</v>
      </c>
      <c r="B124" s="33" t="s">
        <v>682</v>
      </c>
      <c r="C124" s="33" t="s">
        <v>3452</v>
      </c>
    </row>
    <row r="125" spans="1:3" x14ac:dyDescent="0.25">
      <c r="A125" s="33" t="s">
        <v>3453</v>
      </c>
      <c r="B125" s="33" t="s">
        <v>683</v>
      </c>
      <c r="C125" s="33" t="s">
        <v>1240</v>
      </c>
    </row>
    <row r="126" spans="1:3" x14ac:dyDescent="0.25">
      <c r="A126" s="33" t="s">
        <v>3454</v>
      </c>
      <c r="B126" s="33" t="s">
        <v>567</v>
      </c>
      <c r="C126" s="33" t="s">
        <v>3455</v>
      </c>
    </row>
    <row r="127" spans="1:3" x14ac:dyDescent="0.25">
      <c r="A127" s="33" t="s">
        <v>3328</v>
      </c>
      <c r="B127" s="33" t="s">
        <v>658</v>
      </c>
      <c r="C127" s="33" t="s">
        <v>3456</v>
      </c>
    </row>
    <row r="128" spans="1:3" x14ac:dyDescent="0.25">
      <c r="A128" s="33" t="s">
        <v>3429</v>
      </c>
      <c r="B128" s="33" t="s">
        <v>647</v>
      </c>
      <c r="C128" s="33" t="s">
        <v>3457</v>
      </c>
    </row>
    <row r="129" spans="1:3" x14ac:dyDescent="0.25">
      <c r="A129" s="33" t="s">
        <v>3458</v>
      </c>
      <c r="B129" s="33" t="s">
        <v>628</v>
      </c>
      <c r="C129" s="33" t="s">
        <v>3459</v>
      </c>
    </row>
    <row r="130" spans="1:3" x14ac:dyDescent="0.25">
      <c r="A130" s="33" t="s">
        <v>3460</v>
      </c>
      <c r="B130" s="33" t="s">
        <v>679</v>
      </c>
      <c r="C130" s="33" t="s">
        <v>3461</v>
      </c>
    </row>
    <row r="131" spans="1:3" x14ac:dyDescent="0.25">
      <c r="A131" s="33" t="s">
        <v>3397</v>
      </c>
      <c r="B131" s="33" t="s">
        <v>602</v>
      </c>
      <c r="C131" s="33" t="s">
        <v>1200</v>
      </c>
    </row>
    <row r="132" spans="1:3" x14ac:dyDescent="0.25">
      <c r="A132" s="33" t="s">
        <v>3462</v>
      </c>
      <c r="B132" s="33" t="s">
        <v>689</v>
      </c>
      <c r="C132" s="33" t="s">
        <v>3463</v>
      </c>
    </row>
    <row r="133" spans="1:3" x14ac:dyDescent="0.25">
      <c r="A133" s="33" t="s">
        <v>3449</v>
      </c>
      <c r="B133" s="33" t="s">
        <v>596</v>
      </c>
      <c r="C133" s="33" t="s">
        <v>3464</v>
      </c>
    </row>
    <row r="134" spans="1:3" x14ac:dyDescent="0.25">
      <c r="A134" s="33" t="s">
        <v>3465</v>
      </c>
      <c r="B134" s="33" t="s">
        <v>694</v>
      </c>
      <c r="C134" s="33" t="s">
        <v>3466</v>
      </c>
    </row>
    <row r="135" spans="1:3" x14ac:dyDescent="0.25">
      <c r="A135" s="33" t="s">
        <v>3467</v>
      </c>
      <c r="B135" s="33" t="s">
        <v>695</v>
      </c>
      <c r="C135" s="33" t="s">
        <v>1249</v>
      </c>
    </row>
    <row r="136" spans="1:3" x14ac:dyDescent="0.25">
      <c r="A136" s="33" t="s">
        <v>3468</v>
      </c>
      <c r="B136" s="33" t="s">
        <v>696</v>
      </c>
      <c r="C136" s="33" t="s">
        <v>1250</v>
      </c>
    </row>
    <row r="137" spans="1:3" x14ac:dyDescent="0.25">
      <c r="A137" s="33" t="s">
        <v>3423</v>
      </c>
      <c r="B137" s="33" t="s">
        <v>634</v>
      </c>
      <c r="C137" s="33" t="s">
        <v>3469</v>
      </c>
    </row>
    <row r="138" spans="1:3" x14ac:dyDescent="0.25">
      <c r="A138" s="33" t="s">
        <v>3414</v>
      </c>
      <c r="B138" s="33" t="s">
        <v>706</v>
      </c>
      <c r="C138" s="33" t="s">
        <v>3470</v>
      </c>
    </row>
    <row r="139" spans="1:3" x14ac:dyDescent="0.25">
      <c r="A139" s="33" t="s">
        <v>3471</v>
      </c>
      <c r="B139" s="33" t="s">
        <v>707</v>
      </c>
      <c r="C139" s="33" t="s">
        <v>3472</v>
      </c>
    </row>
    <row r="140" spans="1:3" x14ac:dyDescent="0.25">
      <c r="A140" s="33" t="s">
        <v>3473</v>
      </c>
      <c r="B140" s="33" t="s">
        <v>579</v>
      </c>
      <c r="C140" s="33" t="s">
        <v>1190</v>
      </c>
    </row>
    <row r="141" spans="1:3" x14ac:dyDescent="0.25">
      <c r="A141" s="33" t="s">
        <v>3352</v>
      </c>
      <c r="B141" s="33" t="s">
        <v>610</v>
      </c>
      <c r="C141" s="33" t="s">
        <v>1206</v>
      </c>
    </row>
    <row r="142" spans="1:3" x14ac:dyDescent="0.25">
      <c r="A142" s="33" t="s">
        <v>3358</v>
      </c>
      <c r="B142" s="33" t="s">
        <v>646</v>
      </c>
      <c r="C142" s="33" t="s">
        <v>1226</v>
      </c>
    </row>
    <row r="143" spans="1:3" x14ac:dyDescent="0.25">
      <c r="A143" s="33" t="s">
        <v>3474</v>
      </c>
      <c r="B143" s="33" t="s">
        <v>693</v>
      </c>
      <c r="C143" s="33" t="s">
        <v>1248</v>
      </c>
    </row>
    <row r="144" spans="1:3" x14ac:dyDescent="0.25">
      <c r="A144" s="33" t="s">
        <v>3346</v>
      </c>
      <c r="B144" s="33" t="s">
        <v>1453</v>
      </c>
      <c r="C144" s="33" t="s">
        <v>3475</v>
      </c>
    </row>
  </sheetData>
  <sheetProtection formatColumns="0" formatRows="0"/>
  <autoFilter ref="A1:C144" xr:uid="{00000000-0001-0000-A8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8437E379DB2846AB58540CDD79B911" ma:contentTypeVersion="14" ma:contentTypeDescription="Create a new document." ma:contentTypeScope="" ma:versionID="a133f0f24937771f01661cfd55e055f2">
  <xsd:schema xmlns:xsd="http://www.w3.org/2001/XMLSchema" xmlns:xs="http://www.w3.org/2001/XMLSchema" xmlns:p="http://schemas.microsoft.com/office/2006/metadata/properties" xmlns:ns2="e03a2f39-e7a7-44c4-b1df-f2ba0b53b039" xmlns:ns3="41b49356-50f9-4eff-b7e4-eb29625b80f7" targetNamespace="http://schemas.microsoft.com/office/2006/metadata/properties" ma:root="true" ma:fieldsID="bfe7b02b11dedb46c2f401a26fb92090" ns2:_="" ns3:_="">
    <xsd:import namespace="e03a2f39-e7a7-44c4-b1df-f2ba0b53b039"/>
    <xsd:import namespace="41b49356-50f9-4eff-b7e4-eb29625b80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a2f39-e7a7-44c4-b1df-f2ba0b53b0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2addfa-c26d-4e3b-b240-f6c3bd382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49356-50f9-4eff-b7e4-eb29625b80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361412-f44e-43fb-88aa-25d57458621f}" ma:internalName="TaxCatchAll" ma:showField="CatchAllData" ma:web="41b49356-50f9-4eff-b7e4-eb29625b80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b49356-50f9-4eff-b7e4-eb29625b80f7" xsi:nil="true"/>
    <lcf76f155ced4ddcb4097134ff3c332f xmlns="e03a2f39-e7a7-44c4-b1df-f2ba0b53b0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15892-8670-420B-834A-53AF84D982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0C8B3-0C88-42CD-83E7-639AD9D63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a2f39-e7a7-44c4-b1df-f2ba0b53b039"/>
    <ds:schemaRef ds:uri="41b49356-50f9-4eff-b7e4-eb29625b80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61D5C3-BD12-43D6-8A4F-89CB62B392DE}">
  <ds:schemaRefs>
    <ds:schemaRef ds:uri="http://purl.org/dc/elements/1.1/"/>
    <ds:schemaRef ds:uri="04f75f80-d214-47d7-9b02-b4775c27d6e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375c80d3-292c-46bd-a522-eeeb20d0726d"/>
    <ds:schemaRef ds:uri="http://schemas.microsoft.com/office/2006/metadata/properties"/>
    <ds:schemaRef ds:uri="http://purl.org/dc/dcmitype/"/>
    <ds:schemaRef ds:uri="41b49356-50f9-4eff-b7e4-eb29625b80f7"/>
    <ds:schemaRef ds:uri="e03a2f39-e7a7-44c4-b1df-f2ba0b53b039"/>
  </ds:schemaRefs>
</ds:datastoreItem>
</file>

<file path=docMetadata/LabelInfo.xml><?xml version="1.0" encoding="utf-8"?>
<clbl:labelList xmlns:clbl="http://schemas.microsoft.com/office/2020/mipLabelMetadata">
  <clbl:label id="{0a6036d1-780c-485c-90b0-c2dfd4c9c4ce}" enabled="1" method="Privileged" siteId="{ac0e071d-1445-4a5f-98fa-dfffee2d45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170</vt:i4>
      </vt:variant>
      <vt:variant>
        <vt:lpstr>Named Ranges</vt:lpstr>
      </vt:variant>
      <vt:variant>
        <vt:i4>7</vt:i4>
      </vt:variant>
    </vt:vector>
  </HeadingPairs>
  <TitlesOfParts>
    <vt:vector size="177" baseType="lpstr">
      <vt:lpstr>TOC</vt:lpstr>
      <vt:lpstr>T22.A.1</vt:lpstr>
      <vt:lpstr>T22.A.2</vt:lpstr>
      <vt:lpstr>T22.A.3</vt:lpstr>
      <vt:lpstr>T22.A.4</vt:lpstr>
      <vt:lpstr>T22.A.5</vt:lpstr>
      <vt:lpstr>T22.A.6</vt:lpstr>
      <vt:lpstr>T22.A.7</vt:lpstr>
      <vt:lpstr>T22.A.8</vt:lpstr>
      <vt:lpstr>T22.A.9</vt:lpstr>
      <vt:lpstr>T22.A.10</vt:lpstr>
      <vt:lpstr>T22.A.11</vt:lpstr>
      <vt:lpstr>T22.A.12</vt:lpstr>
      <vt:lpstr>T22.A.13</vt:lpstr>
      <vt:lpstr>T22.A.14</vt:lpstr>
      <vt:lpstr>T22.A.15</vt:lpstr>
      <vt:lpstr>T22.A.16</vt:lpstr>
      <vt:lpstr>T22.A.17</vt:lpstr>
      <vt:lpstr>T22.A.18</vt:lpstr>
      <vt:lpstr>T22.A.19</vt:lpstr>
      <vt:lpstr>T22.A.20</vt:lpstr>
      <vt:lpstr>T22.A.21</vt:lpstr>
      <vt:lpstr>T22.A.22</vt:lpstr>
      <vt:lpstr>T22.A.23</vt:lpstr>
      <vt:lpstr>T22.A.24</vt:lpstr>
      <vt:lpstr>T22.A.25</vt:lpstr>
      <vt:lpstr>T22.A.26</vt:lpstr>
      <vt:lpstr>T22.A.27</vt:lpstr>
      <vt:lpstr>T22.A.28</vt:lpstr>
      <vt:lpstr>T22.A.29</vt:lpstr>
      <vt:lpstr>T22.A.30</vt:lpstr>
      <vt:lpstr>T22.A.31</vt:lpstr>
      <vt:lpstr>T22.A.32</vt:lpstr>
      <vt:lpstr>T22.A.33</vt:lpstr>
      <vt:lpstr>T22.A.34</vt:lpstr>
      <vt:lpstr>T22.A.35</vt:lpstr>
      <vt:lpstr>T22.A.36</vt:lpstr>
      <vt:lpstr>T22.A.37</vt:lpstr>
      <vt:lpstr>T22.A.38</vt:lpstr>
      <vt:lpstr>T22.A.39</vt:lpstr>
      <vt:lpstr>T22.A.40</vt:lpstr>
      <vt:lpstr>T22.A.41</vt:lpstr>
      <vt:lpstr>T22.A.42</vt:lpstr>
      <vt:lpstr>T22.A.43</vt:lpstr>
      <vt:lpstr>T22.A.44</vt:lpstr>
      <vt:lpstr>T22.A.45</vt:lpstr>
      <vt:lpstr>T22.A.46</vt:lpstr>
      <vt:lpstr>T22.A.47</vt:lpstr>
      <vt:lpstr>T22.A.48</vt:lpstr>
      <vt:lpstr>T22.A.49</vt:lpstr>
      <vt:lpstr>T22.A.50</vt:lpstr>
      <vt:lpstr>T22.A.51</vt:lpstr>
      <vt:lpstr>T22.A.52</vt:lpstr>
      <vt:lpstr>T22.A.53</vt:lpstr>
      <vt:lpstr>T22.A.54</vt:lpstr>
      <vt:lpstr>T22.A.55</vt:lpstr>
      <vt:lpstr>T22.A.56</vt:lpstr>
      <vt:lpstr>T22.A.57</vt:lpstr>
      <vt:lpstr>T22.A.58</vt:lpstr>
      <vt:lpstr>T22.A.59</vt:lpstr>
      <vt:lpstr>T22.A.60</vt:lpstr>
      <vt:lpstr>T22.A.61</vt:lpstr>
      <vt:lpstr>T22.A.62</vt:lpstr>
      <vt:lpstr>T22.A.63</vt:lpstr>
      <vt:lpstr>T22.A.64</vt:lpstr>
      <vt:lpstr>T22.A.65</vt:lpstr>
      <vt:lpstr>T22.A.66</vt:lpstr>
      <vt:lpstr>T22.A.67</vt:lpstr>
      <vt:lpstr>T22.A.68</vt:lpstr>
      <vt:lpstr>T22.A.69</vt:lpstr>
      <vt:lpstr>T22.A.70</vt:lpstr>
      <vt:lpstr>T22.A.71</vt:lpstr>
      <vt:lpstr>T22.A.72</vt:lpstr>
      <vt:lpstr>T22.A.73</vt:lpstr>
      <vt:lpstr>T22.A.74</vt:lpstr>
      <vt:lpstr>T22.A.75</vt:lpstr>
      <vt:lpstr>T22.A.76</vt:lpstr>
      <vt:lpstr>T22.A.77</vt:lpstr>
      <vt:lpstr>T22.A.78</vt:lpstr>
      <vt:lpstr>T22.A.79</vt:lpstr>
      <vt:lpstr>T22.A.80</vt:lpstr>
      <vt:lpstr>T22.A.81</vt:lpstr>
      <vt:lpstr>T22.A.82</vt:lpstr>
      <vt:lpstr>T22.A.83</vt:lpstr>
      <vt:lpstr>T22.A.84</vt:lpstr>
      <vt:lpstr>T22.A.85</vt:lpstr>
      <vt:lpstr>T22.A.86</vt:lpstr>
      <vt:lpstr>T22.A.87</vt:lpstr>
      <vt:lpstr>T22.A.88</vt:lpstr>
      <vt:lpstr>T22.A.89</vt:lpstr>
      <vt:lpstr>T22.A.90</vt:lpstr>
      <vt:lpstr>T22.A.91</vt:lpstr>
      <vt:lpstr>T22.A.92</vt:lpstr>
      <vt:lpstr>T22.A.93</vt:lpstr>
      <vt:lpstr>T22.A.94</vt:lpstr>
      <vt:lpstr>T22.A.95</vt:lpstr>
      <vt:lpstr>T22.A.96</vt:lpstr>
      <vt:lpstr>T22.A.97</vt:lpstr>
      <vt:lpstr>T22.A.98</vt:lpstr>
      <vt:lpstr>T22.A.99</vt:lpstr>
      <vt:lpstr>T22.A.100</vt:lpstr>
      <vt:lpstr>T22.A.101</vt:lpstr>
      <vt:lpstr>T22.A.102</vt:lpstr>
      <vt:lpstr>T22.A.103</vt:lpstr>
      <vt:lpstr>T22.A.104</vt:lpstr>
      <vt:lpstr>T22.A.105</vt:lpstr>
      <vt:lpstr>T22.A.106</vt:lpstr>
      <vt:lpstr>T22.A.107</vt:lpstr>
      <vt:lpstr>T22.A.108</vt:lpstr>
      <vt:lpstr>T22.A.109</vt:lpstr>
      <vt:lpstr>T22.A.110</vt:lpstr>
      <vt:lpstr>T22.A.111</vt:lpstr>
      <vt:lpstr>T22.A.112</vt:lpstr>
      <vt:lpstr>T22.A.113</vt:lpstr>
      <vt:lpstr>T22.A.114</vt:lpstr>
      <vt:lpstr>T22.A.115</vt:lpstr>
      <vt:lpstr>T22.A.116</vt:lpstr>
      <vt:lpstr>T22.A.117</vt:lpstr>
      <vt:lpstr>T22.A.118</vt:lpstr>
      <vt:lpstr>T22.A.119</vt:lpstr>
      <vt:lpstr>T22.A.120</vt:lpstr>
      <vt:lpstr>T22.A.121</vt:lpstr>
      <vt:lpstr>T22.A.122</vt:lpstr>
      <vt:lpstr>T22.A.123</vt:lpstr>
      <vt:lpstr>T22.A.124</vt:lpstr>
      <vt:lpstr>T22.A.125</vt:lpstr>
      <vt:lpstr>T22.A.126</vt:lpstr>
      <vt:lpstr>T22.A.127</vt:lpstr>
      <vt:lpstr>T22.A.128</vt:lpstr>
      <vt:lpstr>T22.A.129</vt:lpstr>
      <vt:lpstr>T22.A.130</vt:lpstr>
      <vt:lpstr>T22.A.131</vt:lpstr>
      <vt:lpstr>T22.A.132</vt:lpstr>
      <vt:lpstr>T22.A.133</vt:lpstr>
      <vt:lpstr>T22.A.134</vt:lpstr>
      <vt:lpstr>T22.A.135</vt:lpstr>
      <vt:lpstr>T22.A.136</vt:lpstr>
      <vt:lpstr>T22.A.137</vt:lpstr>
      <vt:lpstr>T22.A.138</vt:lpstr>
      <vt:lpstr>T22.A.139</vt:lpstr>
      <vt:lpstr>T22.A.140</vt:lpstr>
      <vt:lpstr>T22.A.141</vt:lpstr>
      <vt:lpstr>T22.A.142</vt:lpstr>
      <vt:lpstr>T22.A.143</vt:lpstr>
      <vt:lpstr>T22.A.144</vt:lpstr>
      <vt:lpstr>T22.A.145</vt:lpstr>
      <vt:lpstr>T22.A.146</vt:lpstr>
      <vt:lpstr>T22.A.147</vt:lpstr>
      <vt:lpstr>T22.A.148</vt:lpstr>
      <vt:lpstr>T22.A.149</vt:lpstr>
      <vt:lpstr>T22.A.150</vt:lpstr>
      <vt:lpstr>T22.A.151</vt:lpstr>
      <vt:lpstr>T22.A.152</vt:lpstr>
      <vt:lpstr>T22.A.153</vt:lpstr>
      <vt:lpstr>T22.A.154</vt:lpstr>
      <vt:lpstr>T22.A.155</vt:lpstr>
      <vt:lpstr>T22.A.156</vt:lpstr>
      <vt:lpstr>T22.A.157</vt:lpstr>
      <vt:lpstr>T22.A.158</vt:lpstr>
      <vt:lpstr>STQ</vt:lpstr>
      <vt:lpstr>ICQ</vt:lpstr>
      <vt:lpstr>PAQ</vt:lpstr>
      <vt:lpstr>SCQ</vt:lpstr>
      <vt:lpstr>TCQ</vt:lpstr>
      <vt:lpstr>FLASTQ</vt:lpstr>
      <vt:lpstr>FLAPAQ</vt:lpstr>
      <vt:lpstr>FLATCQ</vt:lpstr>
      <vt:lpstr>GroupLabels</vt:lpstr>
      <vt:lpstr>CNTlabel</vt:lpstr>
      <vt:lpstr>FakeCodeKey</vt:lpstr>
      <vt:lpstr>FLAPAQ</vt:lpstr>
      <vt:lpstr>FLATCQ</vt:lpstr>
      <vt:lpstr>ICQ</vt:lpstr>
      <vt:lpstr>PAQ</vt:lpstr>
      <vt:lpstr>SCQ</vt:lpstr>
      <vt:lpstr>STQ!STQ</vt:lpstr>
      <vt:lpstr>TCQ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KIM Yeonsoo, EDU/ECS</cp:lastModifiedBy>
  <cp:revision/>
  <dcterms:created xsi:type="dcterms:W3CDTF">2023-09-06T15:16:03Z</dcterms:created>
  <dcterms:modified xsi:type="dcterms:W3CDTF">2026-09-07T14:07:07Z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0x010100748437E379DB2846AB58540CDD79B911</vt:lpwstr>
  </property>
  <property fmtid="{D5CDD505-2E9C-101B-9397-08002B2CF9AE}" pid="3" name="MediaServiceImageTags">
    <vt:lpwstr/>
  </property>
  <property fmtid="{D5CDD505-2E9C-101B-9397-08002B2CF9AE}" pid="4" name="MSIP_Label_0e5510b0-e729-4ef0-a3dd-4ba0dfe56c99_Enabled">
    <vt:lpwstr>true</vt:lpwstr>
  </property>
  <property fmtid="{D5CDD505-2E9C-101B-9397-08002B2CF9AE}" pid="5" name="MSIP_Label_0e5510b0-e729-4ef0-a3dd-4ba0dfe56c99_SetDate">
    <vt:lpwstr>2026-05-06T15:04:08Z</vt:lpwstr>
  </property>
  <property fmtid="{D5CDD505-2E9C-101B-9397-08002B2CF9AE}" pid="6" name="MSIP_Label_0e5510b0-e729-4ef0-a3dd-4ba0dfe56c99_Method">
    <vt:lpwstr>Standard</vt:lpwstr>
  </property>
  <property fmtid="{D5CDD505-2E9C-101B-9397-08002B2CF9AE}" pid="7" name="MSIP_Label_0e5510b0-e729-4ef0-a3dd-4ba0dfe56c99_Name">
    <vt:lpwstr>Restricted Use</vt:lpwstr>
  </property>
  <property fmtid="{D5CDD505-2E9C-101B-9397-08002B2CF9AE}" pid="8" name="MSIP_Label_0e5510b0-e729-4ef0-a3dd-4ba0dfe56c99_SiteId">
    <vt:lpwstr>ac41c7d4-1f61-460d-b0f4-fc925a2b471c</vt:lpwstr>
  </property>
  <property fmtid="{D5CDD505-2E9C-101B-9397-08002B2CF9AE}" pid="9" name="MSIP_Label_0e5510b0-e729-4ef0-a3dd-4ba0dfe56c99_ActionId">
    <vt:lpwstr>3372e498-587a-4c5a-895a-79921cc2d494</vt:lpwstr>
  </property>
  <property fmtid="{D5CDD505-2E9C-101B-9397-08002B2CF9AE}" pid="10" name="MSIP_Label_0e5510b0-e729-4ef0-a3dd-4ba0dfe56c99_ContentBits">
    <vt:lpwstr>2</vt:lpwstr>
  </property>
  <property fmtid="{D5CDD505-2E9C-101B-9397-08002B2CF9AE}" pid="11" name="MSIP_Label_0e5510b0-e729-4ef0-a3dd-4ba0dfe56c99_Tag">
    <vt:lpwstr>10, 3, 0, 1</vt:lpwstr>
  </property>
</Properties>
</file>